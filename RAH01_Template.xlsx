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t.hansrivijit/Library/Mobile Documents/com~apple~CloudDocs/Alex's Works/Medical Textbook/OccMed/R3 นพรัตน์/อยุธยา/พี่แก้ว/OpenRAH01/outputs/01a03dc9/"/>
    </mc:Choice>
  </mc:AlternateContent>
  <xr:revisionPtr revIDLastSave="0" documentId="13_ncr:1_{67A69F51-90F4-0E4E-A774-8DEF7092D867}" xr6:coauthVersionLast="47" xr6:coauthVersionMax="47" xr10:uidLastSave="{00000000-0000-0000-0000-000000000000}"/>
  <bookViews>
    <workbookView xWindow="0" yWindow="660" windowWidth="30240" windowHeight="18980" activeTab="7" xr2:uid="{00000000-000D-0000-FFFF-FFFF00000000}"/>
  </bookViews>
  <sheets>
    <sheet name="01 assessment" sheetId="1" r:id="rId1"/>
    <sheet name="02 OH system" sheetId="2" r:id="rId2"/>
    <sheet name="03 work process" sheetId="3" r:id="rId3"/>
    <sheet name="04 Hazards" sheetId="4" r:id="rId4"/>
    <sheet name="Attachments" sheetId="5" r:id="rId5"/>
    <sheet name="AdminLog" sheetId="6" r:id="rId6"/>
    <sheet name="Settings" sheetId="7" r:id="rId7"/>
    <sheet name="Admin Dashboard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53" i="8" l="1"/>
  <c r="AG153" i="8"/>
  <c r="AJ152" i="8"/>
  <c r="AG152" i="8"/>
  <c r="AJ151" i="8"/>
  <c r="AG151" i="8"/>
  <c r="AJ150" i="8"/>
  <c r="AG150" i="8"/>
  <c r="AH150" i="8" s="1"/>
  <c r="AJ149" i="8"/>
  <c r="AG149" i="8"/>
  <c r="AH149" i="8" s="1"/>
  <c r="AJ148" i="8"/>
  <c r="AG148" i="8"/>
  <c r="AH148" i="8" s="1"/>
  <c r="AI148" i="8" s="1"/>
  <c r="AJ147" i="8"/>
  <c r="AG147" i="8"/>
  <c r="AH147" i="8" s="1"/>
  <c r="AJ146" i="8"/>
  <c r="AG146" i="8"/>
  <c r="AH146" i="8" s="1"/>
  <c r="AI146" i="8" s="1"/>
  <c r="AJ145" i="8"/>
  <c r="AG145" i="8"/>
  <c r="AH145" i="8" s="1"/>
  <c r="AJ144" i="8"/>
  <c r="AG144" i="8"/>
  <c r="AJ143" i="8"/>
  <c r="AG143" i="8"/>
  <c r="AJ142" i="8"/>
  <c r="AG142" i="8"/>
  <c r="AJ141" i="8"/>
  <c r="AG141" i="8"/>
  <c r="AH141" i="8" s="1"/>
  <c r="AI141" i="8" s="1"/>
  <c r="AJ140" i="8"/>
  <c r="AG140" i="8"/>
  <c r="AJ139" i="8"/>
  <c r="AG139" i="8"/>
  <c r="AH139" i="8" s="1"/>
  <c r="AI139" i="8" s="1"/>
  <c r="AJ138" i="8"/>
  <c r="AG138" i="8"/>
  <c r="AH138" i="8" s="1"/>
  <c r="AI138" i="8" s="1"/>
  <c r="AJ137" i="8"/>
  <c r="AG137" i="8"/>
  <c r="AH137" i="8" s="1"/>
  <c r="AJ136" i="8"/>
  <c r="AG136" i="8"/>
  <c r="AJ135" i="8"/>
  <c r="AG135" i="8"/>
  <c r="AH135" i="8" s="1"/>
  <c r="AI135" i="8" s="1"/>
  <c r="AJ134" i="8"/>
  <c r="AG134" i="8"/>
  <c r="AJ133" i="8"/>
  <c r="AG133" i="8"/>
  <c r="AJ132" i="8"/>
  <c r="AG132" i="8"/>
  <c r="AH132" i="8" s="1"/>
  <c r="AJ131" i="8"/>
  <c r="AG131" i="8"/>
  <c r="AJ130" i="8"/>
  <c r="AG130" i="8"/>
  <c r="AJ129" i="8"/>
  <c r="AG129" i="8"/>
  <c r="AH129" i="8" s="1"/>
  <c r="AI129" i="8" s="1"/>
  <c r="AJ128" i="8"/>
  <c r="AG128" i="8"/>
  <c r="AJ127" i="8"/>
  <c r="AG127" i="8"/>
  <c r="AH127" i="8" s="1"/>
  <c r="AJ126" i="8"/>
  <c r="AG126" i="8"/>
  <c r="AJ125" i="8"/>
  <c r="AG125" i="8"/>
  <c r="AH125" i="8" s="1"/>
  <c r="AI125" i="8" s="1"/>
  <c r="AJ124" i="8"/>
  <c r="AG124" i="8"/>
  <c r="AJ123" i="8"/>
  <c r="AG123" i="8"/>
  <c r="AJ122" i="8"/>
  <c r="AG122" i="8"/>
  <c r="AJ121" i="8"/>
  <c r="AG121" i="8"/>
  <c r="AH121" i="8" s="1"/>
  <c r="AI121" i="8" s="1"/>
  <c r="AJ120" i="8"/>
  <c r="AG120" i="8"/>
  <c r="AJ119" i="8"/>
  <c r="AG119" i="8"/>
  <c r="AJ118" i="8"/>
  <c r="AG118" i="8"/>
  <c r="AH118" i="8" s="1"/>
  <c r="AI118" i="8" s="1"/>
  <c r="AJ117" i="8"/>
  <c r="AG117" i="8"/>
  <c r="AH117" i="8" s="1"/>
  <c r="AJ116" i="8"/>
  <c r="AG116" i="8"/>
  <c r="AH116" i="8" s="1"/>
  <c r="AJ115" i="8"/>
  <c r="AG115" i="8"/>
  <c r="AH115" i="8" s="1"/>
  <c r="AI115" i="8" s="1"/>
  <c r="AJ114" i="8"/>
  <c r="AG114" i="8"/>
  <c r="AH114" i="8" s="1"/>
  <c r="AI114" i="8" s="1"/>
  <c r="AJ113" i="8"/>
  <c r="AG113" i="8"/>
  <c r="AJ112" i="8"/>
  <c r="AG112" i="8"/>
  <c r="AJ111" i="8"/>
  <c r="AG111" i="8"/>
  <c r="AJ110" i="8"/>
  <c r="AG110" i="8"/>
  <c r="AJ109" i="8"/>
  <c r="AG109" i="8"/>
  <c r="AH109" i="8" s="1"/>
  <c r="AI109" i="8" s="1"/>
  <c r="AJ108" i="8"/>
  <c r="AG108" i="8"/>
  <c r="AJ107" i="8"/>
  <c r="AG107" i="8"/>
  <c r="AH107" i="8" s="1"/>
  <c r="AJ106" i="8"/>
  <c r="AG106" i="8"/>
  <c r="AJ105" i="8"/>
  <c r="AG105" i="8"/>
  <c r="AH105" i="8" s="1"/>
  <c r="AI105" i="8" s="1"/>
  <c r="AJ104" i="8"/>
  <c r="AG104" i="8"/>
  <c r="AH104" i="8" s="1"/>
  <c r="AI104" i="8" s="1"/>
  <c r="AJ103" i="8"/>
  <c r="AG103" i="8"/>
  <c r="AJ102" i="8"/>
  <c r="AG102" i="8"/>
  <c r="AH102" i="8" s="1"/>
  <c r="AJ101" i="8"/>
  <c r="AG101" i="8"/>
  <c r="AJ100" i="8"/>
  <c r="AG100" i="8"/>
  <c r="AH100" i="8" s="1"/>
  <c r="AI100" i="8" s="1"/>
  <c r="AJ99" i="8"/>
  <c r="AG99" i="8"/>
  <c r="AH99" i="8" s="1"/>
  <c r="AI99" i="8" s="1"/>
  <c r="AJ98" i="8"/>
  <c r="AG98" i="8"/>
  <c r="AH98" i="8" s="1"/>
  <c r="AI98" i="8" s="1"/>
  <c r="AJ97" i="8"/>
  <c r="AG97" i="8"/>
  <c r="AH97" i="8" s="1"/>
  <c r="AJ96" i="8"/>
  <c r="AG96" i="8"/>
  <c r="AH96" i="8" s="1"/>
  <c r="AJ95" i="8"/>
  <c r="AG95" i="8"/>
  <c r="AH95" i="8" s="1"/>
  <c r="AI95" i="8" s="1"/>
  <c r="AJ94" i="8"/>
  <c r="AG94" i="8"/>
  <c r="AH94" i="8" s="1"/>
  <c r="AI94" i="8" s="1"/>
  <c r="AJ93" i="8"/>
  <c r="AG93" i="8"/>
  <c r="AH93" i="8" s="1"/>
  <c r="AJ92" i="8"/>
  <c r="AG92" i="8"/>
  <c r="AJ91" i="8"/>
  <c r="AG91" i="8"/>
  <c r="AH91" i="8" s="1"/>
  <c r="AJ90" i="8"/>
  <c r="AG90" i="8"/>
  <c r="AJ89" i="8"/>
  <c r="AG89" i="8"/>
  <c r="AH89" i="8" s="1"/>
  <c r="AI89" i="8" s="1"/>
  <c r="AJ88" i="8"/>
  <c r="AG88" i="8"/>
  <c r="AH88" i="8" s="1"/>
  <c r="AI88" i="8" s="1"/>
  <c r="AJ87" i="8"/>
  <c r="AG87" i="8"/>
  <c r="AH87" i="8" s="1"/>
  <c r="AI87" i="8" s="1"/>
  <c r="AJ86" i="8"/>
  <c r="AG86" i="8"/>
  <c r="AJ85" i="8"/>
  <c r="AG85" i="8"/>
  <c r="AJ84" i="8"/>
  <c r="AG84" i="8"/>
  <c r="AH84" i="8" s="1"/>
  <c r="AI84" i="8" s="1"/>
  <c r="AJ83" i="8"/>
  <c r="AG83" i="8"/>
  <c r="AH83" i="8" s="1"/>
  <c r="AJ82" i="8"/>
  <c r="AG82" i="8"/>
  <c r="AJ81" i="8"/>
  <c r="AG81" i="8"/>
  <c r="AJ80" i="8"/>
  <c r="AG80" i="8"/>
  <c r="AJ79" i="8"/>
  <c r="AG79" i="8"/>
  <c r="AH79" i="8" s="1"/>
  <c r="AI79" i="8" s="1"/>
  <c r="AJ78" i="8"/>
  <c r="AG78" i="8"/>
  <c r="AH78" i="8" s="1"/>
  <c r="AI78" i="8" s="1"/>
  <c r="AJ77" i="8"/>
  <c r="AG77" i="8"/>
  <c r="AH77" i="8" s="1"/>
  <c r="AI77" i="8" s="1"/>
  <c r="AJ76" i="8"/>
  <c r="AG76" i="8"/>
  <c r="AH76" i="8" s="1"/>
  <c r="AI76" i="8" s="1"/>
  <c r="AJ75" i="8"/>
  <c r="AG75" i="8"/>
  <c r="AH75" i="8" s="1"/>
  <c r="AI75" i="8" s="1"/>
  <c r="AJ74" i="8"/>
  <c r="AG74" i="8"/>
  <c r="AJ73" i="8"/>
  <c r="AG73" i="8"/>
  <c r="AJ72" i="8"/>
  <c r="AG72" i="8"/>
  <c r="AJ71" i="8"/>
  <c r="AG71" i="8"/>
  <c r="AJ70" i="8"/>
  <c r="AG70" i="8"/>
  <c r="AJ69" i="8"/>
  <c r="AG69" i="8"/>
  <c r="AJ68" i="8"/>
  <c r="AG68" i="8"/>
  <c r="AJ67" i="8"/>
  <c r="AG67" i="8"/>
  <c r="AJ66" i="8"/>
  <c r="AG66" i="8"/>
  <c r="AJ65" i="8"/>
  <c r="AG65" i="8"/>
  <c r="AJ64" i="8"/>
  <c r="AG64" i="8"/>
  <c r="AJ63" i="8"/>
  <c r="AG63" i="8"/>
  <c r="AJ62" i="8"/>
  <c r="AG62" i="8"/>
  <c r="AJ61" i="8"/>
  <c r="AG61" i="8"/>
  <c r="AJ60" i="8"/>
  <c r="AG60" i="8"/>
  <c r="AJ59" i="8"/>
  <c r="AG59" i="8"/>
  <c r="AJ58" i="8"/>
  <c r="AG58" i="8"/>
  <c r="AJ57" i="8"/>
  <c r="AG57" i="8"/>
  <c r="AJ56" i="8"/>
  <c r="AG56" i="8"/>
  <c r="AJ55" i="8"/>
  <c r="AG55" i="8"/>
  <c r="AJ54" i="8"/>
  <c r="AG54" i="8"/>
  <c r="AJ53" i="8"/>
  <c r="AG53" i="8"/>
  <c r="AJ52" i="8"/>
  <c r="AG52" i="8"/>
  <c r="AJ51" i="8"/>
  <c r="AG51" i="8"/>
  <c r="AJ50" i="8"/>
  <c r="AG50" i="8"/>
  <c r="AJ49" i="8"/>
  <c r="AG49" i="8"/>
  <c r="AJ48" i="8"/>
  <c r="AG48" i="8"/>
  <c r="AJ47" i="8"/>
  <c r="AG47" i="8"/>
  <c r="AJ46" i="8"/>
  <c r="AG46" i="8"/>
  <c r="AJ45" i="8"/>
  <c r="AG45" i="8"/>
  <c r="AJ44" i="8"/>
  <c r="AG44" i="8"/>
  <c r="AJ43" i="8"/>
  <c r="AG43" i="8"/>
  <c r="AJ42" i="8"/>
  <c r="AG42" i="8"/>
  <c r="AJ41" i="8"/>
  <c r="AG41" i="8"/>
  <c r="AJ40" i="8"/>
  <c r="AG40" i="8"/>
  <c r="AJ39" i="8"/>
  <c r="AG39" i="8"/>
  <c r="AJ38" i="8"/>
  <c r="AG38" i="8"/>
  <c r="AJ37" i="8"/>
  <c r="AG37" i="8"/>
  <c r="AJ36" i="8"/>
  <c r="AG36" i="8"/>
  <c r="AJ35" i="8"/>
  <c r="AG35" i="8"/>
  <c r="AJ34" i="8"/>
  <c r="AG34" i="8"/>
  <c r="AJ33" i="8"/>
  <c r="AG33" i="8"/>
  <c r="AJ32" i="8"/>
  <c r="AG32" i="8"/>
  <c r="AJ31" i="8"/>
  <c r="AG31" i="8"/>
  <c r="AJ30" i="8"/>
  <c r="AG30" i="8"/>
  <c r="AJ29" i="8"/>
  <c r="AG29" i="8"/>
  <c r="AJ28" i="8"/>
  <c r="AG28" i="8"/>
  <c r="AJ27" i="8"/>
  <c r="AG27" i="8"/>
  <c r="AJ26" i="8"/>
  <c r="AG26" i="8"/>
  <c r="AJ25" i="8"/>
  <c r="AG25" i="8"/>
  <c r="AJ24" i="8"/>
  <c r="AG24" i="8"/>
  <c r="AJ23" i="8"/>
  <c r="AG23" i="8"/>
  <c r="AJ22" i="8"/>
  <c r="AG22" i="8"/>
  <c r="AJ21" i="8"/>
  <c r="AG21" i="8"/>
  <c r="AJ20" i="8"/>
  <c r="AG20" i="8"/>
  <c r="AJ19" i="8"/>
  <c r="AG19" i="8"/>
  <c r="AJ18" i="8"/>
  <c r="AG18" i="8"/>
  <c r="AJ17" i="8"/>
  <c r="AG17" i="8"/>
  <c r="AJ16" i="8"/>
  <c r="AG16" i="8"/>
  <c r="AJ15" i="8"/>
  <c r="AG15" i="8"/>
  <c r="AJ14" i="8"/>
  <c r="AG14" i="8"/>
  <c r="AJ13" i="8"/>
  <c r="AG13" i="8"/>
  <c r="AJ12" i="8"/>
  <c r="AG12" i="8"/>
  <c r="AJ11" i="8"/>
  <c r="AG11" i="8"/>
  <c r="O11" i="8"/>
  <c r="AJ10" i="8"/>
  <c r="AG10" i="8"/>
  <c r="O10" i="8"/>
  <c r="AJ9" i="8"/>
  <c r="AG9" i="8"/>
  <c r="O9" i="8"/>
  <c r="AJ8" i="8"/>
  <c r="AG8" i="8"/>
  <c r="O8" i="8"/>
  <c r="AJ7" i="8"/>
  <c r="AG7" i="8"/>
  <c r="O7" i="8"/>
  <c r="AJ6" i="8"/>
  <c r="AG6" i="8"/>
  <c r="O6" i="8"/>
  <c r="AJ5" i="8"/>
  <c r="AG5" i="8"/>
  <c r="O5" i="8"/>
  <c r="G5" i="8"/>
  <c r="D5" i="8"/>
  <c r="A5" i="8"/>
  <c r="AJ4" i="8"/>
  <c r="W4" i="8" s="1"/>
  <c r="B24" i="8" s="1"/>
  <c r="AG4" i="8"/>
  <c r="O4" i="8"/>
  <c r="K488" i="4"/>
  <c r="L488" i="4" s="1"/>
  <c r="K487" i="4"/>
  <c r="L487" i="4" s="1"/>
  <c r="K486" i="4"/>
  <c r="L486" i="4" s="1"/>
  <c r="K485" i="4"/>
  <c r="L485" i="4" s="1"/>
  <c r="K484" i="4"/>
  <c r="L484" i="4" s="1"/>
  <c r="K483" i="4"/>
  <c r="L483" i="4" s="1"/>
  <c r="K482" i="4"/>
  <c r="L482" i="4" s="1"/>
  <c r="K481" i="4"/>
  <c r="L481" i="4" s="1"/>
  <c r="K480" i="4"/>
  <c r="L480" i="4" s="1"/>
  <c r="K479" i="4"/>
  <c r="L479" i="4" s="1"/>
  <c r="K478" i="4"/>
  <c r="L478" i="4" s="1"/>
  <c r="K477" i="4"/>
  <c r="L477" i="4" s="1"/>
  <c r="K476" i="4"/>
  <c r="L476" i="4" s="1"/>
  <c r="K475" i="4"/>
  <c r="L475" i="4" s="1"/>
  <c r="K474" i="4"/>
  <c r="L474" i="4" s="1"/>
  <c r="K473" i="4"/>
  <c r="L473" i="4" s="1"/>
  <c r="K472" i="4"/>
  <c r="L472" i="4" s="1"/>
  <c r="K471" i="4"/>
  <c r="K470" i="4"/>
  <c r="L470" i="4" s="1"/>
  <c r="K469" i="4"/>
  <c r="L469" i="4" s="1"/>
  <c r="K468" i="4"/>
  <c r="L468" i="4" s="1"/>
  <c r="K467" i="4"/>
  <c r="L467" i="4" s="1"/>
  <c r="K466" i="4"/>
  <c r="L466" i="4" s="1"/>
  <c r="K465" i="4"/>
  <c r="L465" i="4" s="1"/>
  <c r="K464" i="4"/>
  <c r="L464" i="4" s="1"/>
  <c r="K463" i="4"/>
  <c r="L463" i="4" s="1"/>
  <c r="K462" i="4"/>
  <c r="L462" i="4" s="1"/>
  <c r="K461" i="4"/>
  <c r="L461" i="4" s="1"/>
  <c r="K460" i="4"/>
  <c r="L460" i="4" s="1"/>
  <c r="K459" i="4"/>
  <c r="L459" i="4" s="1"/>
  <c r="K458" i="4"/>
  <c r="L458" i="4" s="1"/>
  <c r="K457" i="4"/>
  <c r="L457" i="4" s="1"/>
  <c r="K456" i="4"/>
  <c r="L456" i="4" s="1"/>
  <c r="K455" i="4"/>
  <c r="L455" i="4" s="1"/>
  <c r="K454" i="4"/>
  <c r="L454" i="4" s="1"/>
  <c r="K453" i="4"/>
  <c r="L453" i="4" s="1"/>
  <c r="K452" i="4"/>
  <c r="L452" i="4" s="1"/>
  <c r="K451" i="4"/>
  <c r="L451" i="4" s="1"/>
  <c r="K450" i="4"/>
  <c r="L450" i="4" s="1"/>
  <c r="K449" i="4"/>
  <c r="L449" i="4" s="1"/>
  <c r="K448" i="4"/>
  <c r="L448" i="4" s="1"/>
  <c r="K447" i="4"/>
  <c r="L447" i="4" s="1"/>
  <c r="K446" i="4"/>
  <c r="K445" i="4"/>
  <c r="L445" i="4" s="1"/>
  <c r="K444" i="4"/>
  <c r="L444" i="4" s="1"/>
  <c r="K443" i="4"/>
  <c r="L443" i="4" s="1"/>
  <c r="K442" i="4"/>
  <c r="L442" i="4" s="1"/>
  <c r="K441" i="4"/>
  <c r="L441" i="4" s="1"/>
  <c r="K440" i="4"/>
  <c r="L440" i="4" s="1"/>
  <c r="K439" i="4"/>
  <c r="L439" i="4" s="1"/>
  <c r="K438" i="4"/>
  <c r="L438" i="4" s="1"/>
  <c r="K437" i="4"/>
  <c r="L437" i="4" s="1"/>
  <c r="K436" i="4"/>
  <c r="L436" i="4" s="1"/>
  <c r="K435" i="4"/>
  <c r="L435" i="4" s="1"/>
  <c r="K434" i="4"/>
  <c r="L434" i="4" s="1"/>
  <c r="K433" i="4"/>
  <c r="L433" i="4" s="1"/>
  <c r="K432" i="4"/>
  <c r="L432" i="4" s="1"/>
  <c r="K431" i="4"/>
  <c r="L431" i="4" s="1"/>
  <c r="K430" i="4"/>
  <c r="L430" i="4" s="1"/>
  <c r="K429" i="4"/>
  <c r="L429" i="4" s="1"/>
  <c r="K428" i="4"/>
  <c r="L428" i="4" s="1"/>
  <c r="K427" i="4"/>
  <c r="L427" i="4" s="1"/>
  <c r="K426" i="4"/>
  <c r="L426" i="4" s="1"/>
  <c r="K425" i="4"/>
  <c r="L425" i="4" s="1"/>
  <c r="K424" i="4"/>
  <c r="L424" i="4" s="1"/>
  <c r="K423" i="4"/>
  <c r="L423" i="4" s="1"/>
  <c r="K422" i="4"/>
  <c r="L422" i="4" s="1"/>
  <c r="K421" i="4"/>
  <c r="L421" i="4" s="1"/>
  <c r="K420" i="4"/>
  <c r="L420" i="4" s="1"/>
  <c r="K419" i="4"/>
  <c r="L419" i="4" s="1"/>
  <c r="K418" i="4"/>
  <c r="L418" i="4" s="1"/>
  <c r="K417" i="4"/>
  <c r="L417" i="4" s="1"/>
  <c r="K416" i="4"/>
  <c r="L416" i="4" s="1"/>
  <c r="K415" i="4"/>
  <c r="L415" i="4" s="1"/>
  <c r="K414" i="4"/>
  <c r="L414" i="4" s="1"/>
  <c r="K413" i="4"/>
  <c r="L413" i="4" s="1"/>
  <c r="K412" i="4"/>
  <c r="L412" i="4" s="1"/>
  <c r="K411" i="4"/>
  <c r="L411" i="4" s="1"/>
  <c r="K410" i="4"/>
  <c r="L410" i="4" s="1"/>
  <c r="K409" i="4"/>
  <c r="K408" i="4"/>
  <c r="L408" i="4" s="1"/>
  <c r="K407" i="4"/>
  <c r="L407" i="4" s="1"/>
  <c r="K406" i="4"/>
  <c r="L406" i="4" s="1"/>
  <c r="K405" i="4"/>
  <c r="L405" i="4" s="1"/>
  <c r="K404" i="4"/>
  <c r="L404" i="4" s="1"/>
  <c r="K403" i="4"/>
  <c r="L403" i="4" s="1"/>
  <c r="K402" i="4"/>
  <c r="L402" i="4" s="1"/>
  <c r="K401" i="4"/>
  <c r="L401" i="4" s="1"/>
  <c r="K400" i="4"/>
  <c r="L400" i="4" s="1"/>
  <c r="K399" i="4"/>
  <c r="L399" i="4" s="1"/>
  <c r="K398" i="4"/>
  <c r="L398" i="4" s="1"/>
  <c r="K397" i="4"/>
  <c r="L397" i="4" s="1"/>
  <c r="K396" i="4"/>
  <c r="L396" i="4" s="1"/>
  <c r="K395" i="4"/>
  <c r="L395" i="4" s="1"/>
  <c r="K394" i="4"/>
  <c r="L394" i="4" s="1"/>
  <c r="K393" i="4"/>
  <c r="L393" i="4" s="1"/>
  <c r="K392" i="4"/>
  <c r="L392" i="4" s="1"/>
  <c r="K391" i="4"/>
  <c r="L391" i="4" s="1"/>
  <c r="K390" i="4"/>
  <c r="L390" i="4" s="1"/>
  <c r="K389" i="4"/>
  <c r="L389" i="4" s="1"/>
  <c r="K388" i="4"/>
  <c r="L388" i="4" s="1"/>
  <c r="K387" i="4"/>
  <c r="L387" i="4" s="1"/>
  <c r="K386" i="4"/>
  <c r="L386" i="4" s="1"/>
  <c r="K385" i="4"/>
  <c r="L385" i="4" s="1"/>
  <c r="K384" i="4"/>
  <c r="L384" i="4" s="1"/>
  <c r="K383" i="4"/>
  <c r="L383" i="4" s="1"/>
  <c r="K382" i="4"/>
  <c r="L382" i="4" s="1"/>
  <c r="K381" i="4"/>
  <c r="L381" i="4" s="1"/>
  <c r="K380" i="4"/>
  <c r="L380" i="4" s="1"/>
  <c r="K379" i="4"/>
  <c r="L379" i="4" s="1"/>
  <c r="K378" i="4"/>
  <c r="L378" i="4" s="1"/>
  <c r="K377" i="4"/>
  <c r="L377" i="4" s="1"/>
  <c r="K376" i="4"/>
  <c r="L376" i="4" s="1"/>
  <c r="K375" i="4"/>
  <c r="L375" i="4" s="1"/>
  <c r="K374" i="4"/>
  <c r="L374" i="4" s="1"/>
  <c r="K373" i="4"/>
  <c r="L373" i="4" s="1"/>
  <c r="K372" i="4"/>
  <c r="L372" i="4" s="1"/>
  <c r="K371" i="4"/>
  <c r="L371" i="4" s="1"/>
  <c r="K370" i="4"/>
  <c r="L370" i="4" s="1"/>
  <c r="K369" i="4"/>
  <c r="L369" i="4" s="1"/>
  <c r="K368" i="4"/>
  <c r="L368" i="4" s="1"/>
  <c r="K367" i="4"/>
  <c r="L367" i="4" s="1"/>
  <c r="K366" i="4"/>
  <c r="L366" i="4" s="1"/>
  <c r="K365" i="4"/>
  <c r="L365" i="4" s="1"/>
  <c r="K364" i="4"/>
  <c r="L364" i="4" s="1"/>
  <c r="K363" i="4"/>
  <c r="L363" i="4" s="1"/>
  <c r="K362" i="4"/>
  <c r="L362" i="4" s="1"/>
  <c r="K361" i="4"/>
  <c r="L361" i="4" s="1"/>
  <c r="K360" i="4"/>
  <c r="L360" i="4" s="1"/>
  <c r="K359" i="4"/>
  <c r="L359" i="4" s="1"/>
  <c r="K358" i="4"/>
  <c r="L358" i="4" s="1"/>
  <c r="K357" i="4"/>
  <c r="L357" i="4" s="1"/>
  <c r="K356" i="4"/>
  <c r="L356" i="4" s="1"/>
  <c r="K355" i="4"/>
  <c r="K354" i="4"/>
  <c r="L354" i="4" s="1"/>
  <c r="K353" i="4"/>
  <c r="L353" i="4" s="1"/>
  <c r="K352" i="4"/>
  <c r="L352" i="4" s="1"/>
  <c r="K351" i="4"/>
  <c r="L351" i="4" s="1"/>
  <c r="K350" i="4"/>
  <c r="L350" i="4" s="1"/>
  <c r="K349" i="4"/>
  <c r="L349" i="4" s="1"/>
  <c r="K348" i="4"/>
  <c r="L348" i="4" s="1"/>
  <c r="K347" i="4"/>
  <c r="L347" i="4" s="1"/>
  <c r="K346" i="4"/>
  <c r="L346" i="4" s="1"/>
  <c r="K345" i="4"/>
  <c r="L345" i="4" s="1"/>
  <c r="K344" i="4"/>
  <c r="L344" i="4" s="1"/>
  <c r="K343" i="4"/>
  <c r="L343" i="4" s="1"/>
  <c r="K342" i="4"/>
  <c r="L342" i="4" s="1"/>
  <c r="K341" i="4"/>
  <c r="L341" i="4" s="1"/>
  <c r="K340" i="4"/>
  <c r="L340" i="4" s="1"/>
  <c r="K339" i="4"/>
  <c r="L339" i="4" s="1"/>
  <c r="K338" i="4"/>
  <c r="L338" i="4" s="1"/>
  <c r="K337" i="4"/>
  <c r="K336" i="4"/>
  <c r="L336" i="4" s="1"/>
  <c r="K335" i="4"/>
  <c r="L335" i="4" s="1"/>
  <c r="K334" i="4"/>
  <c r="L334" i="4" s="1"/>
  <c r="K333" i="4"/>
  <c r="L333" i="4" s="1"/>
  <c r="K332" i="4"/>
  <c r="L332" i="4" s="1"/>
  <c r="K331" i="4"/>
  <c r="L331" i="4" s="1"/>
  <c r="K330" i="4"/>
  <c r="L330" i="4" s="1"/>
  <c r="K329" i="4"/>
  <c r="L329" i="4" s="1"/>
  <c r="K328" i="4"/>
  <c r="L328" i="4" s="1"/>
  <c r="K327" i="4"/>
  <c r="L327" i="4" s="1"/>
  <c r="K326" i="4"/>
  <c r="L326" i="4" s="1"/>
  <c r="K325" i="4"/>
  <c r="L325" i="4" s="1"/>
  <c r="K324" i="4"/>
  <c r="L324" i="4" s="1"/>
  <c r="K323" i="4"/>
  <c r="L323" i="4" s="1"/>
  <c r="K322" i="4"/>
  <c r="L322" i="4" s="1"/>
  <c r="K321" i="4"/>
  <c r="L321" i="4" s="1"/>
  <c r="K320" i="4"/>
  <c r="L320" i="4" s="1"/>
  <c r="K319" i="4"/>
  <c r="L319" i="4" s="1"/>
  <c r="K318" i="4"/>
  <c r="L318" i="4" s="1"/>
  <c r="K317" i="4"/>
  <c r="L317" i="4" s="1"/>
  <c r="K316" i="4"/>
  <c r="L316" i="4" s="1"/>
  <c r="K315" i="4"/>
  <c r="L315" i="4" s="1"/>
  <c r="K314" i="4"/>
  <c r="L314" i="4" s="1"/>
  <c r="K313" i="4"/>
  <c r="K312" i="4"/>
  <c r="L312" i="4" s="1"/>
  <c r="K311" i="4"/>
  <c r="L311" i="4" s="1"/>
  <c r="K310" i="4"/>
  <c r="L310" i="4" s="1"/>
  <c r="K309" i="4"/>
  <c r="L309" i="4" s="1"/>
  <c r="K308" i="4"/>
  <c r="L308" i="4" s="1"/>
  <c r="K307" i="4"/>
  <c r="L307" i="4" s="1"/>
  <c r="K306" i="4"/>
  <c r="L306" i="4" s="1"/>
  <c r="K305" i="4"/>
  <c r="L305" i="4" s="1"/>
  <c r="K304" i="4"/>
  <c r="L304" i="4" s="1"/>
  <c r="K303" i="4"/>
  <c r="L303" i="4" s="1"/>
  <c r="K302" i="4"/>
  <c r="L302" i="4" s="1"/>
  <c r="K301" i="4"/>
  <c r="L301" i="4" s="1"/>
  <c r="K300" i="4"/>
  <c r="K299" i="4"/>
  <c r="L299" i="4" s="1"/>
  <c r="K298" i="4"/>
  <c r="L298" i="4" s="1"/>
  <c r="K297" i="4"/>
  <c r="L297" i="4" s="1"/>
  <c r="K296" i="4"/>
  <c r="L296" i="4" s="1"/>
  <c r="K295" i="4"/>
  <c r="L295" i="4" s="1"/>
  <c r="K294" i="4"/>
  <c r="L294" i="4" s="1"/>
  <c r="K293" i="4"/>
  <c r="L293" i="4" s="1"/>
  <c r="K292" i="4"/>
  <c r="L292" i="4" s="1"/>
  <c r="K291" i="4"/>
  <c r="L291" i="4" s="1"/>
  <c r="K290" i="4"/>
  <c r="L290" i="4" s="1"/>
  <c r="K289" i="4"/>
  <c r="L289" i="4" s="1"/>
  <c r="K288" i="4"/>
  <c r="L288" i="4" s="1"/>
  <c r="K287" i="4"/>
  <c r="L287" i="4" s="1"/>
  <c r="K286" i="4"/>
  <c r="L286" i="4" s="1"/>
  <c r="K285" i="4"/>
  <c r="L285" i="4" s="1"/>
  <c r="K284" i="4"/>
  <c r="L284" i="4" s="1"/>
  <c r="K283" i="4"/>
  <c r="L283" i="4" s="1"/>
  <c r="K282" i="4"/>
  <c r="L282" i="4" s="1"/>
  <c r="K281" i="4"/>
  <c r="L281" i="4" s="1"/>
  <c r="K280" i="4"/>
  <c r="L280" i="4" s="1"/>
  <c r="K279" i="4"/>
  <c r="L279" i="4" s="1"/>
  <c r="K278" i="4"/>
  <c r="L278" i="4" s="1"/>
  <c r="K277" i="4"/>
  <c r="L277" i="4" s="1"/>
  <c r="K276" i="4"/>
  <c r="L276" i="4" s="1"/>
  <c r="K275" i="4"/>
  <c r="L275" i="4" s="1"/>
  <c r="K274" i="4"/>
  <c r="K273" i="4"/>
  <c r="L273" i="4" s="1"/>
  <c r="K272" i="4"/>
  <c r="L272" i="4" s="1"/>
  <c r="K271" i="4"/>
  <c r="L271" i="4" s="1"/>
  <c r="K270" i="4"/>
  <c r="L270" i="4" s="1"/>
  <c r="K269" i="4"/>
  <c r="L269" i="4" s="1"/>
  <c r="K268" i="4"/>
  <c r="L268" i="4" s="1"/>
  <c r="K267" i="4"/>
  <c r="L267" i="4" s="1"/>
  <c r="K266" i="4"/>
  <c r="L266" i="4" s="1"/>
  <c r="K265" i="4"/>
  <c r="L265" i="4" s="1"/>
  <c r="K264" i="4"/>
  <c r="L264" i="4" s="1"/>
  <c r="K263" i="4"/>
  <c r="L263" i="4" s="1"/>
  <c r="K262" i="4"/>
  <c r="L262" i="4" s="1"/>
  <c r="K261" i="4"/>
  <c r="L261" i="4" s="1"/>
  <c r="K260" i="4"/>
  <c r="K259" i="4"/>
  <c r="L259" i="4" s="1"/>
  <c r="K258" i="4"/>
  <c r="L258" i="4" s="1"/>
  <c r="K257" i="4"/>
  <c r="L257" i="4" s="1"/>
  <c r="K256" i="4"/>
  <c r="L256" i="4" s="1"/>
  <c r="K255" i="4"/>
  <c r="L255" i="4" s="1"/>
  <c r="K254" i="4"/>
  <c r="L254" i="4" s="1"/>
  <c r="K253" i="4"/>
  <c r="L253" i="4" s="1"/>
  <c r="K252" i="4"/>
  <c r="K251" i="4"/>
  <c r="L251" i="4" s="1"/>
  <c r="K250" i="4"/>
  <c r="L250" i="4" s="1"/>
  <c r="K249" i="4"/>
  <c r="L249" i="4" s="1"/>
  <c r="K248" i="4"/>
  <c r="L248" i="4" s="1"/>
  <c r="K247" i="4"/>
  <c r="L247" i="4" s="1"/>
  <c r="K246" i="4"/>
  <c r="L246" i="4" s="1"/>
  <c r="K245" i="4"/>
  <c r="L245" i="4" s="1"/>
  <c r="K244" i="4"/>
  <c r="L244" i="4" s="1"/>
  <c r="K243" i="4"/>
  <c r="K242" i="4"/>
  <c r="L242" i="4" s="1"/>
  <c r="K241" i="4"/>
  <c r="L241" i="4" s="1"/>
  <c r="K240" i="4"/>
  <c r="L240" i="4" s="1"/>
  <c r="K239" i="4"/>
  <c r="L239" i="4" s="1"/>
  <c r="K238" i="4"/>
  <c r="L238" i="4" s="1"/>
  <c r="K237" i="4"/>
  <c r="L237" i="4" s="1"/>
  <c r="K236" i="4"/>
  <c r="L236" i="4" s="1"/>
  <c r="K235" i="4"/>
  <c r="L235" i="4" s="1"/>
  <c r="K234" i="4"/>
  <c r="L234" i="4" s="1"/>
  <c r="K233" i="4"/>
  <c r="L233" i="4" s="1"/>
  <c r="K232" i="4"/>
  <c r="L232" i="4" s="1"/>
  <c r="K231" i="4"/>
  <c r="L231" i="4" s="1"/>
  <c r="K230" i="4"/>
  <c r="L230" i="4" s="1"/>
  <c r="K229" i="4"/>
  <c r="L229" i="4" s="1"/>
  <c r="K228" i="4"/>
  <c r="L228" i="4" s="1"/>
  <c r="K227" i="4"/>
  <c r="L227" i="4" s="1"/>
  <c r="K226" i="4"/>
  <c r="L226" i="4" s="1"/>
  <c r="K225" i="4"/>
  <c r="L225" i="4" s="1"/>
  <c r="K224" i="4"/>
  <c r="L224" i="4" s="1"/>
  <c r="K223" i="4"/>
  <c r="L223" i="4" s="1"/>
  <c r="K222" i="4"/>
  <c r="L222" i="4" s="1"/>
  <c r="K221" i="4"/>
  <c r="L221" i="4" s="1"/>
  <c r="K220" i="4"/>
  <c r="K219" i="4"/>
  <c r="L219" i="4" s="1"/>
  <c r="K218" i="4"/>
  <c r="L218" i="4" s="1"/>
  <c r="K217" i="4"/>
  <c r="L217" i="4" s="1"/>
  <c r="K216" i="4"/>
  <c r="L216" i="4" s="1"/>
  <c r="K215" i="4"/>
  <c r="L215" i="4" s="1"/>
  <c r="K214" i="4"/>
  <c r="K213" i="4"/>
  <c r="L213" i="4" s="1"/>
  <c r="K212" i="4"/>
  <c r="L212" i="4" s="1"/>
  <c r="K211" i="4"/>
  <c r="L211" i="4" s="1"/>
  <c r="K210" i="4"/>
  <c r="L210" i="4" s="1"/>
  <c r="K209" i="4"/>
  <c r="L209" i="4" s="1"/>
  <c r="K208" i="4"/>
  <c r="L208" i="4" s="1"/>
  <c r="K207" i="4"/>
  <c r="L207" i="4" s="1"/>
  <c r="K206" i="4"/>
  <c r="L206" i="4" s="1"/>
  <c r="K205" i="4"/>
  <c r="L205" i="4" s="1"/>
  <c r="K204" i="4"/>
  <c r="L204" i="4" s="1"/>
  <c r="K203" i="4"/>
  <c r="L203" i="4" s="1"/>
  <c r="K202" i="4"/>
  <c r="L202" i="4" s="1"/>
  <c r="K201" i="4"/>
  <c r="K200" i="4"/>
  <c r="L200" i="4" s="1"/>
  <c r="K199" i="4"/>
  <c r="L199" i="4" s="1"/>
  <c r="K198" i="4"/>
  <c r="L198" i="4" s="1"/>
  <c r="K197" i="4"/>
  <c r="L197" i="4" s="1"/>
  <c r="K196" i="4"/>
  <c r="L196" i="4" s="1"/>
  <c r="K195" i="4"/>
  <c r="L195" i="4" s="1"/>
  <c r="K194" i="4"/>
  <c r="L194" i="4" s="1"/>
  <c r="K193" i="4"/>
  <c r="L193" i="4" s="1"/>
  <c r="K192" i="4"/>
  <c r="L192" i="4" s="1"/>
  <c r="K191" i="4"/>
  <c r="L191" i="4" s="1"/>
  <c r="K190" i="4"/>
  <c r="L190" i="4" s="1"/>
  <c r="K189" i="4"/>
  <c r="L189" i="4" s="1"/>
  <c r="K188" i="4"/>
  <c r="L188" i="4" s="1"/>
  <c r="K187" i="4"/>
  <c r="L187" i="4" s="1"/>
  <c r="K186" i="4"/>
  <c r="K185" i="4"/>
  <c r="L185" i="4" s="1"/>
  <c r="K184" i="4"/>
  <c r="L184" i="4" s="1"/>
  <c r="K183" i="4"/>
  <c r="L183" i="4" s="1"/>
  <c r="K182" i="4"/>
  <c r="L182" i="4" s="1"/>
  <c r="K181" i="4"/>
  <c r="L181" i="4" s="1"/>
  <c r="K180" i="4"/>
  <c r="L180" i="4" s="1"/>
  <c r="K179" i="4"/>
  <c r="L179" i="4" s="1"/>
  <c r="K178" i="4"/>
  <c r="K177" i="4"/>
  <c r="L177" i="4" s="1"/>
  <c r="K176" i="4"/>
  <c r="L176" i="4" s="1"/>
  <c r="K175" i="4"/>
  <c r="L175" i="4" s="1"/>
  <c r="K174" i="4"/>
  <c r="L174" i="4" s="1"/>
  <c r="K173" i="4"/>
  <c r="L173" i="4" s="1"/>
  <c r="K172" i="4"/>
  <c r="L172" i="4" s="1"/>
  <c r="K171" i="4"/>
  <c r="L171" i="4" s="1"/>
  <c r="K170" i="4"/>
  <c r="L170" i="4" s="1"/>
  <c r="K169" i="4"/>
  <c r="L169" i="4" s="1"/>
  <c r="K168" i="4"/>
  <c r="L168" i="4" s="1"/>
  <c r="K167" i="4"/>
  <c r="L167" i="4" s="1"/>
  <c r="K166" i="4"/>
  <c r="L166" i="4" s="1"/>
  <c r="K165" i="4"/>
  <c r="L165" i="4" s="1"/>
  <c r="K164" i="4"/>
  <c r="L164" i="4" s="1"/>
  <c r="K163" i="4"/>
  <c r="L163" i="4" s="1"/>
  <c r="K162" i="4"/>
  <c r="L162" i="4" s="1"/>
  <c r="K161" i="4"/>
  <c r="L161" i="4" s="1"/>
  <c r="K160" i="4"/>
  <c r="L160" i="4" s="1"/>
  <c r="K159" i="4"/>
  <c r="L159" i="4" s="1"/>
  <c r="K158" i="4"/>
  <c r="L158" i="4" s="1"/>
  <c r="K157" i="4"/>
  <c r="L157" i="4" s="1"/>
  <c r="K156" i="4"/>
  <c r="L156" i="4" s="1"/>
  <c r="K155" i="4"/>
  <c r="L155" i="4" s="1"/>
  <c r="K154" i="4"/>
  <c r="L154" i="4" s="1"/>
  <c r="K153" i="4"/>
  <c r="L153" i="4" s="1"/>
  <c r="K152" i="4"/>
  <c r="K151" i="4"/>
  <c r="L151" i="4" s="1"/>
  <c r="K150" i="4"/>
  <c r="L150" i="4" s="1"/>
  <c r="K149" i="4"/>
  <c r="L149" i="4" s="1"/>
  <c r="K148" i="4"/>
  <c r="L148" i="4" s="1"/>
  <c r="K147" i="4"/>
  <c r="L147" i="4" s="1"/>
  <c r="K146" i="4"/>
  <c r="L146" i="4" s="1"/>
  <c r="K145" i="4"/>
  <c r="L145" i="4" s="1"/>
  <c r="K144" i="4"/>
  <c r="K143" i="4"/>
  <c r="L143" i="4" s="1"/>
  <c r="K142" i="4"/>
  <c r="L142" i="4" s="1"/>
  <c r="K141" i="4"/>
  <c r="L141" i="4" s="1"/>
  <c r="K140" i="4"/>
  <c r="L140" i="4" s="1"/>
  <c r="K139" i="4"/>
  <c r="L139" i="4" s="1"/>
  <c r="K138" i="4"/>
  <c r="L138" i="4" s="1"/>
  <c r="K137" i="4"/>
  <c r="L137" i="4" s="1"/>
  <c r="K136" i="4"/>
  <c r="L136" i="4" s="1"/>
  <c r="K135" i="4"/>
  <c r="L135" i="4" s="1"/>
  <c r="K134" i="4"/>
  <c r="L134" i="4" s="1"/>
  <c r="K133" i="4"/>
  <c r="L133" i="4" s="1"/>
  <c r="K132" i="4"/>
  <c r="L132" i="4" s="1"/>
  <c r="K131" i="4"/>
  <c r="L131" i="4" s="1"/>
  <c r="K130" i="4"/>
  <c r="K129" i="4"/>
  <c r="L129" i="4" s="1"/>
  <c r="K128" i="4"/>
  <c r="L128" i="4" s="1"/>
  <c r="K127" i="4"/>
  <c r="L127" i="4" s="1"/>
  <c r="K126" i="4"/>
  <c r="L126" i="4" s="1"/>
  <c r="K125" i="4"/>
  <c r="L125" i="4" s="1"/>
  <c r="K124" i="4"/>
  <c r="L124" i="4" s="1"/>
  <c r="K123" i="4"/>
  <c r="L123" i="4" s="1"/>
  <c r="K122" i="4"/>
  <c r="L122" i="4" s="1"/>
  <c r="K121" i="4"/>
  <c r="L121" i="4" s="1"/>
  <c r="K120" i="4"/>
  <c r="L120" i="4" s="1"/>
  <c r="K119" i="4"/>
  <c r="L119" i="4" s="1"/>
  <c r="K118" i="4"/>
  <c r="L118" i="4" s="1"/>
  <c r="K117" i="4"/>
  <c r="L117" i="4" s="1"/>
  <c r="K116" i="4"/>
  <c r="L116" i="4" s="1"/>
  <c r="K115" i="4"/>
  <c r="L115" i="4" s="1"/>
  <c r="K114" i="4"/>
  <c r="L114" i="4" s="1"/>
  <c r="K113" i="4"/>
  <c r="L113" i="4" s="1"/>
  <c r="K112" i="4"/>
  <c r="L112" i="4" s="1"/>
  <c r="K111" i="4"/>
  <c r="K110" i="4"/>
  <c r="L110" i="4" s="1"/>
  <c r="K109" i="4"/>
  <c r="L109" i="4" s="1"/>
  <c r="K108" i="4"/>
  <c r="L108" i="4" s="1"/>
  <c r="K107" i="4"/>
  <c r="L107" i="4" s="1"/>
  <c r="K106" i="4"/>
  <c r="L106" i="4" s="1"/>
  <c r="K105" i="4"/>
  <c r="L105" i="4" s="1"/>
  <c r="K104" i="4"/>
  <c r="L104" i="4" s="1"/>
  <c r="K103" i="4"/>
  <c r="L103" i="4" s="1"/>
  <c r="K102" i="4"/>
  <c r="L102" i="4" s="1"/>
  <c r="K101" i="4"/>
  <c r="L101" i="4" s="1"/>
  <c r="K100" i="4"/>
  <c r="L100" i="4" s="1"/>
  <c r="K99" i="4"/>
  <c r="L99" i="4" s="1"/>
  <c r="K98" i="4"/>
  <c r="K97" i="4"/>
  <c r="L97" i="4" s="1"/>
  <c r="K96" i="4"/>
  <c r="L96" i="4" s="1"/>
  <c r="K95" i="4"/>
  <c r="L95" i="4" s="1"/>
  <c r="K94" i="4"/>
  <c r="L94" i="4" s="1"/>
  <c r="K93" i="4"/>
  <c r="L93" i="4" s="1"/>
  <c r="K92" i="4"/>
  <c r="L92" i="4" s="1"/>
  <c r="K91" i="4"/>
  <c r="L91" i="4" s="1"/>
  <c r="K90" i="4"/>
  <c r="L90" i="4" s="1"/>
  <c r="K89" i="4"/>
  <c r="L89" i="4" s="1"/>
  <c r="K88" i="4"/>
  <c r="L88" i="4" s="1"/>
  <c r="K87" i="4"/>
  <c r="L87" i="4" s="1"/>
  <c r="K86" i="4"/>
  <c r="L86" i="4" s="1"/>
  <c r="K85" i="4"/>
  <c r="L85" i="4" s="1"/>
  <c r="K84" i="4"/>
  <c r="L84" i="4" s="1"/>
  <c r="K83" i="4"/>
  <c r="L83" i="4" s="1"/>
  <c r="K82" i="4"/>
  <c r="L82" i="4" s="1"/>
  <c r="K81" i="4"/>
  <c r="L81" i="4" s="1"/>
  <c r="K80" i="4"/>
  <c r="L80" i="4" s="1"/>
  <c r="K79" i="4"/>
  <c r="K78" i="4"/>
  <c r="L78" i="4" s="1"/>
  <c r="K77" i="4"/>
  <c r="L77" i="4" s="1"/>
  <c r="K76" i="4"/>
  <c r="L76" i="4" s="1"/>
  <c r="K75" i="4"/>
  <c r="L75" i="4" s="1"/>
  <c r="K74" i="4"/>
  <c r="K73" i="4"/>
  <c r="L73" i="4" s="1"/>
  <c r="K72" i="4"/>
  <c r="L72" i="4" s="1"/>
  <c r="K71" i="4"/>
  <c r="L71" i="4" s="1"/>
  <c r="K70" i="4"/>
  <c r="L70" i="4" s="1"/>
  <c r="K69" i="4"/>
  <c r="L69" i="4" s="1"/>
  <c r="K68" i="4"/>
  <c r="L68" i="4" s="1"/>
  <c r="K67" i="4"/>
  <c r="L67" i="4" s="1"/>
  <c r="K66" i="4"/>
  <c r="L66" i="4" s="1"/>
  <c r="K65" i="4"/>
  <c r="L65" i="4" s="1"/>
  <c r="K64" i="4"/>
  <c r="L64" i="4" s="1"/>
  <c r="K63" i="4"/>
  <c r="L63" i="4" s="1"/>
  <c r="K62" i="4"/>
  <c r="L62" i="4" s="1"/>
  <c r="K61" i="4"/>
  <c r="L61" i="4" s="1"/>
  <c r="K60" i="4"/>
  <c r="L60" i="4" s="1"/>
  <c r="K59" i="4"/>
  <c r="L59" i="4" s="1"/>
  <c r="K58" i="4"/>
  <c r="L58" i="4" s="1"/>
  <c r="K57" i="4"/>
  <c r="L57" i="4" s="1"/>
  <c r="K56" i="4"/>
  <c r="L56" i="4" s="1"/>
  <c r="K55" i="4"/>
  <c r="L55" i="4" s="1"/>
  <c r="K54" i="4"/>
  <c r="L54" i="4" s="1"/>
  <c r="K53" i="4"/>
  <c r="L53" i="4" s="1"/>
  <c r="K52" i="4"/>
  <c r="L52" i="4" s="1"/>
  <c r="K51" i="4"/>
  <c r="L51" i="4" s="1"/>
  <c r="K50" i="4"/>
  <c r="L50" i="4" s="1"/>
  <c r="K49" i="4"/>
  <c r="L49" i="4" s="1"/>
  <c r="K48" i="4"/>
  <c r="L48" i="4" s="1"/>
  <c r="K47" i="4"/>
  <c r="L47" i="4" s="1"/>
  <c r="K46" i="4"/>
  <c r="L46" i="4" s="1"/>
  <c r="K45" i="4"/>
  <c r="L45" i="4" s="1"/>
  <c r="K44" i="4"/>
  <c r="L44" i="4" s="1"/>
  <c r="K43" i="4"/>
  <c r="L43" i="4" s="1"/>
  <c r="K42" i="4"/>
  <c r="L42" i="4" s="1"/>
  <c r="K41" i="4"/>
  <c r="L41" i="4" s="1"/>
  <c r="K40" i="4"/>
  <c r="L40" i="4" s="1"/>
  <c r="K39" i="4"/>
  <c r="L39" i="4" s="1"/>
  <c r="K38" i="4"/>
  <c r="L38" i="4" s="1"/>
  <c r="K37" i="4"/>
  <c r="L37" i="4" s="1"/>
  <c r="K36" i="4"/>
  <c r="L36" i="4" s="1"/>
  <c r="K35" i="4"/>
  <c r="L35" i="4" s="1"/>
  <c r="K34" i="4"/>
  <c r="L34" i="4" s="1"/>
  <c r="K33" i="4"/>
  <c r="L33" i="4" s="1"/>
  <c r="K32" i="4"/>
  <c r="L32" i="4" s="1"/>
  <c r="K31" i="4"/>
  <c r="L31" i="4" s="1"/>
  <c r="K30" i="4"/>
  <c r="L30" i="4" s="1"/>
  <c r="K29" i="4"/>
  <c r="L29" i="4" s="1"/>
  <c r="K28" i="4"/>
  <c r="L28" i="4" s="1"/>
  <c r="K27" i="4"/>
  <c r="L27" i="4" s="1"/>
  <c r="K26" i="4"/>
  <c r="L26" i="4" s="1"/>
  <c r="K25" i="4"/>
  <c r="L25" i="4" s="1"/>
  <c r="K24" i="4"/>
  <c r="L24" i="4" s="1"/>
  <c r="K23" i="4"/>
  <c r="L23" i="4" s="1"/>
  <c r="K22" i="4"/>
  <c r="L22" i="4" s="1"/>
  <c r="K21" i="4"/>
  <c r="L21" i="4" s="1"/>
  <c r="K20" i="4"/>
  <c r="L20" i="4" s="1"/>
  <c r="K19" i="4"/>
  <c r="L19" i="4" s="1"/>
  <c r="K18" i="4"/>
  <c r="L18" i="4" s="1"/>
  <c r="K17" i="4"/>
  <c r="L17" i="4" s="1"/>
  <c r="K16" i="4"/>
  <c r="L16" i="4" s="1"/>
  <c r="K15" i="4"/>
  <c r="L15" i="4" s="1"/>
  <c r="K14" i="4"/>
  <c r="L14" i="4" s="1"/>
  <c r="K13" i="4"/>
  <c r="L13" i="4" s="1"/>
  <c r="K12" i="4"/>
  <c r="L12" i="4" s="1"/>
  <c r="K11" i="4"/>
  <c r="L11" i="4" s="1"/>
  <c r="K10" i="4"/>
  <c r="L10" i="4" s="1"/>
  <c r="K9" i="4"/>
  <c r="L9" i="4" s="1"/>
  <c r="K8" i="4"/>
  <c r="L8" i="4" s="1"/>
  <c r="K7" i="4"/>
  <c r="L7" i="4" s="1"/>
  <c r="K6" i="4"/>
  <c r="L6" i="4" s="1"/>
  <c r="K5" i="4"/>
  <c r="L5" i="4" s="1"/>
  <c r="K4" i="4"/>
  <c r="G19" i="1" l="1"/>
  <c r="H19" i="1" s="1"/>
  <c r="G32" i="1"/>
  <c r="H32" i="1" s="1"/>
  <c r="G21" i="1"/>
  <c r="H21" i="1" s="1"/>
  <c r="G34" i="1"/>
  <c r="H34" i="1" s="1"/>
  <c r="G55" i="1"/>
  <c r="H55" i="1" s="1"/>
  <c r="G31" i="1"/>
  <c r="H31" i="1" s="1"/>
  <c r="AI107" i="8"/>
  <c r="G63" i="1"/>
  <c r="H63" i="1" s="1"/>
  <c r="G4" i="1"/>
  <c r="G11" i="1"/>
  <c r="H11" i="1" s="1"/>
  <c r="AA11" i="8" s="1"/>
  <c r="F31" i="8" s="1"/>
  <c r="AH14" i="8"/>
  <c r="G15" i="1"/>
  <c r="H15" i="1" s="1"/>
  <c r="AA15" i="8" s="1"/>
  <c r="F35" i="8" s="1"/>
  <c r="L4" i="4"/>
  <c r="G42" i="1"/>
  <c r="H42" i="1" s="1"/>
  <c r="G46" i="1"/>
  <c r="H46" i="1" s="1"/>
  <c r="G26" i="1"/>
  <c r="H26" i="1" s="1"/>
  <c r="AA26" i="8" s="1"/>
  <c r="F46" i="8" s="1"/>
  <c r="L201" i="4"/>
  <c r="AI127" i="8"/>
  <c r="G13" i="1"/>
  <c r="H13" i="1" s="1"/>
  <c r="G22" i="1"/>
  <c r="H22" i="1" s="1"/>
  <c r="AA22" i="8" s="1"/>
  <c r="F42" i="8" s="1"/>
  <c r="W7" i="8"/>
  <c r="B27" i="8" s="1"/>
  <c r="AI147" i="8"/>
  <c r="G49" i="1"/>
  <c r="H49" i="1" s="1"/>
  <c r="AA49" i="8" s="1"/>
  <c r="F69" i="8" s="1"/>
  <c r="G48" i="1"/>
  <c r="H48" i="1" s="1"/>
  <c r="AA48" i="8" s="1"/>
  <c r="F68" i="8" s="1"/>
  <c r="L409" i="4"/>
  <c r="G30" i="1"/>
  <c r="H30" i="1" s="1"/>
  <c r="AA30" i="8" s="1"/>
  <c r="F50" i="8" s="1"/>
  <c r="G5" i="1"/>
  <c r="H5" i="1" s="1"/>
  <c r="G54" i="1"/>
  <c r="H54" i="1" s="1"/>
  <c r="R5" i="8"/>
  <c r="G6" i="1"/>
  <c r="H6" i="1" s="1"/>
  <c r="G69" i="1"/>
  <c r="H69" i="1" s="1"/>
  <c r="AH120" i="8"/>
  <c r="AI120" i="8" s="1"/>
  <c r="G16" i="1"/>
  <c r="H16" i="1" s="1"/>
  <c r="AA16" i="8" s="1"/>
  <c r="F36" i="8" s="1"/>
  <c r="G25" i="1"/>
  <c r="H25" i="1" s="1"/>
  <c r="AA25" i="8" s="1"/>
  <c r="F45" i="8" s="1"/>
  <c r="G35" i="1"/>
  <c r="H35" i="1" s="1"/>
  <c r="AA35" i="8" s="1"/>
  <c r="F55" i="8" s="1"/>
  <c r="G53" i="1"/>
  <c r="H53" i="1" s="1"/>
  <c r="AA53" i="8" s="1"/>
  <c r="F73" i="8" s="1"/>
  <c r="G29" i="1"/>
  <c r="H29" i="1" s="1"/>
  <c r="L274" i="4"/>
  <c r="G71" i="1"/>
  <c r="H71" i="1" s="1"/>
  <c r="AI96" i="8"/>
  <c r="AH24" i="8"/>
  <c r="G8" i="1"/>
  <c r="H8" i="1" s="1"/>
  <c r="AA8" i="8" s="1"/>
  <c r="F28" i="8" s="1"/>
  <c r="G18" i="1"/>
  <c r="H18" i="1" s="1"/>
  <c r="AA18" i="8" s="1"/>
  <c r="F38" i="8" s="1"/>
  <c r="G27" i="1"/>
  <c r="H27" i="1" s="1"/>
  <c r="AA27" i="8" s="1"/>
  <c r="F47" i="8" s="1"/>
  <c r="G39" i="1"/>
  <c r="H39" i="1" s="1"/>
  <c r="AA39" i="8" s="1"/>
  <c r="F59" i="8" s="1"/>
  <c r="L79" i="4"/>
  <c r="L111" i="4"/>
  <c r="L186" i="4"/>
  <c r="AI116" i="8"/>
  <c r="G17" i="1"/>
  <c r="H17" i="1" s="1"/>
  <c r="AA17" i="8" s="1"/>
  <c r="F37" i="8" s="1"/>
  <c r="G37" i="1"/>
  <c r="H37" i="1" s="1"/>
  <c r="AA37" i="8" s="1"/>
  <c r="F57" i="8" s="1"/>
  <c r="G70" i="1"/>
  <c r="H70" i="1" s="1"/>
  <c r="G9" i="1"/>
  <c r="H9" i="1" s="1"/>
  <c r="AA9" i="8" s="1"/>
  <c r="F29" i="8" s="1"/>
  <c r="G28" i="1"/>
  <c r="H28" i="1" s="1"/>
  <c r="AA28" i="8" s="1"/>
  <c r="F48" i="8" s="1"/>
  <c r="G40" i="1"/>
  <c r="H40" i="1" s="1"/>
  <c r="AA40" i="8" s="1"/>
  <c r="F60" i="8" s="1"/>
  <c r="G56" i="1"/>
  <c r="H56" i="1" s="1"/>
  <c r="AA56" i="8" s="1"/>
  <c r="F76" i="8" s="1"/>
  <c r="G10" i="1"/>
  <c r="H10" i="1" s="1"/>
  <c r="G20" i="1"/>
  <c r="H20" i="1" s="1"/>
  <c r="AA20" i="8" s="1"/>
  <c r="F40" i="8" s="1"/>
  <c r="G41" i="1"/>
  <c r="H41" i="1" s="1"/>
  <c r="G60" i="1"/>
  <c r="H60" i="1" s="1"/>
  <c r="AA60" i="8" s="1"/>
  <c r="F80" i="8" s="1"/>
  <c r="AI97" i="8"/>
  <c r="AH108" i="8"/>
  <c r="AI108" i="8" s="1"/>
  <c r="AH128" i="8"/>
  <c r="AI128" i="8" s="1"/>
  <c r="AH136" i="8"/>
  <c r="AI136" i="8" s="1"/>
  <c r="G12" i="1"/>
  <c r="H12" i="1" s="1"/>
  <c r="AA12" i="8" s="1"/>
  <c r="F32" i="8" s="1"/>
  <c r="L74" i="4"/>
  <c r="W21" i="8"/>
  <c r="B41" i="8" s="1"/>
  <c r="G47" i="1"/>
  <c r="H47" i="1" s="1"/>
  <c r="AA47" i="8" s="1"/>
  <c r="F67" i="8" s="1"/>
  <c r="AI137" i="8"/>
  <c r="AI145" i="8"/>
  <c r="G62" i="1"/>
  <c r="H62" i="1" s="1"/>
  <c r="AA62" i="8" s="1"/>
  <c r="F82" i="8" s="1"/>
  <c r="G23" i="1"/>
  <c r="H23" i="1" s="1"/>
  <c r="AA23" i="8" s="1"/>
  <c r="F43" i="8" s="1"/>
  <c r="G64" i="1"/>
  <c r="H64" i="1" s="1"/>
  <c r="AA64" i="8" s="1"/>
  <c r="F84" i="8" s="1"/>
  <c r="AH34" i="8"/>
  <c r="G14" i="1"/>
  <c r="H14" i="1" s="1"/>
  <c r="AA14" i="8" s="1"/>
  <c r="F34" i="8" s="1"/>
  <c r="G24" i="1"/>
  <c r="H24" i="1" s="1"/>
  <c r="AA24" i="8" s="1"/>
  <c r="F44" i="8" s="1"/>
  <c r="G33" i="1"/>
  <c r="H33" i="1" s="1"/>
  <c r="AA33" i="8" s="1"/>
  <c r="F53" i="8" s="1"/>
  <c r="G67" i="1"/>
  <c r="H67" i="1" s="1"/>
  <c r="AA67" i="8" s="1"/>
  <c r="F87" i="8" s="1"/>
  <c r="AH106" i="8"/>
  <c r="AI106" i="8" s="1"/>
  <c r="AH126" i="8"/>
  <c r="AI126" i="8" s="1"/>
  <c r="AI149" i="8"/>
  <c r="G7" i="1"/>
  <c r="H7" i="1" s="1"/>
  <c r="AA7" i="8" s="1"/>
  <c r="F27" i="8" s="1"/>
  <c r="G36" i="1"/>
  <c r="H36" i="1" s="1"/>
  <c r="AA36" i="8" s="1"/>
  <c r="F56" i="8" s="1"/>
  <c r="G43" i="1"/>
  <c r="H43" i="1" s="1"/>
  <c r="AA43" i="8" s="1"/>
  <c r="F63" i="8" s="1"/>
  <c r="G50" i="1"/>
  <c r="H50" i="1" s="1"/>
  <c r="AA50" i="8" s="1"/>
  <c r="F70" i="8" s="1"/>
  <c r="G57" i="1"/>
  <c r="H57" i="1" s="1"/>
  <c r="AA57" i="8" s="1"/>
  <c r="F77" i="8" s="1"/>
  <c r="AH22" i="8"/>
  <c r="L130" i="4"/>
  <c r="L144" i="4"/>
  <c r="AH52" i="8"/>
  <c r="L337" i="4"/>
  <c r="R6" i="8"/>
  <c r="R7" i="8"/>
  <c r="AH4" i="8"/>
  <c r="Z5" i="8"/>
  <c r="E25" i="8" s="1"/>
  <c r="I25" i="8" s="1"/>
  <c r="AA6" i="8"/>
  <c r="F26" i="8" s="1"/>
  <c r="AB8" i="8"/>
  <c r="G28" i="8" s="1"/>
  <c r="Y9" i="8"/>
  <c r="D29" i="8" s="1"/>
  <c r="AB14" i="8"/>
  <c r="G34" i="8" s="1"/>
  <c r="AB16" i="8"/>
  <c r="G36" i="8" s="1"/>
  <c r="X27" i="8"/>
  <c r="C47" i="8" s="1"/>
  <c r="G44" i="1"/>
  <c r="H44" i="1" s="1"/>
  <c r="AA44" i="8" s="1"/>
  <c r="F64" i="8" s="1"/>
  <c r="G51" i="1"/>
  <c r="H51" i="1" s="1"/>
  <c r="AA51" i="8" s="1"/>
  <c r="F71" i="8" s="1"/>
  <c r="G58" i="1"/>
  <c r="H58" i="1" s="1"/>
  <c r="AA58" i="8" s="1"/>
  <c r="F78" i="8" s="1"/>
  <c r="G65" i="1"/>
  <c r="H65" i="1" s="1"/>
  <c r="AA65" i="8" s="1"/>
  <c r="F85" i="8" s="1"/>
  <c r="G72" i="1"/>
  <c r="H72" i="1" s="1"/>
  <c r="AA72" i="8" s="1"/>
  <c r="F92" i="8" s="1"/>
  <c r="L152" i="4"/>
  <c r="AH25" i="8"/>
  <c r="AH37" i="8"/>
  <c r="AH40" i="8"/>
  <c r="L252" i="4"/>
  <c r="AA5" i="8"/>
  <c r="F25" i="8" s="1"/>
  <c r="AC6" i="8"/>
  <c r="H26" i="8" s="1"/>
  <c r="AD7" i="8"/>
  <c r="T27" i="8" s="1"/>
  <c r="AC8" i="8"/>
  <c r="H28" i="8" s="1"/>
  <c r="AC10" i="8"/>
  <c r="H30" i="8" s="1"/>
  <c r="AD11" i="8"/>
  <c r="T31" i="8" s="1"/>
  <c r="AC16" i="8"/>
  <c r="H36" i="8" s="1"/>
  <c r="G59" i="1"/>
  <c r="H59" i="1" s="1"/>
  <c r="AA59" i="8" s="1"/>
  <c r="F79" i="8" s="1"/>
  <c r="G66" i="1"/>
  <c r="H66" i="1" s="1"/>
  <c r="AA66" i="8" s="1"/>
  <c r="F86" i="8" s="1"/>
  <c r="G73" i="1"/>
  <c r="H73" i="1" s="1"/>
  <c r="AA73" i="8" s="1"/>
  <c r="F93" i="8" s="1"/>
  <c r="AH41" i="8"/>
  <c r="L260" i="4"/>
  <c r="AH68" i="8"/>
  <c r="X153" i="8"/>
  <c r="C173" i="8" s="1"/>
  <c r="Y152" i="8"/>
  <c r="D172" i="8" s="1"/>
  <c r="Z151" i="8"/>
  <c r="E171" i="8" s="1"/>
  <c r="I171" i="8" s="1"/>
  <c r="AA150" i="8"/>
  <c r="F170" i="8" s="1"/>
  <c r="AB149" i="8"/>
  <c r="G169" i="8" s="1"/>
  <c r="AC148" i="8"/>
  <c r="H168" i="8" s="1"/>
  <c r="AD147" i="8"/>
  <c r="T167" i="8" s="1"/>
  <c r="W144" i="8"/>
  <c r="B164" i="8" s="1"/>
  <c r="X143" i="8"/>
  <c r="C163" i="8" s="1"/>
  <c r="Y142" i="8"/>
  <c r="D162" i="8" s="1"/>
  <c r="Z141" i="8"/>
  <c r="E161" i="8" s="1"/>
  <c r="I161" i="8" s="1"/>
  <c r="AA140" i="8"/>
  <c r="F160" i="8" s="1"/>
  <c r="AB139" i="8"/>
  <c r="G159" i="8" s="1"/>
  <c r="AC138" i="8"/>
  <c r="H158" i="8" s="1"/>
  <c r="AD137" i="8"/>
  <c r="T157" i="8" s="1"/>
  <c r="W134" i="8"/>
  <c r="B154" i="8" s="1"/>
  <c r="X133" i="8"/>
  <c r="C153" i="8" s="1"/>
  <c r="Y132" i="8"/>
  <c r="D152" i="8" s="1"/>
  <c r="Z131" i="8"/>
  <c r="E151" i="8" s="1"/>
  <c r="I151" i="8" s="1"/>
  <c r="AA130" i="8"/>
  <c r="F150" i="8" s="1"/>
  <c r="AB129" i="8"/>
  <c r="G149" i="8" s="1"/>
  <c r="AC128" i="8"/>
  <c r="H148" i="8" s="1"/>
  <c r="AD127" i="8"/>
  <c r="T147" i="8" s="1"/>
  <c r="W124" i="8"/>
  <c r="B144" i="8" s="1"/>
  <c r="X123" i="8"/>
  <c r="C143" i="8" s="1"/>
  <c r="Y122" i="8"/>
  <c r="D142" i="8" s="1"/>
  <c r="Z121" i="8"/>
  <c r="E141" i="8" s="1"/>
  <c r="I141" i="8" s="1"/>
  <c r="AA120" i="8"/>
  <c r="F140" i="8" s="1"/>
  <c r="AB119" i="8"/>
  <c r="G139" i="8" s="1"/>
  <c r="W153" i="8"/>
  <c r="B173" i="8" s="1"/>
  <c r="X152" i="8"/>
  <c r="C172" i="8" s="1"/>
  <c r="Y151" i="8"/>
  <c r="D171" i="8" s="1"/>
  <c r="Z150" i="8"/>
  <c r="E170" i="8" s="1"/>
  <c r="I170" i="8" s="1"/>
  <c r="AA149" i="8"/>
  <c r="F169" i="8" s="1"/>
  <c r="AB148" i="8"/>
  <c r="G168" i="8" s="1"/>
  <c r="AC147" i="8"/>
  <c r="H167" i="8" s="1"/>
  <c r="AD146" i="8"/>
  <c r="T166" i="8" s="1"/>
  <c r="W143" i="8"/>
  <c r="B163" i="8" s="1"/>
  <c r="X142" i="8"/>
  <c r="C162" i="8" s="1"/>
  <c r="Y141" i="8"/>
  <c r="D161" i="8" s="1"/>
  <c r="Z140" i="8"/>
  <c r="E160" i="8" s="1"/>
  <c r="I160" i="8" s="1"/>
  <c r="AA139" i="8"/>
  <c r="F159" i="8" s="1"/>
  <c r="AB138" i="8"/>
  <c r="G158" i="8" s="1"/>
  <c r="AC137" i="8"/>
  <c r="H157" i="8" s="1"/>
  <c r="AD136" i="8"/>
  <c r="T156" i="8" s="1"/>
  <c r="W133" i="8"/>
  <c r="B153" i="8" s="1"/>
  <c r="X132" i="8"/>
  <c r="C152" i="8" s="1"/>
  <c r="Y131" i="8"/>
  <c r="D151" i="8" s="1"/>
  <c r="Z130" i="8"/>
  <c r="E150" i="8" s="1"/>
  <c r="I150" i="8" s="1"/>
  <c r="AA129" i="8"/>
  <c r="F149" i="8" s="1"/>
  <c r="AB128" i="8"/>
  <c r="G148" i="8" s="1"/>
  <c r="AC127" i="8"/>
  <c r="H147" i="8" s="1"/>
  <c r="AD126" i="8"/>
  <c r="T146" i="8" s="1"/>
  <c r="W123" i="8"/>
  <c r="B143" i="8" s="1"/>
  <c r="X122" i="8"/>
  <c r="C142" i="8" s="1"/>
  <c r="Y121" i="8"/>
  <c r="D141" i="8" s="1"/>
  <c r="Z120" i="8"/>
  <c r="E140" i="8" s="1"/>
  <c r="I140" i="8" s="1"/>
  <c r="AA119" i="8"/>
  <c r="F139" i="8" s="1"/>
  <c r="W152" i="8"/>
  <c r="B172" i="8" s="1"/>
  <c r="X151" i="8"/>
  <c r="C171" i="8" s="1"/>
  <c r="Y150" i="8"/>
  <c r="D170" i="8" s="1"/>
  <c r="Z149" i="8"/>
  <c r="E169" i="8" s="1"/>
  <c r="I169" i="8" s="1"/>
  <c r="AA148" i="8"/>
  <c r="F168" i="8" s="1"/>
  <c r="AB147" i="8"/>
  <c r="G167" i="8" s="1"/>
  <c r="AC146" i="8"/>
  <c r="H166" i="8" s="1"/>
  <c r="AD145" i="8"/>
  <c r="T165" i="8" s="1"/>
  <c r="W142" i="8"/>
  <c r="B162" i="8" s="1"/>
  <c r="X141" i="8"/>
  <c r="C161" i="8" s="1"/>
  <c r="Y140" i="8"/>
  <c r="D160" i="8" s="1"/>
  <c r="Z139" i="8"/>
  <c r="E159" i="8" s="1"/>
  <c r="I159" i="8" s="1"/>
  <c r="AA138" i="8"/>
  <c r="F158" i="8" s="1"/>
  <c r="AB137" i="8"/>
  <c r="G157" i="8" s="1"/>
  <c r="AC136" i="8"/>
  <c r="H156" i="8" s="1"/>
  <c r="AD135" i="8"/>
  <c r="T155" i="8" s="1"/>
  <c r="W132" i="8"/>
  <c r="B152" i="8" s="1"/>
  <c r="X131" i="8"/>
  <c r="C151" i="8" s="1"/>
  <c r="Y130" i="8"/>
  <c r="D150" i="8" s="1"/>
  <c r="Z129" i="8"/>
  <c r="E149" i="8" s="1"/>
  <c r="I149" i="8" s="1"/>
  <c r="AA128" i="8"/>
  <c r="F148" i="8" s="1"/>
  <c r="AB127" i="8"/>
  <c r="G147" i="8" s="1"/>
  <c r="AC126" i="8"/>
  <c r="H146" i="8" s="1"/>
  <c r="AD125" i="8"/>
  <c r="T145" i="8" s="1"/>
  <c r="W122" i="8"/>
  <c r="B142" i="8" s="1"/>
  <c r="X121" i="8"/>
  <c r="C141" i="8" s="1"/>
  <c r="Y120" i="8"/>
  <c r="D140" i="8" s="1"/>
  <c r="Z119" i="8"/>
  <c r="E139" i="8" s="1"/>
  <c r="I139" i="8" s="1"/>
  <c r="AC153" i="8"/>
  <c r="H173" i="8" s="1"/>
  <c r="AB153" i="8"/>
  <c r="G173" i="8" s="1"/>
  <c r="Z153" i="8"/>
  <c r="E173" i="8" s="1"/>
  <c r="I173" i="8" s="1"/>
  <c r="AA152" i="8"/>
  <c r="F172" i="8" s="1"/>
  <c r="AB151" i="8"/>
  <c r="G171" i="8" s="1"/>
  <c r="AC150" i="8"/>
  <c r="H170" i="8" s="1"/>
  <c r="AD149" i="8"/>
  <c r="T169" i="8" s="1"/>
  <c r="W146" i="8"/>
  <c r="B166" i="8" s="1"/>
  <c r="X145" i="8"/>
  <c r="C165" i="8" s="1"/>
  <c r="Y144" i="8"/>
  <c r="D164" i="8" s="1"/>
  <c r="Z143" i="8"/>
  <c r="E163" i="8" s="1"/>
  <c r="I163" i="8" s="1"/>
  <c r="AA142" i="8"/>
  <c r="F162" i="8" s="1"/>
  <c r="AB141" i="8"/>
  <c r="G161" i="8" s="1"/>
  <c r="AC140" i="8"/>
  <c r="H160" i="8" s="1"/>
  <c r="AD139" i="8"/>
  <c r="T159" i="8" s="1"/>
  <c r="W136" i="8"/>
  <c r="B156" i="8" s="1"/>
  <c r="X135" i="8"/>
  <c r="C155" i="8" s="1"/>
  <c r="Y134" i="8"/>
  <c r="D154" i="8" s="1"/>
  <c r="Z133" i="8"/>
  <c r="E153" i="8" s="1"/>
  <c r="I153" i="8" s="1"/>
  <c r="AA132" i="8"/>
  <c r="F152" i="8" s="1"/>
  <c r="AB131" i="8"/>
  <c r="G151" i="8" s="1"/>
  <c r="AC130" i="8"/>
  <c r="H150" i="8" s="1"/>
  <c r="AD129" i="8"/>
  <c r="T149" i="8" s="1"/>
  <c r="W126" i="8"/>
  <c r="B146" i="8" s="1"/>
  <c r="X125" i="8"/>
  <c r="C145" i="8" s="1"/>
  <c r="Y124" i="8"/>
  <c r="D144" i="8" s="1"/>
  <c r="Z123" i="8"/>
  <c r="E143" i="8" s="1"/>
  <c r="I143" i="8" s="1"/>
  <c r="AA122" i="8"/>
  <c r="F142" i="8" s="1"/>
  <c r="AB121" i="8"/>
  <c r="G141" i="8" s="1"/>
  <c r="AC120" i="8"/>
  <c r="H140" i="8" s="1"/>
  <c r="AD119" i="8"/>
  <c r="T139" i="8" s="1"/>
  <c r="Y153" i="8"/>
  <c r="D173" i="8" s="1"/>
  <c r="W151" i="8"/>
  <c r="B171" i="8" s="1"/>
  <c r="AD150" i="8"/>
  <c r="T170" i="8" s="1"/>
  <c r="W148" i="8"/>
  <c r="B168" i="8" s="1"/>
  <c r="Z147" i="8"/>
  <c r="E167" i="8" s="1"/>
  <c r="I167" i="8" s="1"/>
  <c r="Y145" i="8"/>
  <c r="D165" i="8" s="1"/>
  <c r="AC144" i="8"/>
  <c r="H164" i="8" s="1"/>
  <c r="Z142" i="8"/>
  <c r="E162" i="8" s="1"/>
  <c r="I162" i="8" s="1"/>
  <c r="W139" i="8"/>
  <c r="B159" i="8" s="1"/>
  <c r="AD138" i="8"/>
  <c r="T158" i="8" s="1"/>
  <c r="X136" i="8"/>
  <c r="C156" i="8" s="1"/>
  <c r="AC135" i="8"/>
  <c r="H155" i="8" s="1"/>
  <c r="AA133" i="8"/>
  <c r="F153" i="8" s="1"/>
  <c r="X130" i="8"/>
  <c r="C150" i="8" s="1"/>
  <c r="X127" i="8"/>
  <c r="C147" i="8" s="1"/>
  <c r="AB126" i="8"/>
  <c r="G146" i="8" s="1"/>
  <c r="AA124" i="8"/>
  <c r="F144" i="8" s="1"/>
  <c r="AC121" i="8"/>
  <c r="H141" i="8" s="1"/>
  <c r="AC118" i="8"/>
  <c r="H138" i="8" s="1"/>
  <c r="AD117" i="8"/>
  <c r="T137" i="8" s="1"/>
  <c r="W114" i="8"/>
  <c r="B134" i="8" s="1"/>
  <c r="X113" i="8"/>
  <c r="C133" i="8" s="1"/>
  <c r="Y112" i="8"/>
  <c r="D132" i="8" s="1"/>
  <c r="Z111" i="8"/>
  <c r="E131" i="8" s="1"/>
  <c r="I131" i="8" s="1"/>
  <c r="AA110" i="8"/>
  <c r="F130" i="8" s="1"/>
  <c r="AB109" i="8"/>
  <c r="G129" i="8" s="1"/>
  <c r="AC108" i="8"/>
  <c r="H128" i="8" s="1"/>
  <c r="AD107" i="8"/>
  <c r="T127" i="8" s="1"/>
  <c r="W104" i="8"/>
  <c r="B124" i="8" s="1"/>
  <c r="X103" i="8"/>
  <c r="C123" i="8" s="1"/>
  <c r="Y102" i="8"/>
  <c r="D122" i="8" s="1"/>
  <c r="Z101" i="8"/>
  <c r="E121" i="8" s="1"/>
  <c r="I121" i="8" s="1"/>
  <c r="AA100" i="8"/>
  <c r="F120" i="8" s="1"/>
  <c r="AB99" i="8"/>
  <c r="G119" i="8" s="1"/>
  <c r="AC98" i="8"/>
  <c r="H118" i="8" s="1"/>
  <c r="AD97" i="8"/>
  <c r="T117" i="8" s="1"/>
  <c r="AB150" i="8"/>
  <c r="G170" i="8" s="1"/>
  <c r="Y147" i="8"/>
  <c r="D167" i="8" s="1"/>
  <c r="W145" i="8"/>
  <c r="B165" i="8" s="1"/>
  <c r="AB144" i="8"/>
  <c r="G164" i="8" s="1"/>
  <c r="AD141" i="8"/>
  <c r="T161" i="8" s="1"/>
  <c r="Z138" i="8"/>
  <c r="E158" i="8" s="1"/>
  <c r="I158" i="8" s="1"/>
  <c r="AB135" i="8"/>
  <c r="G155" i="8" s="1"/>
  <c r="Y133" i="8"/>
  <c r="D153" i="8" s="1"/>
  <c r="AD132" i="8"/>
  <c r="T152" i="8" s="1"/>
  <c r="W130" i="8"/>
  <c r="B150" i="8" s="1"/>
  <c r="AC129" i="8"/>
  <c r="H149" i="8" s="1"/>
  <c r="W127" i="8"/>
  <c r="B147" i="8" s="1"/>
  <c r="AA126" i="8"/>
  <c r="F146" i="8" s="1"/>
  <c r="Z124" i="8"/>
  <c r="E144" i="8" s="1"/>
  <c r="I144" i="8" s="1"/>
  <c r="AD123" i="8"/>
  <c r="T143" i="8" s="1"/>
  <c r="AA121" i="8"/>
  <c r="F141" i="8" s="1"/>
  <c r="AB118" i="8"/>
  <c r="G138" i="8" s="1"/>
  <c r="AC117" i="8"/>
  <c r="H137" i="8" s="1"/>
  <c r="AD116" i="8"/>
  <c r="T136" i="8" s="1"/>
  <c r="W113" i="8"/>
  <c r="B133" i="8" s="1"/>
  <c r="X112" i="8"/>
  <c r="C132" i="8" s="1"/>
  <c r="Y111" i="8"/>
  <c r="D131" i="8" s="1"/>
  <c r="Z110" i="8"/>
  <c r="E130" i="8" s="1"/>
  <c r="I130" i="8" s="1"/>
  <c r="AA109" i="8"/>
  <c r="F129" i="8" s="1"/>
  <c r="AB108" i="8"/>
  <c r="G128" i="8" s="1"/>
  <c r="AC107" i="8"/>
  <c r="H127" i="8" s="1"/>
  <c r="AD106" i="8"/>
  <c r="T126" i="8" s="1"/>
  <c r="W103" i="8"/>
  <c r="B123" i="8" s="1"/>
  <c r="X102" i="8"/>
  <c r="C122" i="8" s="1"/>
  <c r="Y101" i="8"/>
  <c r="D121" i="8" s="1"/>
  <c r="Z100" i="8"/>
  <c r="E120" i="8" s="1"/>
  <c r="I120" i="8" s="1"/>
  <c r="AA99" i="8"/>
  <c r="F119" i="8" s="1"/>
  <c r="AB98" i="8"/>
  <c r="G118" i="8" s="1"/>
  <c r="AC97" i="8"/>
  <c r="H117" i="8" s="1"/>
  <c r="AD96" i="8"/>
  <c r="T116" i="8" s="1"/>
  <c r="X150" i="8"/>
  <c r="C170" i="8" s="1"/>
  <c r="X147" i="8"/>
  <c r="C167" i="8" s="1"/>
  <c r="AB146" i="8"/>
  <c r="G166" i="8" s="1"/>
  <c r="AA144" i="8"/>
  <c r="F164" i="8" s="1"/>
  <c r="AC141" i="8"/>
  <c r="H161" i="8" s="1"/>
  <c r="Y138" i="8"/>
  <c r="D158" i="8" s="1"/>
  <c r="AA135" i="8"/>
  <c r="F155" i="8" s="1"/>
  <c r="AC132" i="8"/>
  <c r="H152" i="8" s="1"/>
  <c r="Y129" i="8"/>
  <c r="D149" i="8" s="1"/>
  <c r="Z126" i="8"/>
  <c r="E146" i="8" s="1"/>
  <c r="I146" i="8" s="1"/>
  <c r="X124" i="8"/>
  <c r="C144" i="8" s="1"/>
  <c r="AC123" i="8"/>
  <c r="H143" i="8" s="1"/>
  <c r="W121" i="8"/>
  <c r="B141" i="8" s="1"/>
  <c r="AD120" i="8"/>
  <c r="T140" i="8" s="1"/>
  <c r="AA118" i="8"/>
  <c r="F138" i="8" s="1"/>
  <c r="AB117" i="8"/>
  <c r="G137" i="8" s="1"/>
  <c r="AC116" i="8"/>
  <c r="H136" i="8" s="1"/>
  <c r="AD115" i="8"/>
  <c r="T135" i="8" s="1"/>
  <c r="W112" i="8"/>
  <c r="B132" i="8" s="1"/>
  <c r="X111" i="8"/>
  <c r="C131" i="8" s="1"/>
  <c r="Y110" i="8"/>
  <c r="D130" i="8" s="1"/>
  <c r="Z109" i="8"/>
  <c r="E129" i="8" s="1"/>
  <c r="I129" i="8" s="1"/>
  <c r="AA108" i="8"/>
  <c r="F128" i="8" s="1"/>
  <c r="AB107" i="8"/>
  <c r="G127" i="8" s="1"/>
  <c r="AC106" i="8"/>
  <c r="H126" i="8" s="1"/>
  <c r="AD105" i="8"/>
  <c r="T125" i="8" s="1"/>
  <c r="W102" i="8"/>
  <c r="B122" i="8" s="1"/>
  <c r="X101" i="8"/>
  <c r="C121" i="8" s="1"/>
  <c r="Y100" i="8"/>
  <c r="D120" i="8" s="1"/>
  <c r="Z99" i="8"/>
  <c r="E119" i="8" s="1"/>
  <c r="I119" i="8" s="1"/>
  <c r="AA98" i="8"/>
  <c r="F118" i="8" s="1"/>
  <c r="AB97" i="8"/>
  <c r="G117" i="8" s="1"/>
  <c r="AC96" i="8"/>
  <c r="H116" i="8" s="1"/>
  <c r="AD95" i="8"/>
  <c r="T115" i="8" s="1"/>
  <c r="W92" i="8"/>
  <c r="B112" i="8" s="1"/>
  <c r="X91" i="8"/>
  <c r="C111" i="8" s="1"/>
  <c r="Y90" i="8"/>
  <c r="D110" i="8" s="1"/>
  <c r="Z89" i="8"/>
  <c r="E109" i="8" s="1"/>
  <c r="I109" i="8" s="1"/>
  <c r="AA88" i="8"/>
  <c r="F108" i="8" s="1"/>
  <c r="AB87" i="8"/>
  <c r="G107" i="8" s="1"/>
  <c r="AC86" i="8"/>
  <c r="H106" i="8" s="1"/>
  <c r="AD85" i="8"/>
  <c r="T105" i="8" s="1"/>
  <c r="AC151" i="8"/>
  <c r="H171" i="8" s="1"/>
  <c r="Y148" i="8"/>
  <c r="D168" i="8" s="1"/>
  <c r="AA145" i="8"/>
  <c r="F165" i="8" s="1"/>
  <c r="AC142" i="8"/>
  <c r="H162" i="8" s="1"/>
  <c r="Y139" i="8"/>
  <c r="D159" i="8" s="1"/>
  <c r="Z136" i="8"/>
  <c r="E156" i="8" s="1"/>
  <c r="I156" i="8" s="1"/>
  <c r="X134" i="8"/>
  <c r="C154" i="8" s="1"/>
  <c r="AC133" i="8"/>
  <c r="H153" i="8" s="1"/>
  <c r="W131" i="8"/>
  <c r="B151" i="8" s="1"/>
  <c r="AD130" i="8"/>
  <c r="T150" i="8" s="1"/>
  <c r="W128" i="8"/>
  <c r="B148" i="8" s="1"/>
  <c r="Z127" i="8"/>
  <c r="E147" i="8" s="1"/>
  <c r="I147" i="8" s="1"/>
  <c r="Y125" i="8"/>
  <c r="D145" i="8" s="1"/>
  <c r="AC124" i="8"/>
  <c r="H144" i="8" s="1"/>
  <c r="Z122" i="8"/>
  <c r="E142" i="8" s="1"/>
  <c r="I142" i="8" s="1"/>
  <c r="W119" i="8"/>
  <c r="B139" i="8" s="1"/>
  <c r="W116" i="8"/>
  <c r="B136" i="8" s="1"/>
  <c r="X115" i="8"/>
  <c r="C135" i="8" s="1"/>
  <c r="Y114" i="8"/>
  <c r="D134" i="8" s="1"/>
  <c r="Z113" i="8"/>
  <c r="E133" i="8" s="1"/>
  <c r="I133" i="8" s="1"/>
  <c r="AA112" i="8"/>
  <c r="F132" i="8" s="1"/>
  <c r="AB111" i="8"/>
  <c r="G131" i="8" s="1"/>
  <c r="AC110" i="8"/>
  <c r="H130" i="8" s="1"/>
  <c r="AD109" i="8"/>
  <c r="T129" i="8" s="1"/>
  <c r="W106" i="8"/>
  <c r="B126" i="8" s="1"/>
  <c r="X105" i="8"/>
  <c r="C125" i="8" s="1"/>
  <c r="Y104" i="8"/>
  <c r="D124" i="8" s="1"/>
  <c r="Z103" i="8"/>
  <c r="E123" i="8" s="1"/>
  <c r="I123" i="8" s="1"/>
  <c r="AA102" i="8"/>
  <c r="F122" i="8" s="1"/>
  <c r="AB101" i="8"/>
  <c r="G121" i="8" s="1"/>
  <c r="AC100" i="8"/>
  <c r="H120" i="8" s="1"/>
  <c r="AD99" i="8"/>
  <c r="T119" i="8" s="1"/>
  <c r="AD153" i="8"/>
  <c r="T173" i="8" s="1"/>
  <c r="AA147" i="8"/>
  <c r="F167" i="8" s="1"/>
  <c r="Z146" i="8"/>
  <c r="E166" i="8" s="1"/>
  <c r="I166" i="8" s="1"/>
  <c r="Z145" i="8"/>
  <c r="E165" i="8" s="1"/>
  <c r="I165" i="8" s="1"/>
  <c r="Y143" i="8"/>
  <c r="D163" i="8" s="1"/>
  <c r="AA137" i="8"/>
  <c r="F157" i="8" s="1"/>
  <c r="AA136" i="8"/>
  <c r="F156" i="8" s="1"/>
  <c r="W135" i="8"/>
  <c r="B155" i="8" s="1"/>
  <c r="Z134" i="8"/>
  <c r="E154" i="8" s="1"/>
  <c r="I154" i="8" s="1"/>
  <c r="Y126" i="8"/>
  <c r="D146" i="8" s="1"/>
  <c r="AA125" i="8"/>
  <c r="F145" i="8" s="1"/>
  <c r="X117" i="8"/>
  <c r="C137" i="8" s="1"/>
  <c r="AB116" i="8"/>
  <c r="G136" i="8" s="1"/>
  <c r="AB114" i="8"/>
  <c r="G134" i="8" s="1"/>
  <c r="AD111" i="8"/>
  <c r="T131" i="8" s="1"/>
  <c r="Z108" i="8"/>
  <c r="E128" i="8" s="1"/>
  <c r="I128" i="8" s="1"/>
  <c r="AB105" i="8"/>
  <c r="G125" i="8" s="1"/>
  <c r="AA103" i="8"/>
  <c r="F123" i="8" s="1"/>
  <c r="X100" i="8"/>
  <c r="C120" i="8" s="1"/>
  <c r="X97" i="8"/>
  <c r="C117" i="8" s="1"/>
  <c r="AB96" i="8"/>
  <c r="G116" i="8" s="1"/>
  <c r="AA95" i="8"/>
  <c r="F115" i="8" s="1"/>
  <c r="AA94" i="8"/>
  <c r="F114" i="8" s="1"/>
  <c r="Z93" i="8"/>
  <c r="E113" i="8" s="1"/>
  <c r="I113" i="8" s="1"/>
  <c r="Y92" i="8"/>
  <c r="D112" i="8" s="1"/>
  <c r="Y91" i="8"/>
  <c r="D111" i="8" s="1"/>
  <c r="W90" i="8"/>
  <c r="B110" i="8" s="1"/>
  <c r="AA153" i="8"/>
  <c r="F173" i="8" s="1"/>
  <c r="AC149" i="8"/>
  <c r="H169" i="8" s="1"/>
  <c r="AD148" i="8"/>
  <c r="T168" i="8" s="1"/>
  <c r="W147" i="8"/>
  <c r="B167" i="8" s="1"/>
  <c r="Y146" i="8"/>
  <c r="D166" i="8" s="1"/>
  <c r="X138" i="8"/>
  <c r="C158" i="8" s="1"/>
  <c r="Z137" i="8"/>
  <c r="E157" i="8" s="1"/>
  <c r="I157" i="8" s="1"/>
  <c r="Y136" i="8"/>
  <c r="D156" i="8" s="1"/>
  <c r="AA127" i="8"/>
  <c r="F147" i="8" s="1"/>
  <c r="X126" i="8"/>
  <c r="C146" i="8" s="1"/>
  <c r="Z125" i="8"/>
  <c r="E145" i="8" s="1"/>
  <c r="I145" i="8" s="1"/>
  <c r="W117" i="8"/>
  <c r="B137" i="8" s="1"/>
  <c r="AA116" i="8"/>
  <c r="F136" i="8" s="1"/>
  <c r="AA114" i="8"/>
  <c r="F134" i="8" s="1"/>
  <c r="AC111" i="8"/>
  <c r="H131" i="8" s="1"/>
  <c r="Y108" i="8"/>
  <c r="D128" i="8" s="1"/>
  <c r="AA105" i="8"/>
  <c r="F125" i="8" s="1"/>
  <c r="Y103" i="8"/>
  <c r="D123" i="8" s="1"/>
  <c r="AD102" i="8"/>
  <c r="T122" i="8" s="1"/>
  <c r="W100" i="8"/>
  <c r="B120" i="8" s="1"/>
  <c r="AC99" i="8"/>
  <c r="H119" i="8" s="1"/>
  <c r="W97" i="8"/>
  <c r="B117" i="8" s="1"/>
  <c r="AA96" i="8"/>
  <c r="F116" i="8" s="1"/>
  <c r="Z95" i="8"/>
  <c r="E115" i="8" s="1"/>
  <c r="I115" i="8" s="1"/>
  <c r="Z94" i="8"/>
  <c r="E114" i="8" s="1"/>
  <c r="I114" i="8" s="1"/>
  <c r="Y93" i="8"/>
  <c r="D113" i="8" s="1"/>
  <c r="X92" i="8"/>
  <c r="C112" i="8" s="1"/>
  <c r="W91" i="8"/>
  <c r="B111" i="8" s="1"/>
  <c r="AD87" i="8"/>
  <c r="T107" i="8" s="1"/>
  <c r="AB86" i="8"/>
  <c r="G106" i="8" s="1"/>
  <c r="AA85" i="8"/>
  <c r="F105" i="8" s="1"/>
  <c r="AA84" i="8"/>
  <c r="F104" i="8" s="1"/>
  <c r="Z83" i="8"/>
  <c r="E103" i="8" s="1"/>
  <c r="I103" i="8" s="1"/>
  <c r="Z82" i="8"/>
  <c r="E102" i="8" s="1"/>
  <c r="I102" i="8" s="1"/>
  <c r="AA81" i="8"/>
  <c r="F101" i="8" s="1"/>
  <c r="AB80" i="8"/>
  <c r="G100" i="8" s="1"/>
  <c r="AC79" i="8"/>
  <c r="H99" i="8" s="1"/>
  <c r="AD78" i="8"/>
  <c r="T98" i="8" s="1"/>
  <c r="Y149" i="8"/>
  <c r="D169" i="8" s="1"/>
  <c r="Z148" i="8"/>
  <c r="E168" i="8" s="1"/>
  <c r="I168" i="8" s="1"/>
  <c r="X146" i="8"/>
  <c r="C166" i="8" s="1"/>
  <c r="AC139" i="8"/>
  <c r="H159" i="8" s="1"/>
  <c r="W138" i="8"/>
  <c r="B158" i="8" s="1"/>
  <c r="Y137" i="8"/>
  <c r="D157" i="8" s="1"/>
  <c r="X129" i="8"/>
  <c r="C149" i="8" s="1"/>
  <c r="AD128" i="8"/>
  <c r="T148" i="8" s="1"/>
  <c r="Y127" i="8"/>
  <c r="D147" i="8" s="1"/>
  <c r="W125" i="8"/>
  <c r="B145" i="8" s="1"/>
  <c r="Z116" i="8"/>
  <c r="E136" i="8" s="1"/>
  <c r="I136" i="8" s="1"/>
  <c r="Z114" i="8"/>
  <c r="E134" i="8" s="1"/>
  <c r="I134" i="8" s="1"/>
  <c r="AD113" i="8"/>
  <c r="T133" i="8" s="1"/>
  <c r="AA111" i="8"/>
  <c r="F131" i="8" s="1"/>
  <c r="X108" i="8"/>
  <c r="C128" i="8" s="1"/>
  <c r="AA107" i="8"/>
  <c r="F127" i="8" s="1"/>
  <c r="Z105" i="8"/>
  <c r="E125" i="8" s="1"/>
  <c r="I125" i="8" s="1"/>
  <c r="AC102" i="8"/>
  <c r="H122" i="8" s="1"/>
  <c r="Y99" i="8"/>
  <c r="D119" i="8" s="1"/>
  <c r="Z96" i="8"/>
  <c r="E116" i="8" s="1"/>
  <c r="I116" i="8" s="1"/>
  <c r="Y95" i="8"/>
  <c r="D115" i="8" s="1"/>
  <c r="Y94" i="8"/>
  <c r="D114" i="8" s="1"/>
  <c r="X93" i="8"/>
  <c r="C113" i="8" s="1"/>
  <c r="W150" i="8"/>
  <c r="B170" i="8" s="1"/>
  <c r="X149" i="8"/>
  <c r="C169" i="8" s="1"/>
  <c r="X148" i="8"/>
  <c r="C168" i="8" s="1"/>
  <c r="AD140" i="8"/>
  <c r="T160" i="8" s="1"/>
  <c r="X139" i="8"/>
  <c r="C159" i="8" s="1"/>
  <c r="X137" i="8"/>
  <c r="C157" i="8" s="1"/>
  <c r="W149" i="8"/>
  <c r="B169" i="8" s="1"/>
  <c r="AB140" i="8"/>
  <c r="G160" i="8" s="1"/>
  <c r="W137" i="8"/>
  <c r="B157" i="8" s="1"/>
  <c r="AD151" i="8"/>
  <c r="T171" i="8" s="1"/>
  <c r="AA141" i="8"/>
  <c r="F161" i="8" s="1"/>
  <c r="X140" i="8"/>
  <c r="C160" i="8" s="1"/>
  <c r="AD152" i="8"/>
  <c r="T172" i="8" s="1"/>
  <c r="AA151" i="8"/>
  <c r="F171" i="8" s="1"/>
  <c r="AD143" i="8"/>
  <c r="T163" i="8" s="1"/>
  <c r="AD142" i="8"/>
  <c r="T162" i="8" s="1"/>
  <c r="W141" i="8"/>
  <c r="B161" i="8" s="1"/>
  <c r="W140" i="8"/>
  <c r="B160" i="8" s="1"/>
  <c r="AC152" i="8"/>
  <c r="H172" i="8" s="1"/>
  <c r="AD144" i="8"/>
  <c r="T164" i="8" s="1"/>
  <c r="AC143" i="8"/>
  <c r="H163" i="8" s="1"/>
  <c r="AB142" i="8"/>
  <c r="G162" i="8" s="1"/>
  <c r="AC134" i="8"/>
  <c r="H154" i="8" s="1"/>
  <c r="AB133" i="8"/>
  <c r="G153" i="8" s="1"/>
  <c r="Z132" i="8"/>
  <c r="E152" i="8" s="1"/>
  <c r="I152" i="8" s="1"/>
  <c r="AA131" i="8"/>
  <c r="F151" i="8" s="1"/>
  <c r="AD124" i="8"/>
  <c r="T144" i="8" s="1"/>
  <c r="AA123" i="8"/>
  <c r="F143" i="8" s="1"/>
  <c r="AB122" i="8"/>
  <c r="G142" i="8" s="1"/>
  <c r="W120" i="8"/>
  <c r="B140" i="8" s="1"/>
  <c r="X118" i="8"/>
  <c r="C138" i="8" s="1"/>
  <c r="AA117" i="8"/>
  <c r="F137" i="8" s="1"/>
  <c r="Z115" i="8"/>
  <c r="E135" i="8" s="1"/>
  <c r="I135" i="8" s="1"/>
  <c r="AC112" i="8"/>
  <c r="H132" i="8" s="1"/>
  <c r="Y109" i="8"/>
  <c r="D129" i="8" s="1"/>
  <c r="Z106" i="8"/>
  <c r="E126" i="8" s="1"/>
  <c r="I126" i="8" s="1"/>
  <c r="Z104" i="8"/>
  <c r="E124" i="8" s="1"/>
  <c r="I124" i="8" s="1"/>
  <c r="AD103" i="8"/>
  <c r="T123" i="8" s="1"/>
  <c r="AA101" i="8"/>
  <c r="F121" i="8" s="1"/>
  <c r="X98" i="8"/>
  <c r="C118" i="8" s="1"/>
  <c r="AA97" i="8"/>
  <c r="F117" i="8" s="1"/>
  <c r="AD94" i="8"/>
  <c r="T114" i="8" s="1"/>
  <c r="AC93" i="8"/>
  <c r="H113" i="8" s="1"/>
  <c r="AB92" i="8"/>
  <c r="G112" i="8" s="1"/>
  <c r="AB91" i="8"/>
  <c r="G111" i="8" s="1"/>
  <c r="AA90" i="8"/>
  <c r="F110" i="8" s="1"/>
  <c r="AA143" i="8"/>
  <c r="F163" i="8" s="1"/>
  <c r="Z135" i="8"/>
  <c r="E155" i="8" s="1"/>
  <c r="I155" i="8" s="1"/>
  <c r="AD122" i="8"/>
  <c r="T142" i="8" s="1"/>
  <c r="Z118" i="8"/>
  <c r="E138" i="8" s="1"/>
  <c r="I138" i="8" s="1"/>
  <c r="AD110" i="8"/>
  <c r="T130" i="8" s="1"/>
  <c r="AC109" i="8"/>
  <c r="H129" i="8" s="1"/>
  <c r="W108" i="8"/>
  <c r="B128" i="8" s="1"/>
  <c r="X107" i="8"/>
  <c r="C127" i="8" s="1"/>
  <c r="X106" i="8"/>
  <c r="C126" i="8" s="1"/>
  <c r="X104" i="8"/>
  <c r="C124" i="8" s="1"/>
  <c r="Y96" i="8"/>
  <c r="D116" i="8" s="1"/>
  <c r="AC91" i="8"/>
  <c r="H111" i="8" s="1"/>
  <c r="W89" i="8"/>
  <c r="B109" i="8" s="1"/>
  <c r="AA87" i="8"/>
  <c r="F107" i="8" s="1"/>
  <c r="X86" i="8"/>
  <c r="C106" i="8" s="1"/>
  <c r="AD84" i="8"/>
  <c r="T104" i="8" s="1"/>
  <c r="AA83" i="8"/>
  <c r="F103" i="8" s="1"/>
  <c r="X82" i="8"/>
  <c r="C102" i="8" s="1"/>
  <c r="W81" i="8"/>
  <c r="B101" i="8" s="1"/>
  <c r="AD77" i="8"/>
  <c r="T97" i="8" s="1"/>
  <c r="W74" i="8"/>
  <c r="B94" i="8" s="1"/>
  <c r="X73" i="8"/>
  <c r="C93" i="8" s="1"/>
  <c r="Y72" i="8"/>
  <c r="D92" i="8" s="1"/>
  <c r="Z71" i="8"/>
  <c r="E91" i="8" s="1"/>
  <c r="I91" i="8" s="1"/>
  <c r="AA70" i="8"/>
  <c r="F90" i="8" s="1"/>
  <c r="AB69" i="8"/>
  <c r="G89" i="8" s="1"/>
  <c r="AC68" i="8"/>
  <c r="H88" i="8" s="1"/>
  <c r="AD67" i="8"/>
  <c r="T87" i="8" s="1"/>
  <c r="W64" i="8"/>
  <c r="B84" i="8" s="1"/>
  <c r="X63" i="8"/>
  <c r="C83" i="8" s="1"/>
  <c r="Y62" i="8"/>
  <c r="D82" i="8" s="1"/>
  <c r="AC145" i="8"/>
  <c r="H165" i="8" s="1"/>
  <c r="Y135" i="8"/>
  <c r="D155" i="8" s="1"/>
  <c r="AD133" i="8"/>
  <c r="T153" i="8" s="1"/>
  <c r="AC122" i="8"/>
  <c r="H142" i="8" s="1"/>
  <c r="AC119" i="8"/>
  <c r="H139" i="8" s="1"/>
  <c r="Y118" i="8"/>
  <c r="D138" i="8" s="1"/>
  <c r="AB110" i="8"/>
  <c r="G130" i="8" s="1"/>
  <c r="X109" i="8"/>
  <c r="C129" i="8" s="1"/>
  <c r="W107" i="8"/>
  <c r="B127" i="8" s="1"/>
  <c r="Z97" i="8"/>
  <c r="E117" i="8" s="1"/>
  <c r="I117" i="8" s="1"/>
  <c r="X96" i="8"/>
  <c r="C116" i="8" s="1"/>
  <c r="AC95" i="8"/>
  <c r="H115" i="8" s="1"/>
  <c r="AA91" i="8"/>
  <c r="F111" i="8" s="1"/>
  <c r="AD90" i="8"/>
  <c r="T110" i="8" s="1"/>
  <c r="AD88" i="8"/>
  <c r="T108" i="8" s="1"/>
  <c r="Z87" i="8"/>
  <c r="E107" i="8" s="1"/>
  <c r="I107" i="8" s="1"/>
  <c r="W86" i="8"/>
  <c r="B106" i="8" s="1"/>
  <c r="AC84" i="8"/>
  <c r="H104" i="8" s="1"/>
  <c r="Y83" i="8"/>
  <c r="D103" i="8" s="1"/>
  <c r="W82" i="8"/>
  <c r="B102" i="8" s="1"/>
  <c r="AC78" i="8"/>
  <c r="H98" i="8" s="1"/>
  <c r="AC77" i="8"/>
  <c r="H97" i="8" s="1"/>
  <c r="AD76" i="8"/>
  <c r="T96" i="8" s="1"/>
  <c r="W73" i="8"/>
  <c r="B93" i="8" s="1"/>
  <c r="X72" i="8"/>
  <c r="C92" i="8" s="1"/>
  <c r="Y71" i="8"/>
  <c r="D91" i="8" s="1"/>
  <c r="AA69" i="8"/>
  <c r="F89" i="8" s="1"/>
  <c r="AB68" i="8"/>
  <c r="G88" i="8" s="1"/>
  <c r="AC67" i="8"/>
  <c r="H87" i="8" s="1"/>
  <c r="AD66" i="8"/>
  <c r="T86" i="8" s="1"/>
  <c r="W63" i="8"/>
  <c r="B83" i="8" s="1"/>
  <c r="AB145" i="8"/>
  <c r="G165" i="8" s="1"/>
  <c r="Y119" i="8"/>
  <c r="D139" i="8" s="1"/>
  <c r="W118" i="8"/>
  <c r="B138" i="8" s="1"/>
  <c r="X110" i="8"/>
  <c r="C130" i="8" s="1"/>
  <c r="W109" i="8"/>
  <c r="B129" i="8" s="1"/>
  <c r="AD98" i="8"/>
  <c r="T118" i="8" s="1"/>
  <c r="Y97" i="8"/>
  <c r="D117" i="8" s="1"/>
  <c r="W96" i="8"/>
  <c r="B116" i="8" s="1"/>
  <c r="AB95" i="8"/>
  <c r="G115" i="8" s="1"/>
  <c r="Z91" i="8"/>
  <c r="E111" i="8" s="1"/>
  <c r="I111" i="8" s="1"/>
  <c r="AC90" i="8"/>
  <c r="H110" i="8" s="1"/>
  <c r="AC88" i="8"/>
  <c r="H108" i="8" s="1"/>
  <c r="Y87" i="8"/>
  <c r="D107" i="8" s="1"/>
  <c r="AB84" i="8"/>
  <c r="G104" i="8" s="1"/>
  <c r="X83" i="8"/>
  <c r="C103" i="8" s="1"/>
  <c r="AD79" i="8"/>
  <c r="T99" i="8" s="1"/>
  <c r="AB78" i="8"/>
  <c r="G98" i="8" s="1"/>
  <c r="AB77" i="8"/>
  <c r="G97" i="8" s="1"/>
  <c r="AC76" i="8"/>
  <c r="H96" i="8" s="1"/>
  <c r="AD75" i="8"/>
  <c r="T95" i="8" s="1"/>
  <c r="W72" i="8"/>
  <c r="B92" i="8" s="1"/>
  <c r="X71" i="8"/>
  <c r="C91" i="8" s="1"/>
  <c r="Y70" i="8"/>
  <c r="D90" i="8" s="1"/>
  <c r="AB67" i="8"/>
  <c r="G87" i="8" s="1"/>
  <c r="AC66" i="8"/>
  <c r="H86" i="8" s="1"/>
  <c r="AD65" i="8"/>
  <c r="T85" i="8" s="1"/>
  <c r="W62" i="8"/>
  <c r="B82" i="8" s="1"/>
  <c r="X61" i="8"/>
  <c r="C81" i="8" s="1"/>
  <c r="Y60" i="8"/>
  <c r="D80" i="8" s="1"/>
  <c r="AB57" i="8"/>
  <c r="G77" i="8" s="1"/>
  <c r="AC56" i="8"/>
  <c r="H76" i="8" s="1"/>
  <c r="AD55" i="8"/>
  <c r="T75" i="8" s="1"/>
  <c r="W52" i="8"/>
  <c r="B72" i="8" s="1"/>
  <c r="X51" i="8"/>
  <c r="C71" i="8" s="1"/>
  <c r="Y50" i="8"/>
  <c r="D70" i="8" s="1"/>
  <c r="Z49" i="8"/>
  <c r="E69" i="8" s="1"/>
  <c r="I69" i="8" s="1"/>
  <c r="AB47" i="8"/>
  <c r="G67" i="8" s="1"/>
  <c r="AC46" i="8"/>
  <c r="H66" i="8" s="1"/>
  <c r="AD45" i="8"/>
  <c r="T65" i="8" s="1"/>
  <c r="AD131" i="8"/>
  <c r="T151" i="8" s="1"/>
  <c r="AC125" i="8"/>
  <c r="H145" i="8" s="1"/>
  <c r="X119" i="8"/>
  <c r="C139" i="8" s="1"/>
  <c r="W111" i="8"/>
  <c r="B131" i="8" s="1"/>
  <c r="W110" i="8"/>
  <c r="B130" i="8" s="1"/>
  <c r="AD100" i="8"/>
  <c r="T120" i="8" s="1"/>
  <c r="X99" i="8"/>
  <c r="C119" i="8" s="1"/>
  <c r="Z98" i="8"/>
  <c r="E118" i="8" s="1"/>
  <c r="I118" i="8" s="1"/>
  <c r="X95" i="8"/>
  <c r="C115" i="8" s="1"/>
  <c r="AC94" i="8"/>
  <c r="H114" i="8" s="1"/>
  <c r="AB90" i="8"/>
  <c r="G110" i="8" s="1"/>
  <c r="AB88" i="8"/>
  <c r="G108" i="8" s="1"/>
  <c r="X87" i="8"/>
  <c r="C107" i="8" s="1"/>
  <c r="AC85" i="8"/>
  <c r="H105" i="8" s="1"/>
  <c r="Z84" i="8"/>
  <c r="E104" i="8" s="1"/>
  <c r="I104" i="8" s="1"/>
  <c r="W83" i="8"/>
  <c r="B103" i="8" s="1"/>
  <c r="AD80" i="8"/>
  <c r="T100" i="8" s="1"/>
  <c r="AB79" i="8"/>
  <c r="G99" i="8" s="1"/>
  <c r="AA78" i="8"/>
  <c r="F98" i="8" s="1"/>
  <c r="AA77" i="8"/>
  <c r="F97" i="8" s="1"/>
  <c r="AB76" i="8"/>
  <c r="G96" i="8" s="1"/>
  <c r="AC75" i="8"/>
  <c r="H95" i="8" s="1"/>
  <c r="AD74" i="8"/>
  <c r="T94" i="8" s="1"/>
  <c r="W71" i="8"/>
  <c r="B91" i="8" s="1"/>
  <c r="AC131" i="8"/>
  <c r="H151" i="8" s="1"/>
  <c r="Z128" i="8"/>
  <c r="E148" i="8" s="1"/>
  <c r="I148" i="8" s="1"/>
  <c r="AB125" i="8"/>
  <c r="G145" i="8" s="1"/>
  <c r="AB123" i="8"/>
  <c r="G143" i="8" s="1"/>
  <c r="AD112" i="8"/>
  <c r="T132" i="8" s="1"/>
  <c r="AD101" i="8"/>
  <c r="T121" i="8" s="1"/>
  <c r="AB100" i="8"/>
  <c r="G120" i="8" s="1"/>
  <c r="W99" i="8"/>
  <c r="B119" i="8" s="1"/>
  <c r="Y98" i="8"/>
  <c r="D118" i="8" s="1"/>
  <c r="W95" i="8"/>
  <c r="B115" i="8" s="1"/>
  <c r="AB94" i="8"/>
  <c r="G114" i="8" s="1"/>
  <c r="AD93" i="8"/>
  <c r="T113" i="8" s="1"/>
  <c r="Z90" i="8"/>
  <c r="E110" i="8" s="1"/>
  <c r="I110" i="8" s="1"/>
  <c r="AD89" i="8"/>
  <c r="T109" i="8" s="1"/>
  <c r="Z88" i="8"/>
  <c r="E108" i="8" s="1"/>
  <c r="I108" i="8" s="1"/>
  <c r="W87" i="8"/>
  <c r="B107" i="8" s="1"/>
  <c r="AB85" i="8"/>
  <c r="G105" i="8" s="1"/>
  <c r="Y84" i="8"/>
  <c r="D104" i="8" s="1"/>
  <c r="AD81" i="8"/>
  <c r="T101" i="8" s="1"/>
  <c r="AC80" i="8"/>
  <c r="H100" i="8" s="1"/>
  <c r="AA79" i="8"/>
  <c r="F99" i="8" s="1"/>
  <c r="Z78" i="8"/>
  <c r="E98" i="8" s="1"/>
  <c r="I98" i="8" s="1"/>
  <c r="Z77" i="8"/>
  <c r="E97" i="8" s="1"/>
  <c r="I97" i="8" s="1"/>
  <c r="AA76" i="8"/>
  <c r="F96" i="8" s="1"/>
  <c r="AB75" i="8"/>
  <c r="G95" i="8" s="1"/>
  <c r="AC74" i="8"/>
  <c r="H94" i="8" s="1"/>
  <c r="AD73" i="8"/>
  <c r="T93" i="8" s="1"/>
  <c r="W70" i="8"/>
  <c r="B90" i="8" s="1"/>
  <c r="Z144" i="8"/>
  <c r="E164" i="8" s="1"/>
  <c r="I164" i="8" s="1"/>
  <c r="AB136" i="8"/>
  <c r="G156" i="8" s="1"/>
  <c r="AD134" i="8"/>
  <c r="T154" i="8" s="1"/>
  <c r="Y128" i="8"/>
  <c r="D148" i="8" s="1"/>
  <c r="Y123" i="8"/>
  <c r="D143" i="8" s="1"/>
  <c r="AB120" i="8"/>
  <c r="G140" i="8" s="1"/>
  <c r="AC115" i="8"/>
  <c r="H135" i="8" s="1"/>
  <c r="AD114" i="8"/>
  <c r="T134" i="8" s="1"/>
  <c r="AC113" i="8"/>
  <c r="H133" i="8" s="1"/>
  <c r="AB112" i="8"/>
  <c r="G132" i="8" s="1"/>
  <c r="AB102" i="8"/>
  <c r="G122" i="8" s="1"/>
  <c r="AC101" i="8"/>
  <c r="H121" i="8" s="1"/>
  <c r="W98" i="8"/>
  <c r="B118" i="8" s="1"/>
  <c r="X94" i="8"/>
  <c r="C114" i="8" s="1"/>
  <c r="AB93" i="8"/>
  <c r="G113" i="8" s="1"/>
  <c r="X90" i="8"/>
  <c r="C110" i="8" s="1"/>
  <c r="AC89" i="8"/>
  <c r="H109" i="8" s="1"/>
  <c r="Y88" i="8"/>
  <c r="D108" i="8" s="1"/>
  <c r="Z85" i="8"/>
  <c r="E105" i="8" s="1"/>
  <c r="I105" i="8" s="1"/>
  <c r="X84" i="8"/>
  <c r="C104" i="8" s="1"/>
  <c r="AD82" i="8"/>
  <c r="T102" i="8" s="1"/>
  <c r="AC81" i="8"/>
  <c r="H101" i="8" s="1"/>
  <c r="AA80" i="8"/>
  <c r="F100" i="8" s="1"/>
  <c r="Z79" i="8"/>
  <c r="E99" i="8" s="1"/>
  <c r="I99" i="8" s="1"/>
  <c r="Y78" i="8"/>
  <c r="D98" i="8" s="1"/>
  <c r="Y77" i="8"/>
  <c r="D97" i="8" s="1"/>
  <c r="Z76" i="8"/>
  <c r="E96" i="8" s="1"/>
  <c r="I96" i="8" s="1"/>
  <c r="AA75" i="8"/>
  <c r="F95" i="8" s="1"/>
  <c r="AB74" i="8"/>
  <c r="G94" i="8" s="1"/>
  <c r="AC73" i="8"/>
  <c r="H93" i="8" s="1"/>
  <c r="AD72" i="8"/>
  <c r="T92" i="8" s="1"/>
  <c r="W69" i="8"/>
  <c r="B89" i="8" s="1"/>
  <c r="AB152" i="8"/>
  <c r="G172" i="8" s="1"/>
  <c r="X144" i="8"/>
  <c r="C164" i="8" s="1"/>
  <c r="AB134" i="8"/>
  <c r="G154" i="8" s="1"/>
  <c r="W129" i="8"/>
  <c r="B149" i="8" s="1"/>
  <c r="X128" i="8"/>
  <c r="C148" i="8" s="1"/>
  <c r="X120" i="8"/>
  <c r="C140" i="8" s="1"/>
  <c r="AB115" i="8"/>
  <c r="G135" i="8" s="1"/>
  <c r="AC114" i="8"/>
  <c r="H134" i="8" s="1"/>
  <c r="AB113" i="8"/>
  <c r="G133" i="8" s="1"/>
  <c r="Z112" i="8"/>
  <c r="E132" i="8" s="1"/>
  <c r="I132" i="8" s="1"/>
  <c r="AC105" i="8"/>
  <c r="H125" i="8" s="1"/>
  <c r="AD104" i="8"/>
  <c r="T124" i="8" s="1"/>
  <c r="AC103" i="8"/>
  <c r="H123" i="8" s="1"/>
  <c r="Z102" i="8"/>
  <c r="E122" i="8" s="1"/>
  <c r="I122" i="8" s="1"/>
  <c r="W101" i="8"/>
  <c r="B121" i="8" s="1"/>
  <c r="W94" i="8"/>
  <c r="B114" i="8" s="1"/>
  <c r="AA93" i="8"/>
  <c r="F113" i="8" s="1"/>
  <c r="AD92" i="8"/>
  <c r="T112" i="8" s="1"/>
  <c r="AB89" i="8"/>
  <c r="G109" i="8" s="1"/>
  <c r="X88" i="8"/>
  <c r="C108" i="8" s="1"/>
  <c r="AD86" i="8"/>
  <c r="T106" i="8" s="1"/>
  <c r="Y85" i="8"/>
  <c r="D105" i="8" s="1"/>
  <c r="W84" i="8"/>
  <c r="B104" i="8" s="1"/>
  <c r="AC82" i="8"/>
  <c r="H102" i="8" s="1"/>
  <c r="AB81" i="8"/>
  <c r="G101" i="8" s="1"/>
  <c r="Z80" i="8"/>
  <c r="E100" i="8" s="1"/>
  <c r="I100" i="8" s="1"/>
  <c r="Y79" i="8"/>
  <c r="D99" i="8" s="1"/>
  <c r="X78" i="8"/>
  <c r="C98" i="8" s="1"/>
  <c r="X77" i="8"/>
  <c r="C97" i="8" s="1"/>
  <c r="Y76" i="8"/>
  <c r="D96" i="8" s="1"/>
  <c r="Z75" i="8"/>
  <c r="E95" i="8" s="1"/>
  <c r="I95" i="8" s="1"/>
  <c r="AA74" i="8"/>
  <c r="F94" i="8" s="1"/>
  <c r="AB73" i="8"/>
  <c r="G93" i="8" s="1"/>
  <c r="AC72" i="8"/>
  <c r="H92" i="8" s="1"/>
  <c r="AD71" i="8"/>
  <c r="T91" i="8" s="1"/>
  <c r="W68" i="8"/>
  <c r="B88" i="8" s="1"/>
  <c r="Z152" i="8"/>
  <c r="E172" i="8" s="1"/>
  <c r="I172" i="8" s="1"/>
  <c r="AA146" i="8"/>
  <c r="F166" i="8" s="1"/>
  <c r="AA134" i="8"/>
  <c r="F154" i="8" s="1"/>
  <c r="AB132" i="8"/>
  <c r="G152" i="8" s="1"/>
  <c r="AD121" i="8"/>
  <c r="T141" i="8" s="1"/>
  <c r="Y116" i="8"/>
  <c r="D136" i="8" s="1"/>
  <c r="AA115" i="8"/>
  <c r="F135" i="8" s="1"/>
  <c r="X114" i="8"/>
  <c r="C134" i="8" s="1"/>
  <c r="AA113" i="8"/>
  <c r="F133" i="8" s="1"/>
  <c r="AB106" i="8"/>
  <c r="G126" i="8" s="1"/>
  <c r="Y105" i="8"/>
  <c r="D125" i="8" s="1"/>
  <c r="AC104" i="8"/>
  <c r="H124" i="8" s="1"/>
  <c r="AB103" i="8"/>
  <c r="G123" i="8" s="1"/>
  <c r="W93" i="8"/>
  <c r="B113" i="8" s="1"/>
  <c r="AC92" i="8"/>
  <c r="H112" i="8" s="1"/>
  <c r="AA89" i="8"/>
  <c r="F109" i="8" s="1"/>
  <c r="W88" i="8"/>
  <c r="B108" i="8" s="1"/>
  <c r="AA86" i="8"/>
  <c r="F106" i="8" s="1"/>
  <c r="X85" i="8"/>
  <c r="C105" i="8" s="1"/>
  <c r="AD83" i="8"/>
  <c r="T103" i="8" s="1"/>
  <c r="AB82" i="8"/>
  <c r="G102" i="8" s="1"/>
  <c r="Z81" i="8"/>
  <c r="E101" i="8" s="1"/>
  <c r="I101" i="8" s="1"/>
  <c r="Y80" i="8"/>
  <c r="D100" i="8" s="1"/>
  <c r="X79" i="8"/>
  <c r="C99" i="8" s="1"/>
  <c r="W78" i="8"/>
  <c r="B98" i="8" s="1"/>
  <c r="W77" i="8"/>
  <c r="B97" i="8" s="1"/>
  <c r="X76" i="8"/>
  <c r="C96" i="8" s="1"/>
  <c r="Y75" i="8"/>
  <c r="D95" i="8" s="1"/>
  <c r="Z74" i="8"/>
  <c r="E94" i="8" s="1"/>
  <c r="I94" i="8" s="1"/>
  <c r="AB72" i="8"/>
  <c r="G92" i="8" s="1"/>
  <c r="AC71" i="8"/>
  <c r="H91" i="8" s="1"/>
  <c r="AD70" i="8"/>
  <c r="T90" i="8" s="1"/>
  <c r="W67" i="8"/>
  <c r="B87" i="8" s="1"/>
  <c r="Z117" i="8"/>
  <c r="E137" i="8" s="1"/>
  <c r="I137" i="8" s="1"/>
  <c r="X116" i="8"/>
  <c r="C136" i="8" s="1"/>
  <c r="Y115" i="8"/>
  <c r="D135" i="8" s="1"/>
  <c r="Y113" i="8"/>
  <c r="D133" i="8" s="1"/>
  <c r="Z107" i="8"/>
  <c r="E127" i="8" s="1"/>
  <c r="I127" i="8" s="1"/>
  <c r="AA106" i="8"/>
  <c r="F126" i="8" s="1"/>
  <c r="W105" i="8"/>
  <c r="B125" i="8" s="1"/>
  <c r="AB104" i="8"/>
  <c r="G124" i="8" s="1"/>
  <c r="AA92" i="8"/>
  <c r="F112" i="8" s="1"/>
  <c r="Y89" i="8"/>
  <c r="D109" i="8" s="1"/>
  <c r="Z86" i="8"/>
  <c r="E106" i="8" s="1"/>
  <c r="I106" i="8" s="1"/>
  <c r="W85" i="8"/>
  <c r="B105" i="8" s="1"/>
  <c r="AC83" i="8"/>
  <c r="H103" i="8" s="1"/>
  <c r="AA82" i="8"/>
  <c r="F102" i="8" s="1"/>
  <c r="Y81" i="8"/>
  <c r="D101" i="8" s="1"/>
  <c r="X80" i="8"/>
  <c r="C100" i="8" s="1"/>
  <c r="W79" i="8"/>
  <c r="B99" i="8" s="1"/>
  <c r="W76" i="8"/>
  <c r="B96" i="8" s="1"/>
  <c r="X75" i="8"/>
  <c r="C95" i="8" s="1"/>
  <c r="Y74" i="8"/>
  <c r="D94" i="8" s="1"/>
  <c r="AB71" i="8"/>
  <c r="G91" i="8" s="1"/>
  <c r="AC70" i="8"/>
  <c r="H90" i="8" s="1"/>
  <c r="AD69" i="8"/>
  <c r="T89" i="8" s="1"/>
  <c r="W66" i="8"/>
  <c r="B86" i="8" s="1"/>
  <c r="AB143" i="8"/>
  <c r="G163" i="8" s="1"/>
  <c r="AB130" i="8"/>
  <c r="G150" i="8" s="1"/>
  <c r="AB124" i="8"/>
  <c r="G144" i="8" s="1"/>
  <c r="AD118" i="8"/>
  <c r="T138" i="8" s="1"/>
  <c r="Y117" i="8"/>
  <c r="D137" i="8" s="1"/>
  <c r="W115" i="8"/>
  <c r="B135" i="8" s="1"/>
  <c r="AD108" i="8"/>
  <c r="T128" i="8" s="1"/>
  <c r="Y107" i="8"/>
  <c r="D127" i="8" s="1"/>
  <c r="Y106" i="8"/>
  <c r="D126" i="8" s="1"/>
  <c r="AA104" i="8"/>
  <c r="F124" i="8" s="1"/>
  <c r="Z92" i="8"/>
  <c r="E112" i="8" s="1"/>
  <c r="I112" i="8" s="1"/>
  <c r="AD91" i="8"/>
  <c r="T111" i="8" s="1"/>
  <c r="X89" i="8"/>
  <c r="C109" i="8" s="1"/>
  <c r="AC87" i="8"/>
  <c r="H107" i="8" s="1"/>
  <c r="Y86" i="8"/>
  <c r="D106" i="8" s="1"/>
  <c r="AB83" i="8"/>
  <c r="G103" i="8" s="1"/>
  <c r="Y82" i="8"/>
  <c r="D102" i="8" s="1"/>
  <c r="X81" i="8"/>
  <c r="C101" i="8" s="1"/>
  <c r="W80" i="8"/>
  <c r="B100" i="8" s="1"/>
  <c r="W75" i="8"/>
  <c r="B95" i="8" s="1"/>
  <c r="X74" i="8"/>
  <c r="C94" i="8" s="1"/>
  <c r="Y73" i="8"/>
  <c r="D93" i="8" s="1"/>
  <c r="AA71" i="8"/>
  <c r="F91" i="8" s="1"/>
  <c r="AB70" i="8"/>
  <c r="G90" i="8" s="1"/>
  <c r="AC69" i="8"/>
  <c r="H89" i="8" s="1"/>
  <c r="AD68" i="8"/>
  <c r="T88" i="8" s="1"/>
  <c r="W65" i="8"/>
  <c r="B85" i="8" s="1"/>
  <c r="X70" i="8"/>
  <c r="C90" i="8" s="1"/>
  <c r="Y67" i="8"/>
  <c r="D87" i="8" s="1"/>
  <c r="AC65" i="8"/>
  <c r="H85" i="8" s="1"/>
  <c r="X64" i="8"/>
  <c r="C84" i="8" s="1"/>
  <c r="AD63" i="8"/>
  <c r="T83" i="8" s="1"/>
  <c r="AC59" i="8"/>
  <c r="H79" i="8" s="1"/>
  <c r="AB58" i="8"/>
  <c r="G78" i="8" s="1"/>
  <c r="Y56" i="8"/>
  <c r="D76" i="8" s="1"/>
  <c r="X55" i="8"/>
  <c r="C75" i="8" s="1"/>
  <c r="X54" i="8"/>
  <c r="C74" i="8" s="1"/>
  <c r="W53" i="8"/>
  <c r="B73" i="8" s="1"/>
  <c r="AD49" i="8"/>
  <c r="T69" i="8" s="1"/>
  <c r="AC48" i="8"/>
  <c r="H68" i="8" s="1"/>
  <c r="Y45" i="8"/>
  <c r="D65" i="8" s="1"/>
  <c r="Y44" i="8"/>
  <c r="D64" i="8" s="1"/>
  <c r="AA42" i="8"/>
  <c r="F62" i="8" s="1"/>
  <c r="AB41" i="8"/>
  <c r="G61" i="8" s="1"/>
  <c r="AC40" i="8"/>
  <c r="H60" i="8" s="1"/>
  <c r="AD39" i="8"/>
  <c r="T59" i="8" s="1"/>
  <c r="Y68" i="8"/>
  <c r="D88" i="8" s="1"/>
  <c r="X67" i="8"/>
  <c r="C87" i="8" s="1"/>
  <c r="Y66" i="8"/>
  <c r="D86" i="8" s="1"/>
  <c r="AB65" i="8"/>
  <c r="G85" i="8" s="1"/>
  <c r="AC63" i="8"/>
  <c r="H83" i="8" s="1"/>
  <c r="X62" i="8"/>
  <c r="C82" i="8" s="1"/>
  <c r="AD60" i="8"/>
  <c r="T80" i="8" s="1"/>
  <c r="AB59" i="8"/>
  <c r="G79" i="8" s="1"/>
  <c r="Y57" i="8"/>
  <c r="D77" i="8" s="1"/>
  <c r="X56" i="8"/>
  <c r="C76" i="8" s="1"/>
  <c r="W55" i="8"/>
  <c r="B75" i="8" s="1"/>
  <c r="W54" i="8"/>
  <c r="B74" i="8" s="1"/>
  <c r="AD50" i="8"/>
  <c r="T70" i="8" s="1"/>
  <c r="AC49" i="8"/>
  <c r="H69" i="8" s="1"/>
  <c r="AB48" i="8"/>
  <c r="G68" i="8" s="1"/>
  <c r="Y46" i="8"/>
  <c r="D66" i="8" s="1"/>
  <c r="X45" i="8"/>
  <c r="C65" i="8" s="1"/>
  <c r="X44" i="8"/>
  <c r="C64" i="8" s="1"/>
  <c r="Y43" i="8"/>
  <c r="D63" i="8" s="1"/>
  <c r="AA41" i="8"/>
  <c r="F61" i="8" s="1"/>
  <c r="AB40" i="8"/>
  <c r="G60" i="8" s="1"/>
  <c r="AC39" i="8"/>
  <c r="H59" i="8" s="1"/>
  <c r="AD38" i="8"/>
  <c r="T58" i="8" s="1"/>
  <c r="X68" i="8"/>
  <c r="C88" i="8" s="1"/>
  <c r="X66" i="8"/>
  <c r="C86" i="8" s="1"/>
  <c r="AB63" i="8"/>
  <c r="G83" i="8" s="1"/>
  <c r="AC60" i="8"/>
  <c r="H80" i="8" s="1"/>
  <c r="Y58" i="8"/>
  <c r="D78" i="8" s="1"/>
  <c r="X57" i="8"/>
  <c r="C77" i="8" s="1"/>
  <c r="W56" i="8"/>
  <c r="B76" i="8" s="1"/>
  <c r="AD52" i="8"/>
  <c r="T72" i="8" s="1"/>
  <c r="AD51" i="8"/>
  <c r="T71" i="8" s="1"/>
  <c r="AC50" i="8"/>
  <c r="H70" i="8" s="1"/>
  <c r="AB49" i="8"/>
  <c r="G69" i="8" s="1"/>
  <c r="Y47" i="8"/>
  <c r="D67" i="8" s="1"/>
  <c r="X46" i="8"/>
  <c r="C66" i="8" s="1"/>
  <c r="W45" i="8"/>
  <c r="B65" i="8" s="1"/>
  <c r="W44" i="8"/>
  <c r="B64" i="8" s="1"/>
  <c r="AA63" i="8"/>
  <c r="F83" i="8" s="1"/>
  <c r="AB60" i="8"/>
  <c r="G80" i="8" s="1"/>
  <c r="Y59" i="8"/>
  <c r="D79" i="8" s="1"/>
  <c r="X58" i="8"/>
  <c r="C78" i="8" s="1"/>
  <c r="W57" i="8"/>
  <c r="B77" i="8" s="1"/>
  <c r="AD53" i="8"/>
  <c r="T73" i="8" s="1"/>
  <c r="AC52" i="8"/>
  <c r="H72" i="8" s="1"/>
  <c r="AC51" i="8"/>
  <c r="H71" i="8" s="1"/>
  <c r="AB50" i="8"/>
  <c r="G70" i="8" s="1"/>
  <c r="Y48" i="8"/>
  <c r="D68" i="8" s="1"/>
  <c r="X47" i="8"/>
  <c r="C67" i="8" s="1"/>
  <c r="W46" i="8"/>
  <c r="B66" i="8" s="1"/>
  <c r="W43" i="8"/>
  <c r="B63" i="8" s="1"/>
  <c r="X42" i="8"/>
  <c r="C62" i="8" s="1"/>
  <c r="Y41" i="8"/>
  <c r="D61" i="8" s="1"/>
  <c r="AB38" i="8"/>
  <c r="G58" i="8" s="1"/>
  <c r="AC37" i="8"/>
  <c r="H57" i="8" s="1"/>
  <c r="AD36" i="8"/>
  <c r="T56" i="8" s="1"/>
  <c r="Y69" i="8"/>
  <c r="D89" i="8" s="1"/>
  <c r="Y65" i="8"/>
  <c r="D85" i="8" s="1"/>
  <c r="AD64" i="8"/>
  <c r="T84" i="8" s="1"/>
  <c r="Z63" i="8"/>
  <c r="E83" i="8" s="1"/>
  <c r="I83" i="8" s="1"/>
  <c r="AD61" i="8"/>
  <c r="T81" i="8" s="1"/>
  <c r="X59" i="8"/>
  <c r="C79" i="8" s="1"/>
  <c r="W58" i="8"/>
  <c r="B78" i="8" s="1"/>
  <c r="AD54" i="8"/>
  <c r="T74" i="8" s="1"/>
  <c r="AC53" i="8"/>
  <c r="H73" i="8" s="1"/>
  <c r="AB52" i="8"/>
  <c r="G72" i="8" s="1"/>
  <c r="AB51" i="8"/>
  <c r="G71" i="8" s="1"/>
  <c r="Y49" i="8"/>
  <c r="D69" i="8" s="1"/>
  <c r="X48" i="8"/>
  <c r="C68" i="8" s="1"/>
  <c r="W47" i="8"/>
  <c r="B67" i="8" s="1"/>
  <c r="W42" i="8"/>
  <c r="B62" i="8" s="1"/>
  <c r="X41" i="8"/>
  <c r="C61" i="8" s="1"/>
  <c r="Y40" i="8"/>
  <c r="D60" i="8" s="1"/>
  <c r="AB37" i="8"/>
  <c r="G57" i="8" s="1"/>
  <c r="AC36" i="8"/>
  <c r="H56" i="8" s="1"/>
  <c r="AD35" i="8"/>
  <c r="T55" i="8" s="1"/>
  <c r="W32" i="8"/>
  <c r="B52" i="8" s="1"/>
  <c r="X31" i="8"/>
  <c r="C51" i="8" s="1"/>
  <c r="Y30" i="8"/>
  <c r="D50" i="8" s="1"/>
  <c r="Z29" i="8"/>
  <c r="E49" i="8" s="1"/>
  <c r="I49" i="8" s="1"/>
  <c r="AB27" i="8"/>
  <c r="G47" i="8" s="1"/>
  <c r="AC26" i="8"/>
  <c r="H46" i="8" s="1"/>
  <c r="AD25" i="8"/>
  <c r="T45" i="8" s="1"/>
  <c r="X22" i="8"/>
  <c r="C42" i="8" s="1"/>
  <c r="Z21" i="8"/>
  <c r="E41" i="8" s="1"/>
  <c r="I41" i="8" s="1"/>
  <c r="AB20" i="8"/>
  <c r="G40" i="8" s="1"/>
  <c r="AD19" i="8"/>
  <c r="T39" i="8" s="1"/>
  <c r="X17" i="8"/>
  <c r="C37" i="8" s="1"/>
  <c r="X69" i="8"/>
  <c r="C89" i="8" s="1"/>
  <c r="X65" i="8"/>
  <c r="C85" i="8" s="1"/>
  <c r="AC64" i="8"/>
  <c r="H84" i="8" s="1"/>
  <c r="Y63" i="8"/>
  <c r="D83" i="8" s="1"/>
  <c r="AC61" i="8"/>
  <c r="H81" i="8" s="1"/>
  <c r="X60" i="8"/>
  <c r="C80" i="8" s="1"/>
  <c r="W59" i="8"/>
  <c r="B79" i="8" s="1"/>
  <c r="AC55" i="8"/>
  <c r="H75" i="8" s="1"/>
  <c r="AC54" i="8"/>
  <c r="H74" i="8" s="1"/>
  <c r="AB53" i="8"/>
  <c r="G73" i="8" s="1"/>
  <c r="X49" i="8"/>
  <c r="C69" i="8" s="1"/>
  <c r="AB64" i="8"/>
  <c r="G84" i="8" s="1"/>
  <c r="AD62" i="8"/>
  <c r="T82" i="8" s="1"/>
  <c r="AB61" i="8"/>
  <c r="G81" i="8" s="1"/>
  <c r="W60" i="8"/>
  <c r="B80" i="8" s="1"/>
  <c r="AD56" i="8"/>
  <c r="T76" i="8" s="1"/>
  <c r="AB55" i="8"/>
  <c r="G75" i="8" s="1"/>
  <c r="AB54" i="8"/>
  <c r="G74" i="8" s="1"/>
  <c r="X50" i="8"/>
  <c r="C70" i="8" s="1"/>
  <c r="W49" i="8"/>
  <c r="B69" i="8" s="1"/>
  <c r="AC62" i="8"/>
  <c r="H82" i="8" s="1"/>
  <c r="AD57" i="8"/>
  <c r="T77" i="8" s="1"/>
  <c r="AB56" i="8"/>
  <c r="G76" i="8" s="1"/>
  <c r="AA55" i="8"/>
  <c r="F75" i="8" s="1"/>
  <c r="AA54" i="8"/>
  <c r="F74" i="8" s="1"/>
  <c r="Y52" i="8"/>
  <c r="D72" i="8" s="1"/>
  <c r="Y51" i="8"/>
  <c r="D71" i="8" s="1"/>
  <c r="W50" i="8"/>
  <c r="B70" i="8" s="1"/>
  <c r="AD46" i="8"/>
  <c r="T66" i="8" s="1"/>
  <c r="AB45" i="8"/>
  <c r="G65" i="8" s="1"/>
  <c r="AB44" i="8"/>
  <c r="G64" i="8" s="1"/>
  <c r="AC43" i="8"/>
  <c r="H63" i="8" s="1"/>
  <c r="AD42" i="8"/>
  <c r="T62" i="8" s="1"/>
  <c r="AB66" i="8"/>
  <c r="G86" i="8" s="1"/>
  <c r="AB62" i="8"/>
  <c r="G82" i="8" s="1"/>
  <c r="Y61" i="8"/>
  <c r="D81" i="8" s="1"/>
  <c r="AD58" i="8"/>
  <c r="T78" i="8" s="1"/>
  <c r="AC57" i="8"/>
  <c r="H77" i="8" s="1"/>
  <c r="Z55" i="8"/>
  <c r="E75" i="8" s="1"/>
  <c r="I75" i="8" s="1"/>
  <c r="Z54" i="8"/>
  <c r="E74" i="8" s="1"/>
  <c r="I74" i="8" s="1"/>
  <c r="Y53" i="8"/>
  <c r="D73" i="8" s="1"/>
  <c r="X52" i="8"/>
  <c r="C72" i="8" s="1"/>
  <c r="W51" i="8"/>
  <c r="B71" i="8" s="1"/>
  <c r="AD47" i="8"/>
  <c r="T67" i="8" s="1"/>
  <c r="AB46" i="8"/>
  <c r="G66" i="8" s="1"/>
  <c r="AB43" i="8"/>
  <c r="G63" i="8" s="1"/>
  <c r="AC42" i="8"/>
  <c r="H62" i="8" s="1"/>
  <c r="AD41" i="8"/>
  <c r="T61" i="8" s="1"/>
  <c r="W38" i="8"/>
  <c r="B58" i="8" s="1"/>
  <c r="X37" i="8"/>
  <c r="C57" i="8" s="1"/>
  <c r="Y36" i="8"/>
  <c r="D56" i="8" s="1"/>
  <c r="AA34" i="8"/>
  <c r="F54" i="8" s="1"/>
  <c r="AB33" i="8"/>
  <c r="G53" i="8" s="1"/>
  <c r="AC32" i="8"/>
  <c r="H52" i="8" s="1"/>
  <c r="AD31" i="8"/>
  <c r="T51" i="8" s="1"/>
  <c r="Y64" i="8"/>
  <c r="D84" i="8" s="1"/>
  <c r="W61" i="8"/>
  <c r="B81" i="8" s="1"/>
  <c r="AD59" i="8"/>
  <c r="T79" i="8" s="1"/>
  <c r="AC58" i="8"/>
  <c r="H78" i="8" s="1"/>
  <c r="Y55" i="8"/>
  <c r="D75" i="8" s="1"/>
  <c r="Y54" i="8"/>
  <c r="D74" i="8" s="1"/>
  <c r="X53" i="8"/>
  <c r="C73" i="8" s="1"/>
  <c r="AD48" i="8"/>
  <c r="T68" i="8" s="1"/>
  <c r="AC47" i="8"/>
  <c r="H67" i="8" s="1"/>
  <c r="AA46" i="8"/>
  <c r="F66" i="8" s="1"/>
  <c r="AB42" i="8"/>
  <c r="G62" i="8" s="1"/>
  <c r="AC41" i="8"/>
  <c r="H61" i="8" s="1"/>
  <c r="AD40" i="8"/>
  <c r="T60" i="8" s="1"/>
  <c r="W37" i="8"/>
  <c r="B57" i="8" s="1"/>
  <c r="X36" i="8"/>
  <c r="C56" i="8" s="1"/>
  <c r="Y35" i="8"/>
  <c r="D55" i="8" s="1"/>
  <c r="Z34" i="8"/>
  <c r="E54" i="8" s="1"/>
  <c r="I54" i="8" s="1"/>
  <c r="AB32" i="8"/>
  <c r="G52" i="8" s="1"/>
  <c r="AC31" i="8"/>
  <c r="H51" i="8" s="1"/>
  <c r="AD30" i="8"/>
  <c r="T50" i="8" s="1"/>
  <c r="AC38" i="8"/>
  <c r="H58" i="8" s="1"/>
  <c r="AB35" i="8"/>
  <c r="G55" i="8" s="1"/>
  <c r="AC33" i="8"/>
  <c r="H53" i="8" s="1"/>
  <c r="AB31" i="8"/>
  <c r="G51" i="8" s="1"/>
  <c r="W30" i="8"/>
  <c r="B50" i="8" s="1"/>
  <c r="AD27" i="8"/>
  <c r="T47" i="8" s="1"/>
  <c r="AB26" i="8"/>
  <c r="G46" i="8" s="1"/>
  <c r="AB22" i="8"/>
  <c r="G42" i="8" s="1"/>
  <c r="AC21" i="8"/>
  <c r="H41" i="8" s="1"/>
  <c r="AD20" i="8"/>
  <c r="T40" i="8" s="1"/>
  <c r="AD44" i="8"/>
  <c r="T64" i="8" s="1"/>
  <c r="AB39" i="8"/>
  <c r="G59" i="8" s="1"/>
  <c r="AA31" i="8"/>
  <c r="F51" i="8" s="1"/>
  <c r="AD28" i="8"/>
  <c r="T48" i="8" s="1"/>
  <c r="AC27" i="8"/>
  <c r="H47" i="8" s="1"/>
  <c r="Y23" i="8"/>
  <c r="D43" i="8" s="1"/>
  <c r="AB21" i="8"/>
  <c r="G41" i="8" s="1"/>
  <c r="AC20" i="8"/>
  <c r="H40" i="8" s="1"/>
  <c r="AC19" i="8"/>
  <c r="H39" i="8" s="1"/>
  <c r="AD18" i="8"/>
  <c r="T38" i="8" s="1"/>
  <c r="W16" i="8"/>
  <c r="B36" i="8" s="1"/>
  <c r="Y15" i="8"/>
  <c r="D35" i="8" s="1"/>
  <c r="Y12" i="8"/>
  <c r="D32" i="8" s="1"/>
  <c r="AC11" i="8"/>
  <c r="H31" i="8" s="1"/>
  <c r="X10" i="8"/>
  <c r="C30" i="8" s="1"/>
  <c r="AC9" i="8"/>
  <c r="H29" i="8" s="1"/>
  <c r="X8" i="8"/>
  <c r="C28" i="8" s="1"/>
  <c r="AC7" i="8"/>
  <c r="H27" i="8" s="1"/>
  <c r="Y6" i="8"/>
  <c r="D26" i="8" s="1"/>
  <c r="AC44" i="8"/>
  <c r="H64" i="8" s="1"/>
  <c r="Y39" i="8"/>
  <c r="D59" i="8" s="1"/>
  <c r="Y38" i="8"/>
  <c r="D58" i="8" s="1"/>
  <c r="AD37" i="8"/>
  <c r="T57" i="8" s="1"/>
  <c r="X35" i="8"/>
  <c r="C55" i="8" s="1"/>
  <c r="Y33" i="8"/>
  <c r="D53" i="8" s="1"/>
  <c r="Z31" i="8"/>
  <c r="E51" i="8" s="1"/>
  <c r="I51" i="8" s="1"/>
  <c r="AD29" i="8"/>
  <c r="T49" i="8" s="1"/>
  <c r="AC28" i="8"/>
  <c r="H48" i="8" s="1"/>
  <c r="Z26" i="8"/>
  <c r="E46" i="8" s="1"/>
  <c r="I46" i="8" s="1"/>
  <c r="Y25" i="8"/>
  <c r="D45" i="8" s="1"/>
  <c r="Y24" i="8"/>
  <c r="D44" i="8" s="1"/>
  <c r="X23" i="8"/>
  <c r="C43" i="8" s="1"/>
  <c r="Z22" i="8"/>
  <c r="E42" i="8" s="1"/>
  <c r="I42" i="8" s="1"/>
  <c r="AA21" i="8"/>
  <c r="F41" i="8" s="1"/>
  <c r="AB19" i="8"/>
  <c r="G39" i="8" s="1"/>
  <c r="AC18" i="8"/>
  <c r="H38" i="8" s="1"/>
  <c r="X15" i="8"/>
  <c r="C35" i="8" s="1"/>
  <c r="AD13" i="8"/>
  <c r="T33" i="8" s="1"/>
  <c r="X12" i="8"/>
  <c r="C32" i="8" s="1"/>
  <c r="AB11" i="8"/>
  <c r="G31" i="8" s="1"/>
  <c r="W10" i="8"/>
  <c r="B30" i="8" s="1"/>
  <c r="AB9" i="8"/>
  <c r="G29" i="8" s="1"/>
  <c r="W8" i="8"/>
  <c r="B28" i="8" s="1"/>
  <c r="AB7" i="8"/>
  <c r="G27" i="8" s="1"/>
  <c r="X6" i="8"/>
  <c r="C26" i="8" s="1"/>
  <c r="AD5" i="8"/>
  <c r="T25" i="8" s="1"/>
  <c r="AD4" i="8"/>
  <c r="T24" i="8" s="1"/>
  <c r="W15" i="8"/>
  <c r="B35" i="8" s="1"/>
  <c r="Y14" i="8"/>
  <c r="D34" i="8" s="1"/>
  <c r="AC13" i="8"/>
  <c r="H33" i="8" s="1"/>
  <c r="W12" i="8"/>
  <c r="B32" i="8" s="1"/>
  <c r="X40" i="8"/>
  <c r="C60" i="8" s="1"/>
  <c r="X39" i="8"/>
  <c r="C59" i="8" s="1"/>
  <c r="X38" i="8"/>
  <c r="C58" i="8" s="1"/>
  <c r="W35" i="8"/>
  <c r="B55" i="8" s="1"/>
  <c r="X33" i="8"/>
  <c r="C53" i="8" s="1"/>
  <c r="Y31" i="8"/>
  <c r="D51" i="8" s="1"/>
  <c r="AC29" i="8"/>
  <c r="H49" i="8" s="1"/>
  <c r="AB28" i="8"/>
  <c r="G48" i="8" s="1"/>
  <c r="Y26" i="8"/>
  <c r="D46" i="8" s="1"/>
  <c r="X25" i="8"/>
  <c r="C45" i="8" s="1"/>
  <c r="X24" i="8"/>
  <c r="C44" i="8" s="1"/>
  <c r="W23" i="8"/>
  <c r="B43" i="8" s="1"/>
  <c r="Y22" i="8"/>
  <c r="D42" i="8" s="1"/>
  <c r="Y21" i="8"/>
  <c r="D41" i="8" s="1"/>
  <c r="AA19" i="8"/>
  <c r="F39" i="8" s="1"/>
  <c r="AB18" i="8"/>
  <c r="G38" i="8" s="1"/>
  <c r="AD17" i="8"/>
  <c r="T37" i="8" s="1"/>
  <c r="W48" i="8"/>
  <c r="B68" i="8" s="1"/>
  <c r="W41" i="8"/>
  <c r="B61" i="8" s="1"/>
  <c r="W40" i="8"/>
  <c r="B60" i="8" s="1"/>
  <c r="W39" i="8"/>
  <c r="B59" i="8" s="1"/>
  <c r="AD34" i="8"/>
  <c r="T54" i="8" s="1"/>
  <c r="W33" i="8"/>
  <c r="B53" i="8" s="1"/>
  <c r="AD32" i="8"/>
  <c r="T52" i="8" s="1"/>
  <c r="W31" i="8"/>
  <c r="B51" i="8" s="1"/>
  <c r="AB29" i="8"/>
  <c r="G49" i="8" s="1"/>
  <c r="Y27" i="8"/>
  <c r="D47" i="8" s="1"/>
  <c r="X26" i="8"/>
  <c r="C46" i="8" s="1"/>
  <c r="W25" i="8"/>
  <c r="B45" i="8" s="1"/>
  <c r="W24" i="8"/>
  <c r="B44" i="8" s="1"/>
  <c r="W22" i="8"/>
  <c r="B42" i="8" s="1"/>
  <c r="X21" i="8"/>
  <c r="C41" i="8" s="1"/>
  <c r="Y20" i="8"/>
  <c r="D40" i="8" s="1"/>
  <c r="Z19" i="8"/>
  <c r="E39" i="8" s="1"/>
  <c r="I39" i="8" s="1"/>
  <c r="AC17" i="8"/>
  <c r="H37" i="8" s="1"/>
  <c r="AD16" i="8"/>
  <c r="T36" i="8" s="1"/>
  <c r="X14" i="8"/>
  <c r="C34" i="8" s="1"/>
  <c r="AB13" i="8"/>
  <c r="G33" i="8" s="1"/>
  <c r="Z11" i="8"/>
  <c r="E31" i="8" s="1"/>
  <c r="I31" i="8" s="1"/>
  <c r="AB5" i="8"/>
  <c r="G25" i="8" s="1"/>
  <c r="AB4" i="8"/>
  <c r="G24" i="8" s="1"/>
  <c r="AC34" i="8"/>
  <c r="H54" i="8" s="1"/>
  <c r="AA32" i="8"/>
  <c r="F52" i="8" s="1"/>
  <c r="AC30" i="8"/>
  <c r="H50" i="8" s="1"/>
  <c r="AA29" i="8"/>
  <c r="F49" i="8" s="1"/>
  <c r="Y42" i="8"/>
  <c r="D62" i="8" s="1"/>
  <c r="Y37" i="8"/>
  <c r="D57" i="8" s="1"/>
  <c r="AC45" i="8"/>
  <c r="H65" i="8" s="1"/>
  <c r="AB36" i="8"/>
  <c r="G56" i="8" s="1"/>
  <c r="AB34" i="8"/>
  <c r="G54" i="8" s="1"/>
  <c r="AB30" i="8"/>
  <c r="G50" i="8" s="1"/>
  <c r="Y29" i="8"/>
  <c r="D49" i="8" s="1"/>
  <c r="X28" i="8"/>
  <c r="C48" i="8" s="1"/>
  <c r="W27" i="8"/>
  <c r="B47" i="8" s="1"/>
  <c r="AD23" i="8"/>
  <c r="T43" i="8" s="1"/>
  <c r="AD43" i="8"/>
  <c r="T63" i="8" s="1"/>
  <c r="Y34" i="8"/>
  <c r="D54" i="8" s="1"/>
  <c r="Y32" i="8"/>
  <c r="D52" i="8" s="1"/>
  <c r="X29" i="8"/>
  <c r="C49" i="8" s="1"/>
  <c r="W28" i="8"/>
  <c r="B48" i="8" s="1"/>
  <c r="AD24" i="8"/>
  <c r="T44" i="8" s="1"/>
  <c r="AC23" i="8"/>
  <c r="H43" i="8" s="1"/>
  <c r="W19" i="8"/>
  <c r="B39" i="8" s="1"/>
  <c r="X18" i="8"/>
  <c r="C38" i="8" s="1"/>
  <c r="AC15" i="8"/>
  <c r="H35" i="8" s="1"/>
  <c r="Y13" i="8"/>
  <c r="D33" i="8" s="1"/>
  <c r="AC12" i="8"/>
  <c r="H32" i="8" s="1"/>
  <c r="W11" i="8"/>
  <c r="B31" i="8" s="1"/>
  <c r="AB10" i="8"/>
  <c r="G30" i="8" s="1"/>
  <c r="X43" i="8"/>
  <c r="C63" i="8" s="1"/>
  <c r="X34" i="8"/>
  <c r="C54" i="8" s="1"/>
  <c r="X32" i="8"/>
  <c r="C52" i="8" s="1"/>
  <c r="W29" i="8"/>
  <c r="B49" i="8" s="1"/>
  <c r="AC25" i="8"/>
  <c r="H45" i="8" s="1"/>
  <c r="AC24" i="8"/>
  <c r="H44" i="8" s="1"/>
  <c r="AB23" i="8"/>
  <c r="G43" i="8" s="1"/>
  <c r="AD22" i="8"/>
  <c r="T42" i="8" s="1"/>
  <c r="W18" i="8"/>
  <c r="B38" i="8" s="1"/>
  <c r="Y17" i="8"/>
  <c r="D37" i="8" s="1"/>
  <c r="AB15" i="8"/>
  <c r="G35" i="8" s="1"/>
  <c r="AD14" i="8"/>
  <c r="T34" i="8" s="1"/>
  <c r="X13" i="8"/>
  <c r="C33" i="8" s="1"/>
  <c r="AB12" i="8"/>
  <c r="G32" i="8" s="1"/>
  <c r="AA10" i="8"/>
  <c r="F30" i="8" s="1"/>
  <c r="AB6" i="8"/>
  <c r="G26" i="8" s="1"/>
  <c r="X5" i="8"/>
  <c r="C25" i="8" s="1"/>
  <c r="X4" i="8"/>
  <c r="C24" i="8" s="1"/>
  <c r="W17" i="8"/>
  <c r="B37" i="8" s="1"/>
  <c r="Y16" i="8"/>
  <c r="D36" i="8" s="1"/>
  <c r="AC14" i="8"/>
  <c r="H34" i="8" s="1"/>
  <c r="W36" i="8"/>
  <c r="B56" i="8" s="1"/>
  <c r="AC35" i="8"/>
  <c r="H55" i="8" s="1"/>
  <c r="W34" i="8"/>
  <c r="B54" i="8" s="1"/>
  <c r="AD33" i="8"/>
  <c r="T53" i="8" s="1"/>
  <c r="X30" i="8"/>
  <c r="C50" i="8" s="1"/>
  <c r="AD26" i="8"/>
  <c r="T46" i="8" s="1"/>
  <c r="AB25" i="8"/>
  <c r="G45" i="8" s="1"/>
  <c r="AB24" i="8"/>
  <c r="G44" i="8" s="1"/>
  <c r="AC22" i="8"/>
  <c r="H42" i="8" s="1"/>
  <c r="AD21" i="8"/>
  <c r="T41" i="8" s="1"/>
  <c r="AC5" i="8"/>
  <c r="H25" i="8" s="1"/>
  <c r="AD6" i="8"/>
  <c r="T26" i="8" s="1"/>
  <c r="AD8" i="8"/>
  <c r="T28" i="8" s="1"/>
  <c r="AD9" i="8"/>
  <c r="T29" i="8" s="1"/>
  <c r="AD10" i="8"/>
  <c r="T30" i="8" s="1"/>
  <c r="AH21" i="8"/>
  <c r="H4" i="1"/>
  <c r="AA4" i="8" s="1"/>
  <c r="F24" i="8" s="1"/>
  <c r="G38" i="1"/>
  <c r="H38" i="1" s="1"/>
  <c r="AA38" i="8" s="1"/>
  <c r="F58" i="8" s="1"/>
  <c r="G45" i="1"/>
  <c r="H45" i="1" s="1"/>
  <c r="AA45" i="8" s="1"/>
  <c r="F65" i="8" s="1"/>
  <c r="G52" i="1"/>
  <c r="H52" i="1" s="1"/>
  <c r="AA52" i="8" s="1"/>
  <c r="F72" i="8" s="1"/>
  <c r="AH19" i="8"/>
  <c r="L446" i="4"/>
  <c r="AH70" i="8"/>
  <c r="R4" i="8"/>
  <c r="W13" i="8"/>
  <c r="B33" i="8" s="1"/>
  <c r="X19" i="8"/>
  <c r="C39" i="8" s="1"/>
  <c r="AH5" i="8"/>
  <c r="AH6" i="8"/>
  <c r="AH7" i="8"/>
  <c r="AH8" i="8"/>
  <c r="AH10" i="8"/>
  <c r="AH11" i="8"/>
  <c r="Z13" i="8"/>
  <c r="E33" i="8" s="1"/>
  <c r="I33" i="8" s="1"/>
  <c r="Y19" i="8"/>
  <c r="D39" i="8" s="1"/>
  <c r="Y28" i="8"/>
  <c r="D48" i="8" s="1"/>
  <c r="G61" i="1"/>
  <c r="H61" i="1" s="1"/>
  <c r="AA61" i="8" s="1"/>
  <c r="F81" i="8" s="1"/>
  <c r="G68" i="1"/>
  <c r="H68" i="1" s="1"/>
  <c r="AA68" i="8" s="1"/>
  <c r="F88" i="8" s="1"/>
  <c r="AH17" i="8"/>
  <c r="L98" i="4"/>
  <c r="AH55" i="8"/>
  <c r="L355" i="4"/>
  <c r="Y4" i="8"/>
  <c r="D24" i="8" s="1"/>
  <c r="AH9" i="8"/>
  <c r="AA13" i="8"/>
  <c r="F33" i="8" s="1"/>
  <c r="Z15" i="8"/>
  <c r="E35" i="8" s="1"/>
  <c r="I35" i="8" s="1"/>
  <c r="AB17" i="8"/>
  <c r="G37" i="8" s="1"/>
  <c r="AH35" i="8"/>
  <c r="L220" i="4"/>
  <c r="AH48" i="8"/>
  <c r="L313" i="4"/>
  <c r="Z4" i="8"/>
  <c r="E24" i="8" s="1"/>
  <c r="I24" i="8" s="1"/>
  <c r="AD15" i="8"/>
  <c r="T35" i="8" s="1"/>
  <c r="AH29" i="8"/>
  <c r="L178" i="4"/>
  <c r="AH15" i="8"/>
  <c r="W20" i="8"/>
  <c r="B40" i="8" s="1"/>
  <c r="AH23" i="8"/>
  <c r="W26" i="8"/>
  <c r="B46" i="8" s="1"/>
  <c r="AH30" i="8"/>
  <c r="L214" i="4"/>
  <c r="AH39" i="8"/>
  <c r="L243" i="4"/>
  <c r="AH46" i="8"/>
  <c r="L300" i="4"/>
  <c r="L471" i="4"/>
  <c r="AC4" i="8"/>
  <c r="H24" i="8" s="1"/>
  <c r="W5" i="8"/>
  <c r="B25" i="8" s="1"/>
  <c r="W6" i="8"/>
  <c r="B26" i="8" s="1"/>
  <c r="X7" i="8"/>
  <c r="C27" i="8" s="1"/>
  <c r="Y8" i="8"/>
  <c r="D28" i="8" s="1"/>
  <c r="W9" i="8"/>
  <c r="B29" i="8" s="1"/>
  <c r="X11" i="8"/>
  <c r="C31" i="8" s="1"/>
  <c r="X20" i="8"/>
  <c r="C40" i="8" s="1"/>
  <c r="AH31" i="8"/>
  <c r="Y5" i="8"/>
  <c r="D25" i="8" s="1"/>
  <c r="Y7" i="8"/>
  <c r="D27" i="8" s="1"/>
  <c r="X9" i="8"/>
  <c r="C29" i="8" s="1"/>
  <c r="Y10" i="8"/>
  <c r="D30" i="8" s="1"/>
  <c r="Y11" i="8"/>
  <c r="D31" i="8" s="1"/>
  <c r="AD12" i="8"/>
  <c r="T32" i="8" s="1"/>
  <c r="W14" i="8"/>
  <c r="B34" i="8" s="1"/>
  <c r="X16" i="8"/>
  <c r="C36" i="8" s="1"/>
  <c r="Y18" i="8"/>
  <c r="D38" i="8" s="1"/>
  <c r="AH28" i="8"/>
  <c r="AH13" i="8"/>
  <c r="AH20" i="8"/>
  <c r="AH27" i="8"/>
  <c r="AH33" i="8"/>
  <c r="AH26" i="8"/>
  <c r="AH47" i="8"/>
  <c r="AH51" i="8"/>
  <c r="AH43" i="8"/>
  <c r="AH45" i="8"/>
  <c r="AH36" i="8"/>
  <c r="AH42" i="8"/>
  <c r="AH12" i="8"/>
  <c r="AH16" i="8"/>
  <c r="AH32" i="8"/>
  <c r="AH44" i="8"/>
  <c r="AH54" i="8"/>
  <c r="AH59" i="8"/>
  <c r="AH65" i="8"/>
  <c r="AH71" i="8"/>
  <c r="AH49" i="8"/>
  <c r="AH18" i="8"/>
  <c r="AH38" i="8"/>
  <c r="AH50" i="8"/>
  <c r="AH60" i="8"/>
  <c r="AH63" i="8"/>
  <c r="AH67" i="8"/>
  <c r="AH58" i="8"/>
  <c r="AH57" i="8"/>
  <c r="AH56" i="8"/>
  <c r="AH62" i="8"/>
  <c r="AH64" i="8"/>
  <c r="AH69" i="8"/>
  <c r="AH53" i="8"/>
  <c r="AH61" i="8"/>
  <c r="AH66" i="8"/>
  <c r="AI91" i="8"/>
  <c r="AH122" i="8"/>
  <c r="AI122" i="8" s="1"/>
  <c r="AH130" i="8"/>
  <c r="AI130" i="8" s="1"/>
  <c r="AI117" i="8"/>
  <c r="AI83" i="8"/>
  <c r="AH103" i="8"/>
  <c r="AI103" i="8" s="1"/>
  <c r="AH86" i="8"/>
  <c r="AI86" i="8" s="1"/>
  <c r="AH92" i="8"/>
  <c r="AI92" i="8" s="1"/>
  <c r="AH72" i="8"/>
  <c r="AH82" i="8"/>
  <c r="AI82" i="8" s="1"/>
  <c r="AH73" i="8"/>
  <c r="AH81" i="8"/>
  <c r="AI81" i="8" s="1"/>
  <c r="AI93" i="8"/>
  <c r="AH101" i="8"/>
  <c r="AI101" i="8" s="1"/>
  <c r="AH112" i="8"/>
  <c r="AI112" i="8" s="1"/>
  <c r="AH74" i="8"/>
  <c r="AI74" i="8" s="1"/>
  <c r="AH80" i="8"/>
  <c r="AI80" i="8" s="1"/>
  <c r="AH85" i="8"/>
  <c r="AI85" i="8" s="1"/>
  <c r="AH111" i="8"/>
  <c r="AI111" i="8" s="1"/>
  <c r="AH131" i="8"/>
  <c r="AI131" i="8" s="1"/>
  <c r="AH90" i="8"/>
  <c r="AI90" i="8" s="1"/>
  <c r="AH119" i="8"/>
  <c r="AI119" i="8" s="1"/>
  <c r="AH133" i="8"/>
  <c r="AI133" i="8" s="1"/>
  <c r="AH152" i="8"/>
  <c r="AI152" i="8" s="1"/>
  <c r="AH142" i="8"/>
  <c r="AI142" i="8" s="1"/>
  <c r="AH151" i="8"/>
  <c r="AI151" i="8" s="1"/>
  <c r="AH140" i="8"/>
  <c r="AI140" i="8" s="1"/>
  <c r="AH110" i="8"/>
  <c r="AI110" i="8" s="1"/>
  <c r="AH113" i="8"/>
  <c r="AI113" i="8" s="1"/>
  <c r="AI150" i="8"/>
  <c r="AI102" i="8"/>
  <c r="AH143" i="8"/>
  <c r="AI143" i="8" s="1"/>
  <c r="AH123" i="8"/>
  <c r="AI123" i="8" s="1"/>
  <c r="AI132" i="8"/>
  <c r="AH153" i="8"/>
  <c r="AI153" i="8" s="1"/>
  <c r="AH124" i="8"/>
  <c r="AI124" i="8" s="1"/>
  <c r="AH134" i="8"/>
  <c r="AI134" i="8" s="1"/>
  <c r="AH144" i="8"/>
  <c r="AI144" i="8" s="1"/>
  <c r="Z46" i="8" l="1"/>
  <c r="E66" i="8" s="1"/>
  <c r="I66" i="8" s="1"/>
  <c r="Z47" i="8"/>
  <c r="E67" i="8" s="1"/>
  <c r="I67" i="8" s="1"/>
  <c r="Z8" i="8"/>
  <c r="E28" i="8" s="1"/>
  <c r="I28" i="8" s="1"/>
  <c r="Z39" i="8"/>
  <c r="E59" i="8" s="1"/>
  <c r="I59" i="8" s="1"/>
  <c r="Z70" i="8"/>
  <c r="E90" i="8" s="1"/>
  <c r="I90" i="8" s="1"/>
  <c r="Z20" i="8"/>
  <c r="E40" i="8" s="1"/>
  <c r="I40" i="8" s="1"/>
  <c r="Z30" i="8"/>
  <c r="E50" i="8" s="1"/>
  <c r="I50" i="8" s="1"/>
  <c r="Z41" i="8"/>
  <c r="E61" i="8" s="1"/>
  <c r="I61" i="8" s="1"/>
  <c r="Z42" i="8"/>
  <c r="E62" i="8" s="1"/>
  <c r="I62" i="8" s="1"/>
  <c r="Z25" i="8"/>
  <c r="E45" i="8" s="1"/>
  <c r="I45" i="8" s="1"/>
  <c r="Z6" i="8"/>
  <c r="E26" i="8" s="1"/>
  <c r="I26" i="8" s="1"/>
  <c r="Z33" i="8"/>
  <c r="E53" i="8" s="1"/>
  <c r="I53" i="8" s="1"/>
  <c r="Z32" i="8"/>
  <c r="E52" i="8" s="1"/>
  <c r="I52" i="8" s="1"/>
  <c r="Z37" i="8"/>
  <c r="E57" i="8" s="1"/>
  <c r="I57" i="8" s="1"/>
  <c r="Z69" i="8"/>
  <c r="E89" i="8" s="1"/>
  <c r="I89" i="8" s="1"/>
  <c r="Z27" i="8"/>
  <c r="E47" i="8" s="1"/>
  <c r="I47" i="8" s="1"/>
  <c r="Z35" i="8"/>
  <c r="E55" i="8" s="1"/>
  <c r="I55" i="8" s="1"/>
  <c r="Z16" i="8"/>
  <c r="E36" i="8" s="1"/>
  <c r="I36" i="8" s="1"/>
  <c r="Z17" i="8"/>
  <c r="E37" i="8" s="1"/>
  <c r="I37" i="8" s="1"/>
  <c r="Z60" i="8"/>
  <c r="E80" i="8" s="1"/>
  <c r="I80" i="8" s="1"/>
  <c r="Z48" i="8"/>
  <c r="E68" i="8" s="1"/>
  <c r="I68" i="8" s="1"/>
  <c r="Z12" i="8"/>
  <c r="E32" i="8" s="1"/>
  <c r="I32" i="8" s="1"/>
  <c r="Z28" i="8"/>
  <c r="E48" i="8" s="1"/>
  <c r="I48" i="8" s="1"/>
  <c r="Z9" i="8"/>
  <c r="E29" i="8" s="1"/>
  <c r="I29" i="8" s="1"/>
  <c r="Z18" i="8"/>
  <c r="E38" i="8" s="1"/>
  <c r="I38" i="8" s="1"/>
  <c r="Z40" i="8"/>
  <c r="E60" i="8" s="1"/>
  <c r="I60" i="8" s="1"/>
  <c r="Z62" i="8"/>
  <c r="E82" i="8" s="1"/>
  <c r="I82" i="8" s="1"/>
  <c r="Z10" i="8"/>
  <c r="E30" i="8" s="1"/>
  <c r="I30" i="8" s="1"/>
  <c r="Z67" i="8"/>
  <c r="E87" i="8" s="1"/>
  <c r="I87" i="8" s="1"/>
  <c r="Z53" i="8"/>
  <c r="E73" i="8" s="1"/>
  <c r="I73" i="8" s="1"/>
  <c r="AI50" i="8"/>
  <c r="Z24" i="8"/>
  <c r="E44" i="8" s="1"/>
  <c r="I44" i="8" s="1"/>
  <c r="Z56" i="8"/>
  <c r="E76" i="8" s="1"/>
  <c r="I76" i="8" s="1"/>
  <c r="Z43" i="8"/>
  <c r="E63" i="8" s="1"/>
  <c r="I63" i="8" s="1"/>
  <c r="Z14" i="8"/>
  <c r="E34" i="8" s="1"/>
  <c r="I34" i="8" s="1"/>
  <c r="AI12" i="8"/>
  <c r="AI7" i="8"/>
  <c r="AI57" i="8"/>
  <c r="AI26" i="8"/>
  <c r="AI60" i="8"/>
  <c r="AI32" i="8"/>
  <c r="AI20" i="8"/>
  <c r="Z38" i="8"/>
  <c r="E58" i="8" s="1"/>
  <c r="I58" i="8" s="1"/>
  <c r="AI24" i="8"/>
  <c r="AI28" i="8"/>
  <c r="AI42" i="8"/>
  <c r="AI16" i="8"/>
  <c r="Z7" i="8"/>
  <c r="E27" i="8" s="1"/>
  <c r="I27" i="8" s="1"/>
  <c r="AI58" i="8"/>
  <c r="AI43" i="8"/>
  <c r="AI31" i="8"/>
  <c r="AI4" i="8"/>
  <c r="Z65" i="8"/>
  <c r="E85" i="8" s="1"/>
  <c r="I85" i="8" s="1"/>
  <c r="AI23" i="8"/>
  <c r="AI66" i="8"/>
  <c r="AI59" i="8"/>
  <c r="AI47" i="8"/>
  <c r="Z36" i="8"/>
  <c r="E56" i="8" s="1"/>
  <c r="I56" i="8" s="1"/>
  <c r="Z64" i="8"/>
  <c r="E84" i="8" s="1"/>
  <c r="I84" i="8" s="1"/>
  <c r="Z51" i="8"/>
  <c r="E71" i="8" s="1"/>
  <c r="I71" i="8" s="1"/>
  <c r="Z50" i="8"/>
  <c r="E70" i="8" s="1"/>
  <c r="I70" i="8" s="1"/>
  <c r="AI27" i="8"/>
  <c r="AI55" i="8"/>
  <c r="AI73" i="8"/>
  <c r="AI56" i="8"/>
  <c r="AI36" i="8"/>
  <c r="AI53" i="8"/>
  <c r="AI63" i="8"/>
  <c r="Z23" i="8"/>
  <c r="E43" i="8" s="1"/>
  <c r="I43" i="8" s="1"/>
  <c r="Z66" i="8"/>
  <c r="E86" i="8" s="1"/>
  <c r="I86" i="8" s="1"/>
  <c r="AI69" i="8"/>
  <c r="AI45" i="8"/>
  <c r="AI5" i="8"/>
  <c r="Z52" i="8"/>
  <c r="E72" i="8" s="1"/>
  <c r="I72" i="8" s="1"/>
  <c r="Z68" i="8"/>
  <c r="E88" i="8" s="1"/>
  <c r="I88" i="8" s="1"/>
  <c r="AI67" i="8"/>
  <c r="AI49" i="8"/>
  <c r="AI48" i="8"/>
  <c r="AI21" i="8"/>
  <c r="Z57" i="8"/>
  <c r="E77" i="8" s="1"/>
  <c r="I77" i="8" s="1"/>
  <c r="J5" i="8"/>
  <c r="AI22" i="8"/>
  <c r="AI64" i="8"/>
  <c r="AI71" i="8"/>
  <c r="AI46" i="8"/>
  <c r="AI61" i="8"/>
  <c r="AI15" i="8"/>
  <c r="AI11" i="8"/>
  <c r="AI70" i="8"/>
  <c r="Z59" i="8"/>
  <c r="E79" i="8" s="1"/>
  <c r="I79" i="8" s="1"/>
  <c r="AI38" i="8"/>
  <c r="AI34" i="8"/>
  <c r="AI19" i="8"/>
  <c r="AI52" i="8"/>
  <c r="AI65" i="8"/>
  <c r="AI62" i="8"/>
  <c r="AI51" i="8"/>
  <c r="AI30" i="8"/>
  <c r="AI18" i="8"/>
  <c r="AI37" i="8"/>
  <c r="AI13" i="8"/>
  <c r="AI35" i="8"/>
  <c r="AI10" i="8"/>
  <c r="AI39" i="8"/>
  <c r="AI8" i="8"/>
  <c r="AI40" i="8"/>
  <c r="Z73" i="8"/>
  <c r="E93" i="8" s="1"/>
  <c r="I93" i="8" s="1"/>
  <c r="AI68" i="8"/>
  <c r="AI33" i="8"/>
  <c r="Z44" i="8"/>
  <c r="E64" i="8" s="1"/>
  <c r="I64" i="8" s="1"/>
  <c r="AI25" i="8"/>
  <c r="AI54" i="8"/>
  <c r="AI29" i="8"/>
  <c r="AI6" i="8"/>
  <c r="Z45" i="8"/>
  <c r="E65" i="8" s="1"/>
  <c r="I65" i="8" s="1"/>
  <c r="Z58" i="8"/>
  <c r="E78" i="8" s="1"/>
  <c r="I78" i="8" s="1"/>
  <c r="Z72" i="8"/>
  <c r="E92" i="8" s="1"/>
  <c r="I92" i="8" s="1"/>
  <c r="Z61" i="8"/>
  <c r="E81" i="8" s="1"/>
  <c r="I81" i="8" s="1"/>
  <c r="AI41" i="8"/>
  <c r="AI14" i="8"/>
  <c r="AI17" i="8"/>
  <c r="AI44" i="8"/>
  <c r="AI72" i="8"/>
  <c r="AI9" i="8"/>
  <c r="AE7" i="8" l="1"/>
  <c r="AF7" i="8" s="1"/>
  <c r="AE8" i="8"/>
  <c r="AF8" i="8" s="1"/>
  <c r="AE13" i="8"/>
  <c r="AF13" i="8" s="1"/>
  <c r="AE12" i="8"/>
  <c r="AF12" i="8" s="1"/>
  <c r="AE11" i="8"/>
  <c r="AF11" i="8" s="1"/>
  <c r="AE6" i="8"/>
  <c r="AF6" i="8" s="1"/>
  <c r="AE9" i="8"/>
  <c r="AF9" i="8" s="1"/>
  <c r="AE10" i="8"/>
  <c r="AF10" i="8" s="1"/>
  <c r="AE4" i="8"/>
  <c r="AF4" i="8" s="1"/>
  <c r="AE5" i="8"/>
  <c r="AF5" i="8" s="1"/>
</calcChain>
</file>

<file path=xl/sharedStrings.xml><?xml version="1.0" encoding="utf-8"?>
<sst xmlns="http://schemas.openxmlformats.org/spreadsheetml/2006/main" count="13940" uniqueCount="3101">
  <si>
    <t>RAH.01 Assessments / การประเมินความเสี่ยง</t>
  </si>
  <si>
    <t>department_name</t>
  </si>
  <si>
    <t>assessment_date</t>
  </si>
  <si>
    <t>status</t>
  </si>
  <si>
    <t>evaluator_name</t>
  </si>
  <si>
    <t>additional_evaluators</t>
  </si>
  <si>
    <t>total_staff_count</t>
  </si>
  <si>
    <t>overall_risk_score</t>
  </si>
  <si>
    <t>overall_risk_level</t>
  </si>
  <si>
    <t>report_number</t>
  </si>
  <si>
    <t>submitted_at</t>
  </si>
  <si>
    <t>department_code</t>
  </si>
  <si>
    <t>department_id</t>
  </si>
  <si>
    <t>assessment_id</t>
  </si>
  <si>
    <t>schema_version</t>
  </si>
  <si>
    <t>form_version</t>
  </si>
  <si>
    <t>Accident &amp; Emergency</t>
  </si>
  <si>
    <t>SUBMITTED</t>
  </si>
  <si>
    <t>Occupational-health evaluator — Accident &amp; Emergency</t>
  </si>
  <si>
    <t>RAH01-2026-001</t>
  </si>
  <si>
    <t>01</t>
  </si>
  <si>
    <t>DPT-001</t>
  </si>
  <si>
    <t>ASM-2026-001</t>
  </si>
  <si>
    <t>rah01-submission.v1</t>
  </si>
  <si>
    <t>1.1.0</t>
  </si>
  <si>
    <t>Anaesthesia</t>
  </si>
  <si>
    <t>IN_REVIEW</t>
  </si>
  <si>
    <t>Occupational-health evaluator — Anaesthesia</t>
  </si>
  <si>
    <t>RAH01-2026-002</t>
  </si>
  <si>
    <t>02</t>
  </si>
  <si>
    <t>DPT-002</t>
  </si>
  <si>
    <t>ASM-2026-002</t>
  </si>
  <si>
    <t>Cardiology</t>
  </si>
  <si>
    <t>CLOSED</t>
  </si>
  <si>
    <t>Occupational-health evaluator — Cardiology</t>
  </si>
  <si>
    <t>Department supervisor</t>
  </si>
  <si>
    <t>RAH01-2026-003</t>
  </si>
  <si>
    <t>03</t>
  </si>
  <si>
    <t>DPT-003</t>
  </si>
  <si>
    <t>ASM-2026-003</t>
  </si>
  <si>
    <t>Cardiothoracic Surgery</t>
  </si>
  <si>
    <t>Occupational-health evaluator — Cardiothoracic Surgery</t>
  </si>
  <si>
    <t>Safety representative; department supervisor</t>
  </si>
  <si>
    <t>RAH01-2026-004</t>
  </si>
  <si>
    <t>04</t>
  </si>
  <si>
    <t>DPT-004</t>
  </si>
  <si>
    <t>ASM-2026-004</t>
  </si>
  <si>
    <t>Central Sterile Supply</t>
  </si>
  <si>
    <t>RETURNED</t>
  </si>
  <si>
    <t>Occupational-health evaluator — Central Sterile Supply</t>
  </si>
  <si>
    <t>RAH01-2026-005</t>
  </si>
  <si>
    <t>05</t>
  </si>
  <si>
    <t>DPT-005</t>
  </si>
  <si>
    <t>ASM-2026-005</t>
  </si>
  <si>
    <t>Child Development</t>
  </si>
  <si>
    <t>Occupational-health evaluator — Child Development</t>
  </si>
  <si>
    <t>RAH01-2026-006</t>
  </si>
  <si>
    <t>06</t>
  </si>
  <si>
    <t>DPT-006</t>
  </si>
  <si>
    <t>ASM-2026-006</t>
  </si>
  <si>
    <t>Clinical Nutrition</t>
  </si>
  <si>
    <t>Occupational-health evaluator — Clinical Nutrition</t>
  </si>
  <si>
    <t>RAH01-2026-007</t>
  </si>
  <si>
    <t>07</t>
  </si>
  <si>
    <t>DPT-007</t>
  </si>
  <si>
    <t>ASM-2026-007</t>
  </si>
  <si>
    <t>Dental</t>
  </si>
  <si>
    <t>Occupational-health evaluator — Dental</t>
  </si>
  <si>
    <t>RAH01-2026-008</t>
  </si>
  <si>
    <t>08</t>
  </si>
  <si>
    <t>DPT-008</t>
  </si>
  <si>
    <t>ASM-2026-008</t>
  </si>
  <si>
    <t>Dermatology</t>
  </si>
  <si>
    <t>Occupational-health evaluator — Dermatology</t>
  </si>
  <si>
    <t>RAH01-2026-009</t>
  </si>
  <si>
    <t>09</t>
  </si>
  <si>
    <t>DPT-009</t>
  </si>
  <si>
    <t>ASM-2026-009</t>
  </si>
  <si>
    <t>Diagnostic Imaging</t>
  </si>
  <si>
    <t>Occupational-health evaluator — Diagnostic Imaging</t>
  </si>
  <si>
    <t>RAH01-2026-010</t>
  </si>
  <si>
    <t>10</t>
  </si>
  <si>
    <t>DPT-010</t>
  </si>
  <si>
    <t>ASM-2026-010</t>
  </si>
  <si>
    <t>Emergency Medical Service</t>
  </si>
  <si>
    <t>Occupational-health evaluator — Emergency Medical Service</t>
  </si>
  <si>
    <t>RAH01-2026-011</t>
  </si>
  <si>
    <t>11</t>
  </si>
  <si>
    <t>DPT-011</t>
  </si>
  <si>
    <t>ASM-2026-011</t>
  </si>
  <si>
    <t>Endocrinology</t>
  </si>
  <si>
    <t>Occupational-health evaluator — Endocrinology</t>
  </si>
  <si>
    <t>RAH01-2026-012</t>
  </si>
  <si>
    <t>12</t>
  </si>
  <si>
    <t>DPT-012</t>
  </si>
  <si>
    <t>ASM-2026-012</t>
  </si>
  <si>
    <t>ENT</t>
  </si>
  <si>
    <t>Occupational-health evaluator — ENT</t>
  </si>
  <si>
    <t>RAH01-2026-013</t>
  </si>
  <si>
    <t>13</t>
  </si>
  <si>
    <t>DPT-013</t>
  </si>
  <si>
    <t>ASM-2026-013</t>
  </si>
  <si>
    <t>Environmental Health</t>
  </si>
  <si>
    <t>Occupational-health evaluator — Environmental Health</t>
  </si>
  <si>
    <t>RAH01-2026-014</t>
  </si>
  <si>
    <t>14</t>
  </si>
  <si>
    <t>DPT-014</t>
  </si>
  <si>
    <t>ASM-2026-014</t>
  </si>
  <si>
    <t>Eye Clinic</t>
  </si>
  <si>
    <t>Occupational-health evaluator — Eye Clinic</t>
  </si>
  <si>
    <t>RAH01-2026-015</t>
  </si>
  <si>
    <t>15</t>
  </si>
  <si>
    <t>DPT-015</t>
  </si>
  <si>
    <t>ASM-2026-015</t>
  </si>
  <si>
    <t>Family Medicine</t>
  </si>
  <si>
    <t>Occupational-health evaluator — Family Medicine</t>
  </si>
  <si>
    <t>RAH01-2026-016</t>
  </si>
  <si>
    <t>16</t>
  </si>
  <si>
    <t>DPT-016</t>
  </si>
  <si>
    <t>ASM-2026-016</t>
  </si>
  <si>
    <t>Gastroenterology</t>
  </si>
  <si>
    <t>Occupational-health evaluator — Gastroenterology</t>
  </si>
  <si>
    <t>RAH01-2026-017</t>
  </si>
  <si>
    <t>17</t>
  </si>
  <si>
    <t>DPT-017</t>
  </si>
  <si>
    <t>ASM-2026-017</t>
  </si>
  <si>
    <t>General Surgery</t>
  </si>
  <si>
    <t>Occupational-health evaluator — General Surgery</t>
  </si>
  <si>
    <t>RAH01-2026-018</t>
  </si>
  <si>
    <t>18</t>
  </si>
  <si>
    <t>DPT-018</t>
  </si>
  <si>
    <t>ASM-2026-018</t>
  </si>
  <si>
    <t>Haemodialysis</t>
  </si>
  <si>
    <t>Occupational-health evaluator — Haemodialysis</t>
  </si>
  <si>
    <t>RAH01-2026-019</t>
  </si>
  <si>
    <t>19</t>
  </si>
  <si>
    <t>DPT-019</t>
  </si>
  <si>
    <t>ASM-2026-019</t>
  </si>
  <si>
    <t>Health Promotion</t>
  </si>
  <si>
    <t>Occupational-health evaluator — Health Promotion</t>
  </si>
  <si>
    <t>RAH01-2026-020</t>
  </si>
  <si>
    <t>20</t>
  </si>
  <si>
    <t>DPT-020</t>
  </si>
  <si>
    <t>ASM-2026-020</t>
  </si>
  <si>
    <t>Hematology</t>
  </si>
  <si>
    <t>Occupational-health evaluator — Hematology</t>
  </si>
  <si>
    <t>RAH01-2026-021</t>
  </si>
  <si>
    <t>21</t>
  </si>
  <si>
    <t>DPT-021</t>
  </si>
  <si>
    <t>ASM-2026-021</t>
  </si>
  <si>
    <t>ICU 1</t>
  </si>
  <si>
    <t>Occupational-health evaluator — ICU 1</t>
  </si>
  <si>
    <t>RAH01-2026-022</t>
  </si>
  <si>
    <t>22</t>
  </si>
  <si>
    <t>DPT-022</t>
  </si>
  <si>
    <t>ASM-2026-022</t>
  </si>
  <si>
    <t>ICU 2</t>
  </si>
  <si>
    <t>Occupational-health evaluator — ICU 2</t>
  </si>
  <si>
    <t>RAH01-2026-023</t>
  </si>
  <si>
    <t>23</t>
  </si>
  <si>
    <t>DPT-023</t>
  </si>
  <si>
    <t>ASM-2026-023</t>
  </si>
  <si>
    <t>Infectious Diseases</t>
  </si>
  <si>
    <t>Occupational-health evaluator — Infectious Diseases</t>
  </si>
  <si>
    <t>RAH01-2026-024</t>
  </si>
  <si>
    <t>24</t>
  </si>
  <si>
    <t>DPT-024</t>
  </si>
  <si>
    <t>ASM-2026-024</t>
  </si>
  <si>
    <t>Internal Medicine</t>
  </si>
  <si>
    <t>Occupational-health evaluator — Internal Medicine</t>
  </si>
  <si>
    <t>RAH01-2026-025</t>
  </si>
  <si>
    <t>25</t>
  </si>
  <si>
    <t>DPT-025</t>
  </si>
  <si>
    <t>ASM-2026-025</t>
  </si>
  <si>
    <t>Laboratory</t>
  </si>
  <si>
    <t>Occupational-health evaluator — Laboratory</t>
  </si>
  <si>
    <t>RAH01-2026-026</t>
  </si>
  <si>
    <t>26</t>
  </si>
  <si>
    <t>DPT-026</t>
  </si>
  <si>
    <t>ASM-2026-026</t>
  </si>
  <si>
    <t>Laundry</t>
  </si>
  <si>
    <t>Occupational-health evaluator — Laundry</t>
  </si>
  <si>
    <t>RAH01-2026-027</t>
  </si>
  <si>
    <t>27</t>
  </si>
  <si>
    <t>DPT-027</t>
  </si>
  <si>
    <t>ASM-2026-027</t>
  </si>
  <si>
    <t>Medical Records</t>
  </si>
  <si>
    <t>Occupational-health evaluator — Medical Records</t>
  </si>
  <si>
    <t>RAH01-2026-028</t>
  </si>
  <si>
    <t>28</t>
  </si>
  <si>
    <t>DPT-028</t>
  </si>
  <si>
    <t>ASM-2026-028</t>
  </si>
  <si>
    <t>Neonatal ICU</t>
  </si>
  <si>
    <t>Occupational-health evaluator — Neonatal ICU</t>
  </si>
  <si>
    <t>RAH01-2026-029</t>
  </si>
  <si>
    <t>29</t>
  </si>
  <si>
    <t>DPT-029</t>
  </si>
  <si>
    <t>ASM-2026-029</t>
  </si>
  <si>
    <t>Neurology</t>
  </si>
  <si>
    <t>Occupational-health evaluator — Neurology</t>
  </si>
  <si>
    <t>RAH01-2026-030</t>
  </si>
  <si>
    <t>30</t>
  </si>
  <si>
    <t>DPT-030</t>
  </si>
  <si>
    <t>ASM-2026-030</t>
  </si>
  <si>
    <t>Neurosurgery</t>
  </si>
  <si>
    <t>Occupational-health evaluator — Neurosurgery</t>
  </si>
  <si>
    <t>RAH01-2026-031</t>
  </si>
  <si>
    <t>31</t>
  </si>
  <si>
    <t>DPT-031</t>
  </si>
  <si>
    <t>ASM-2026-031</t>
  </si>
  <si>
    <t>Nuclear Medicine</t>
  </si>
  <si>
    <t>Occupational-health evaluator — Nuclear Medicine</t>
  </si>
  <si>
    <t>RAH01-2026-032</t>
  </si>
  <si>
    <t>32</t>
  </si>
  <si>
    <t>DPT-032</t>
  </si>
  <si>
    <t>ASM-2026-032</t>
  </si>
  <si>
    <t>Obstetrics</t>
  </si>
  <si>
    <t>Occupational-health evaluator — Obstetrics</t>
  </si>
  <si>
    <t>RAH01-2026-033</t>
  </si>
  <si>
    <t>33</t>
  </si>
  <si>
    <t>DPT-033</t>
  </si>
  <si>
    <t>ASM-2026-033</t>
  </si>
  <si>
    <t>Occupational Health</t>
  </si>
  <si>
    <t>Occupational-health evaluator — Occupational Health</t>
  </si>
  <si>
    <t>RAH01-2026-034</t>
  </si>
  <si>
    <t>34</t>
  </si>
  <si>
    <t>DPT-034</t>
  </si>
  <si>
    <t>ASM-2026-034</t>
  </si>
  <si>
    <t>Oncology</t>
  </si>
  <si>
    <t>Occupational-health evaluator — Oncology</t>
  </si>
  <si>
    <t>RAH01-2026-035</t>
  </si>
  <si>
    <t>35</t>
  </si>
  <si>
    <t>DPT-035</t>
  </si>
  <si>
    <t>ASM-2026-035</t>
  </si>
  <si>
    <t>Operating Theatre</t>
  </si>
  <si>
    <t>Occupational-health evaluator — Operating Theatre</t>
  </si>
  <si>
    <t>RAH01-2026-036</t>
  </si>
  <si>
    <t>36</t>
  </si>
  <si>
    <t>DPT-036</t>
  </si>
  <si>
    <t>ASM-2026-036</t>
  </si>
  <si>
    <t>Orthopaedics</t>
  </si>
  <si>
    <t>Occupational-health evaluator — Orthopaedics</t>
  </si>
  <si>
    <t>RAH01-2026-037</t>
  </si>
  <si>
    <t>37</t>
  </si>
  <si>
    <t>DPT-037</t>
  </si>
  <si>
    <t>ASM-2026-037</t>
  </si>
  <si>
    <t>Outpatient Department</t>
  </si>
  <si>
    <t>Occupational-health evaluator — Outpatient Department</t>
  </si>
  <si>
    <t>RAH01-2026-038</t>
  </si>
  <si>
    <t>38</t>
  </si>
  <si>
    <t>DPT-038</t>
  </si>
  <si>
    <t>ASM-2026-038</t>
  </si>
  <si>
    <t>Paediatrics</t>
  </si>
  <si>
    <t>Occupational-health evaluator — Paediatrics</t>
  </si>
  <si>
    <t>RAH01-2026-039</t>
  </si>
  <si>
    <t>39</t>
  </si>
  <si>
    <t>DPT-039</t>
  </si>
  <si>
    <t>ASM-2026-039</t>
  </si>
  <si>
    <t>Pathology</t>
  </si>
  <si>
    <t>Occupational-health evaluator — Pathology</t>
  </si>
  <si>
    <t>RAH01-2026-040</t>
  </si>
  <si>
    <t>40</t>
  </si>
  <si>
    <t>DPT-040</t>
  </si>
  <si>
    <t>ASM-2026-040</t>
  </si>
  <si>
    <t>Pharmacy</t>
  </si>
  <si>
    <t>Occupational-health evaluator — Pharmacy</t>
  </si>
  <si>
    <t>RAH01-2026-041</t>
  </si>
  <si>
    <t>41</t>
  </si>
  <si>
    <t>DPT-041</t>
  </si>
  <si>
    <t>ASM-2026-041</t>
  </si>
  <si>
    <t>Physical Therapy</t>
  </si>
  <si>
    <t>Occupational-health evaluator — Physical Therapy</t>
  </si>
  <si>
    <t>RAH01-2026-042</t>
  </si>
  <si>
    <t>42</t>
  </si>
  <si>
    <t>DPT-042</t>
  </si>
  <si>
    <t>ASM-2026-042</t>
  </si>
  <si>
    <t>Plastic Surgery</t>
  </si>
  <si>
    <t>Occupational-health evaluator — Plastic Surgery</t>
  </si>
  <si>
    <t>RAH01-2026-043</t>
  </si>
  <si>
    <t>43</t>
  </si>
  <si>
    <t>DPT-043</t>
  </si>
  <si>
    <t>ASM-2026-043</t>
  </si>
  <si>
    <t>Psychiatry</t>
  </si>
  <si>
    <t>Occupational-health evaluator — Psychiatry</t>
  </si>
  <si>
    <t>RAH01-2026-044</t>
  </si>
  <si>
    <t>44</t>
  </si>
  <si>
    <t>DPT-044</t>
  </si>
  <si>
    <t>ASM-2026-044</t>
  </si>
  <si>
    <t>Quality Improvement</t>
  </si>
  <si>
    <t>Occupational-health evaluator — Quality Improvement</t>
  </si>
  <si>
    <t>RAH01-2026-045</t>
  </si>
  <si>
    <t>45</t>
  </si>
  <si>
    <t>DPT-045</t>
  </si>
  <si>
    <t>ASM-2026-045</t>
  </si>
  <si>
    <t>Radiotherapy</t>
  </si>
  <si>
    <t>Occupational-health evaluator — Radiotherapy</t>
  </si>
  <si>
    <t>RAH01-2026-046</t>
  </si>
  <si>
    <t>46</t>
  </si>
  <si>
    <t>DPT-046</t>
  </si>
  <si>
    <t>ASM-2026-046</t>
  </si>
  <si>
    <t>Rehabilitation</t>
  </si>
  <si>
    <t>Occupational-health evaluator — Rehabilitation</t>
  </si>
  <si>
    <t>RAH01-2026-047</t>
  </si>
  <si>
    <t>47</t>
  </si>
  <si>
    <t>DPT-047</t>
  </si>
  <si>
    <t>ASM-2026-047</t>
  </si>
  <si>
    <t>Renal Unit</t>
  </si>
  <si>
    <t>Occupational-health evaluator — Renal Unit</t>
  </si>
  <si>
    <t>RAH01-2026-048</t>
  </si>
  <si>
    <t>48</t>
  </si>
  <si>
    <t>DPT-048</t>
  </si>
  <si>
    <t>ASM-2026-048</t>
  </si>
  <si>
    <t>Respiratory Medicine</t>
  </si>
  <si>
    <t>Occupational-health evaluator — Respiratory Medicine</t>
  </si>
  <si>
    <t>RAH01-2026-049</t>
  </si>
  <si>
    <t>49</t>
  </si>
  <si>
    <t>DPT-049</t>
  </si>
  <si>
    <t>ASM-2026-049</t>
  </si>
  <si>
    <t>Social Work</t>
  </si>
  <si>
    <t>Occupational-health evaluator — Social Work</t>
  </si>
  <si>
    <t>RAH01-2026-050</t>
  </si>
  <si>
    <t>50</t>
  </si>
  <si>
    <t>DPT-050</t>
  </si>
  <si>
    <t>ASM-2026-050</t>
  </si>
  <si>
    <t>Speech Therapy</t>
  </si>
  <si>
    <t>Occupational-health evaluator — Speech Therapy</t>
  </si>
  <si>
    <t>RAH01-2026-051</t>
  </si>
  <si>
    <t>51</t>
  </si>
  <si>
    <t>DPT-051</t>
  </si>
  <si>
    <t>ASM-2026-051</t>
  </si>
  <si>
    <t>Surgical ICU</t>
  </si>
  <si>
    <t>Occupational-health evaluator — Surgical ICU</t>
  </si>
  <si>
    <t>RAH01-2026-052</t>
  </si>
  <si>
    <t>52</t>
  </si>
  <si>
    <t>DPT-052</t>
  </si>
  <si>
    <t>ASM-2026-052</t>
  </si>
  <si>
    <t>Thai Traditional Medicine</t>
  </si>
  <si>
    <t>Occupational-health evaluator — Thai Traditional Medicine</t>
  </si>
  <si>
    <t>RAH01-2026-053</t>
  </si>
  <si>
    <t>53</t>
  </si>
  <si>
    <t>DPT-053</t>
  </si>
  <si>
    <t>ASM-2026-053</t>
  </si>
  <si>
    <t>Thoracic Medicine</t>
  </si>
  <si>
    <t>Occupational-health evaluator — Thoracic Medicine</t>
  </si>
  <si>
    <t>RAH01-2026-054</t>
  </si>
  <si>
    <t>54</t>
  </si>
  <si>
    <t>DPT-054</t>
  </si>
  <si>
    <t>ASM-2026-054</t>
  </si>
  <si>
    <t>Transfusion Medicine</t>
  </si>
  <si>
    <t>Occupational-health evaluator — Transfusion Medicine</t>
  </si>
  <si>
    <t>RAH01-2026-055</t>
  </si>
  <si>
    <t>55</t>
  </si>
  <si>
    <t>DPT-055</t>
  </si>
  <si>
    <t>ASM-2026-055</t>
  </si>
  <si>
    <t>Trauma Centre</t>
  </si>
  <si>
    <t>Occupational-health evaluator — Trauma Centre</t>
  </si>
  <si>
    <t>RAH01-2026-056</t>
  </si>
  <si>
    <t>56</t>
  </si>
  <si>
    <t>DPT-056</t>
  </si>
  <si>
    <t>ASM-2026-056</t>
  </si>
  <si>
    <t>Urology</t>
  </si>
  <si>
    <t>Occupational-health evaluator — Urology</t>
  </si>
  <si>
    <t>RAH01-2026-057</t>
  </si>
  <si>
    <t>57</t>
  </si>
  <si>
    <t>DPT-057</t>
  </si>
  <si>
    <t>ASM-2026-057</t>
  </si>
  <si>
    <t>Vaccination Clinic</t>
  </si>
  <si>
    <t>Occupational-health evaluator — Vaccination Clinic</t>
  </si>
  <si>
    <t>RAH01-2026-058</t>
  </si>
  <si>
    <t>58</t>
  </si>
  <si>
    <t>DPT-058</t>
  </si>
  <si>
    <t>ASM-2026-058</t>
  </si>
  <si>
    <t>Ward 1</t>
  </si>
  <si>
    <t>Occupational-health evaluator — Ward 1</t>
  </si>
  <si>
    <t>RAH01-2026-059</t>
  </si>
  <si>
    <t>59</t>
  </si>
  <si>
    <t>DPT-059</t>
  </si>
  <si>
    <t>ASM-2026-059</t>
  </si>
  <si>
    <t>Ward 10</t>
  </si>
  <si>
    <t>Occupational-health evaluator — Ward 10</t>
  </si>
  <si>
    <t>RAH01-2026-068</t>
  </si>
  <si>
    <t>68</t>
  </si>
  <si>
    <t>DPT-068</t>
  </si>
  <si>
    <t>ASM-2026-068</t>
  </si>
  <si>
    <t>Ward 2</t>
  </si>
  <si>
    <t>Occupational-health evaluator — Ward 2</t>
  </si>
  <si>
    <t>RAH01-2026-060</t>
  </si>
  <si>
    <t>60</t>
  </si>
  <si>
    <t>DPT-060</t>
  </si>
  <si>
    <t>ASM-2026-060</t>
  </si>
  <si>
    <t>Ward 3</t>
  </si>
  <si>
    <t>Occupational-health evaluator — Ward 3</t>
  </si>
  <si>
    <t>RAH01-2026-061</t>
  </si>
  <si>
    <t>61</t>
  </si>
  <si>
    <t>DPT-061</t>
  </si>
  <si>
    <t>ASM-2026-061</t>
  </si>
  <si>
    <t>Ward 4</t>
  </si>
  <si>
    <t>Occupational-health evaluator — Ward 4</t>
  </si>
  <si>
    <t>RAH01-2026-062</t>
  </si>
  <si>
    <t>62</t>
  </si>
  <si>
    <t>DPT-062</t>
  </si>
  <si>
    <t>ASM-2026-062</t>
  </si>
  <si>
    <t>Ward 5</t>
  </si>
  <si>
    <t>Occupational-health evaluator — Ward 5</t>
  </si>
  <si>
    <t>RAH01-2026-063</t>
  </si>
  <si>
    <t>63</t>
  </si>
  <si>
    <t>DPT-063</t>
  </si>
  <si>
    <t>ASM-2026-063</t>
  </si>
  <si>
    <t>Ward 6</t>
  </si>
  <si>
    <t>Occupational-health evaluator — Ward 6</t>
  </si>
  <si>
    <t>RAH01-2026-064</t>
  </si>
  <si>
    <t>64</t>
  </si>
  <si>
    <t>DPT-064</t>
  </si>
  <si>
    <t>ASM-2026-064</t>
  </si>
  <si>
    <t>Ward 7</t>
  </si>
  <si>
    <t>Occupational-health evaluator — Ward 7</t>
  </si>
  <si>
    <t>RAH01-2026-065</t>
  </si>
  <si>
    <t>65</t>
  </si>
  <si>
    <t>DPT-065</t>
  </si>
  <si>
    <t>ASM-2026-065</t>
  </si>
  <si>
    <t>Ward 8</t>
  </si>
  <si>
    <t>Occupational-health evaluator — Ward 8</t>
  </si>
  <si>
    <t>RAH01-2026-066</t>
  </si>
  <si>
    <t>66</t>
  </si>
  <si>
    <t>DPT-066</t>
  </si>
  <si>
    <t>ASM-2026-066</t>
  </si>
  <si>
    <t>Ward 9</t>
  </si>
  <si>
    <t>Occupational-health evaluator — Ward 9</t>
  </si>
  <si>
    <t>RAH01-2026-067</t>
  </si>
  <si>
    <t>67</t>
  </si>
  <si>
    <t>DPT-067</t>
  </si>
  <si>
    <t>ASM-2026-067</t>
  </si>
  <si>
    <t>Women’s Health</t>
  </si>
  <si>
    <t>Occupational-health evaluator — Women’s Health</t>
  </si>
  <si>
    <t>RAH01-2026-069</t>
  </si>
  <si>
    <t>69</t>
  </si>
  <si>
    <t>DPT-069</t>
  </si>
  <si>
    <t>ASM-2026-069</t>
  </si>
  <si>
    <t>Workplace Safety</t>
  </si>
  <si>
    <t>Occupational-health evaluator — Workplace Safety</t>
  </si>
  <si>
    <t>RAH01-2026-070</t>
  </si>
  <si>
    <t>70</t>
  </si>
  <si>
    <t>DPT-070</t>
  </si>
  <si>
    <t>ASM-2026-070</t>
  </si>
  <si>
    <t>RAH.01 Occupational-health checklist / แบบสำรวจอาชีวอนามัย</t>
  </si>
  <si>
    <t>item_order</t>
  </si>
  <si>
    <t>item_label_en</t>
  </si>
  <si>
    <t>item_key</t>
  </si>
  <si>
    <t>checklist_response_id</t>
  </si>
  <si>
    <t>Fire prevention and suppression system</t>
  </si>
  <si>
    <t>YES</t>
  </si>
  <si>
    <t>occ_fire_safety</t>
  </si>
  <si>
    <t>CHK-2026-001-01</t>
  </si>
  <si>
    <t>Occupational-health education</t>
  </si>
  <si>
    <t>occ_health_education</t>
  </si>
  <si>
    <t>CHK-2026-001-02</t>
  </si>
  <si>
    <t>Hazardous-waste management system</t>
  </si>
  <si>
    <t>occ_waste_management</t>
  </si>
  <si>
    <t>CHK-2026-001-03</t>
  </si>
  <si>
    <t>Personal protective equipment measures</t>
  </si>
  <si>
    <t>occ_ppe_measures</t>
  </si>
  <si>
    <t>CHK-2026-001-04</t>
  </si>
  <si>
    <t>Annual health examination</t>
  </si>
  <si>
    <t>occ_annual_health_exam</t>
  </si>
  <si>
    <t>CHK-2026-001-05</t>
  </si>
  <si>
    <t>Risk-based lung-function examination</t>
  </si>
  <si>
    <t>occ_risk_exam_lung</t>
  </si>
  <si>
    <t>CHK-2026-001-06</t>
  </si>
  <si>
    <t>Risk-based hearing examination</t>
  </si>
  <si>
    <t>occ_risk_exam_hearing</t>
  </si>
  <si>
    <t>CHK-2026-001-07</t>
  </si>
  <si>
    <t>Risk-based vision examination</t>
  </si>
  <si>
    <t>occ_risk_exam_vision</t>
  </si>
  <si>
    <t>CHK-2026-001-08</t>
  </si>
  <si>
    <t>Biological monitoring</t>
  </si>
  <si>
    <t>occ_bio_exam</t>
  </si>
  <si>
    <t>CHK-2026-001-09</t>
  </si>
  <si>
    <t>Workplace environmental monitoring</t>
  </si>
  <si>
    <t>occ_env_exam</t>
  </si>
  <si>
    <t>CHK-2026-001-10</t>
  </si>
  <si>
    <t>CHK-2026-002-01</t>
  </si>
  <si>
    <t>CHK-2026-002-02</t>
  </si>
  <si>
    <t>CHK-2026-002-03</t>
  </si>
  <si>
    <t>CHK-2026-002-04</t>
  </si>
  <si>
    <t>CHK-2026-002-05</t>
  </si>
  <si>
    <t>CHK-2026-002-06</t>
  </si>
  <si>
    <t>CHK-2026-002-07</t>
  </si>
  <si>
    <t>CHK-2026-002-08</t>
  </si>
  <si>
    <t>CHK-2026-002-09</t>
  </si>
  <si>
    <t>CHK-2026-002-10</t>
  </si>
  <si>
    <t>CHK-2026-003-01</t>
  </si>
  <si>
    <t>CHK-2026-003-02</t>
  </si>
  <si>
    <t>CHK-2026-003-03</t>
  </si>
  <si>
    <t>CHK-2026-003-04</t>
  </si>
  <si>
    <t>CHK-2026-003-05</t>
  </si>
  <si>
    <t>CHK-2026-003-06</t>
  </si>
  <si>
    <t>CHK-2026-003-07</t>
  </si>
  <si>
    <t>CHK-2026-003-08</t>
  </si>
  <si>
    <t>NO</t>
  </si>
  <si>
    <t>CHK-2026-003-09</t>
  </si>
  <si>
    <t>CHK-2026-003-10</t>
  </si>
  <si>
    <t>CHK-2026-004-01</t>
  </si>
  <si>
    <t>CHK-2026-004-02</t>
  </si>
  <si>
    <t>CHK-2026-004-03</t>
  </si>
  <si>
    <t>CHK-2026-004-04</t>
  </si>
  <si>
    <t>CHK-2026-004-05</t>
  </si>
  <si>
    <t>CHK-2026-004-06</t>
  </si>
  <si>
    <t>CHK-2026-004-07</t>
  </si>
  <si>
    <t>CHK-2026-004-08</t>
  </si>
  <si>
    <t>CHK-2026-004-09</t>
  </si>
  <si>
    <t>CHK-2026-004-10</t>
  </si>
  <si>
    <t>CHK-2026-005-01</t>
  </si>
  <si>
    <t>CHK-2026-005-02</t>
  </si>
  <si>
    <t>CHK-2026-005-03</t>
  </si>
  <si>
    <t>CHK-2026-005-04</t>
  </si>
  <si>
    <t>CHK-2026-005-05</t>
  </si>
  <si>
    <t>CHK-2026-005-06</t>
  </si>
  <si>
    <t>CHK-2026-005-07</t>
  </si>
  <si>
    <t>CHK-2026-005-08</t>
  </si>
  <si>
    <t>CHK-2026-005-09</t>
  </si>
  <si>
    <t>CHK-2026-005-10</t>
  </si>
  <si>
    <t>CHK-2026-006-01</t>
  </si>
  <si>
    <t>CHK-2026-006-02</t>
  </si>
  <si>
    <t>CHK-2026-006-03</t>
  </si>
  <si>
    <t>CHK-2026-006-04</t>
  </si>
  <si>
    <t>CHK-2026-006-05</t>
  </si>
  <si>
    <t>CHK-2026-006-06</t>
  </si>
  <si>
    <t>CHK-2026-006-07</t>
  </si>
  <si>
    <t>CHK-2026-006-08</t>
  </si>
  <si>
    <t>CHK-2026-006-09</t>
  </si>
  <si>
    <t>CHK-2026-006-10</t>
  </si>
  <si>
    <t>CHK-2026-007-01</t>
  </si>
  <si>
    <t>CHK-2026-007-02</t>
  </si>
  <si>
    <t>CHK-2026-007-03</t>
  </si>
  <si>
    <t>CHK-2026-007-04</t>
  </si>
  <si>
    <t>CHK-2026-007-05</t>
  </si>
  <si>
    <t>CHK-2026-007-06</t>
  </si>
  <si>
    <t>CHK-2026-007-07</t>
  </si>
  <si>
    <t>CHK-2026-007-08</t>
  </si>
  <si>
    <t>CHK-2026-007-09</t>
  </si>
  <si>
    <t>CHK-2026-007-10</t>
  </si>
  <si>
    <t>CHK-2026-008-01</t>
  </si>
  <si>
    <t>CHK-2026-008-02</t>
  </si>
  <si>
    <t>CHK-2026-008-03</t>
  </si>
  <si>
    <t>CHK-2026-008-04</t>
  </si>
  <si>
    <t>CHK-2026-008-05</t>
  </si>
  <si>
    <t>CHK-2026-008-06</t>
  </si>
  <si>
    <t>CHK-2026-008-07</t>
  </si>
  <si>
    <t>CHK-2026-008-08</t>
  </si>
  <si>
    <t>CHK-2026-008-09</t>
  </si>
  <si>
    <t>CHK-2026-008-10</t>
  </si>
  <si>
    <t>CHK-2026-009-01</t>
  </si>
  <si>
    <t>CHK-2026-009-02</t>
  </si>
  <si>
    <t>CHK-2026-009-03</t>
  </si>
  <si>
    <t>CHK-2026-009-04</t>
  </si>
  <si>
    <t>CHK-2026-009-05</t>
  </si>
  <si>
    <t>CHK-2026-009-06</t>
  </si>
  <si>
    <t>CHK-2026-009-07</t>
  </si>
  <si>
    <t>CHK-2026-009-08</t>
  </si>
  <si>
    <t>CHK-2026-009-09</t>
  </si>
  <si>
    <t>CHK-2026-009-10</t>
  </si>
  <si>
    <t>CHK-2026-010-01</t>
  </si>
  <si>
    <t>CHK-2026-010-02</t>
  </si>
  <si>
    <t>CHK-2026-010-03</t>
  </si>
  <si>
    <t>CHK-2026-010-04</t>
  </si>
  <si>
    <t>CHK-2026-010-05</t>
  </si>
  <si>
    <t>CHK-2026-010-06</t>
  </si>
  <si>
    <t>CHK-2026-010-07</t>
  </si>
  <si>
    <t>CHK-2026-010-08</t>
  </si>
  <si>
    <t>CHK-2026-010-09</t>
  </si>
  <si>
    <t>CHK-2026-010-10</t>
  </si>
  <si>
    <t>CHK-2026-011-01</t>
  </si>
  <si>
    <t>CHK-2026-011-02</t>
  </si>
  <si>
    <t>CHK-2026-011-03</t>
  </si>
  <si>
    <t>CHK-2026-011-04</t>
  </si>
  <si>
    <t>CHK-2026-011-05</t>
  </si>
  <si>
    <t>CHK-2026-011-06</t>
  </si>
  <si>
    <t>CHK-2026-011-07</t>
  </si>
  <si>
    <t>CHK-2026-011-08</t>
  </si>
  <si>
    <t>CHK-2026-011-09</t>
  </si>
  <si>
    <t>CHK-2026-011-10</t>
  </si>
  <si>
    <t>CHK-2026-012-01</t>
  </si>
  <si>
    <t>CHK-2026-012-02</t>
  </si>
  <si>
    <t>CHK-2026-012-03</t>
  </si>
  <si>
    <t>CHK-2026-012-04</t>
  </si>
  <si>
    <t>CHK-2026-012-05</t>
  </si>
  <si>
    <t>CHK-2026-012-06</t>
  </si>
  <si>
    <t>CHK-2026-012-07</t>
  </si>
  <si>
    <t>CHK-2026-012-08</t>
  </si>
  <si>
    <t>CHK-2026-012-09</t>
  </si>
  <si>
    <t>CHK-2026-012-10</t>
  </si>
  <si>
    <t>CHK-2026-013-01</t>
  </si>
  <si>
    <t>CHK-2026-013-02</t>
  </si>
  <si>
    <t>CHK-2026-013-03</t>
  </si>
  <si>
    <t>CHK-2026-013-04</t>
  </si>
  <si>
    <t>CHK-2026-013-05</t>
  </si>
  <si>
    <t>CHK-2026-013-06</t>
  </si>
  <si>
    <t>CHK-2026-013-07</t>
  </si>
  <si>
    <t>CHK-2026-013-08</t>
  </si>
  <si>
    <t>CHK-2026-013-09</t>
  </si>
  <si>
    <t>CHK-2026-013-10</t>
  </si>
  <si>
    <t>CHK-2026-014-01</t>
  </si>
  <si>
    <t>CHK-2026-014-02</t>
  </si>
  <si>
    <t>CHK-2026-014-03</t>
  </si>
  <si>
    <t>CHK-2026-014-04</t>
  </si>
  <si>
    <t>CHK-2026-014-05</t>
  </si>
  <si>
    <t>CHK-2026-014-06</t>
  </si>
  <si>
    <t>CHK-2026-014-07</t>
  </si>
  <si>
    <t>CHK-2026-014-08</t>
  </si>
  <si>
    <t>CHK-2026-014-09</t>
  </si>
  <si>
    <t>CHK-2026-014-10</t>
  </si>
  <si>
    <t>CHK-2026-015-01</t>
  </si>
  <si>
    <t>CHK-2026-015-02</t>
  </si>
  <si>
    <t>CHK-2026-015-03</t>
  </si>
  <si>
    <t>CHK-2026-015-04</t>
  </si>
  <si>
    <t>CHK-2026-015-05</t>
  </si>
  <si>
    <t>CHK-2026-015-06</t>
  </si>
  <si>
    <t>CHK-2026-015-07</t>
  </si>
  <si>
    <t>CHK-2026-015-08</t>
  </si>
  <si>
    <t>CHK-2026-015-09</t>
  </si>
  <si>
    <t>CHK-2026-015-10</t>
  </si>
  <si>
    <t>CHK-2026-016-01</t>
  </si>
  <si>
    <t>CHK-2026-016-02</t>
  </si>
  <si>
    <t>CHK-2026-016-03</t>
  </si>
  <si>
    <t>CHK-2026-016-04</t>
  </si>
  <si>
    <t>CHK-2026-016-05</t>
  </si>
  <si>
    <t>CHK-2026-016-06</t>
  </si>
  <si>
    <t>CHK-2026-016-07</t>
  </si>
  <si>
    <t>CHK-2026-016-08</t>
  </si>
  <si>
    <t>CHK-2026-016-09</t>
  </si>
  <si>
    <t>CHK-2026-016-10</t>
  </si>
  <si>
    <t>CHK-2026-017-01</t>
  </si>
  <si>
    <t>CHK-2026-017-02</t>
  </si>
  <si>
    <t>CHK-2026-017-03</t>
  </si>
  <si>
    <t>CHK-2026-017-04</t>
  </si>
  <si>
    <t>CHK-2026-017-05</t>
  </si>
  <si>
    <t>CHK-2026-017-06</t>
  </si>
  <si>
    <t>CHK-2026-017-07</t>
  </si>
  <si>
    <t>CHK-2026-017-08</t>
  </si>
  <si>
    <t>CHK-2026-017-09</t>
  </si>
  <si>
    <t>CHK-2026-017-10</t>
  </si>
  <si>
    <t>CHK-2026-018-01</t>
  </si>
  <si>
    <t>CHK-2026-018-02</t>
  </si>
  <si>
    <t>CHK-2026-018-03</t>
  </si>
  <si>
    <t>CHK-2026-018-04</t>
  </si>
  <si>
    <t>CHK-2026-018-05</t>
  </si>
  <si>
    <t>CHK-2026-018-06</t>
  </si>
  <si>
    <t>CHK-2026-018-07</t>
  </si>
  <si>
    <t>CHK-2026-018-08</t>
  </si>
  <si>
    <t>CHK-2026-018-09</t>
  </si>
  <si>
    <t>CHK-2026-018-10</t>
  </si>
  <si>
    <t>CHK-2026-019-01</t>
  </si>
  <si>
    <t>CHK-2026-019-02</t>
  </si>
  <si>
    <t>CHK-2026-019-03</t>
  </si>
  <si>
    <t>CHK-2026-019-04</t>
  </si>
  <si>
    <t>CHK-2026-019-05</t>
  </si>
  <si>
    <t>CHK-2026-019-06</t>
  </si>
  <si>
    <t>CHK-2026-019-07</t>
  </si>
  <si>
    <t>CHK-2026-019-08</t>
  </si>
  <si>
    <t>CHK-2026-019-09</t>
  </si>
  <si>
    <t>CHK-2026-019-10</t>
  </si>
  <si>
    <t>CHK-2026-020-01</t>
  </si>
  <si>
    <t>CHK-2026-020-02</t>
  </si>
  <si>
    <t>CHK-2026-020-03</t>
  </si>
  <si>
    <t>CHK-2026-020-04</t>
  </si>
  <si>
    <t>CHK-2026-020-05</t>
  </si>
  <si>
    <t>CHK-2026-020-06</t>
  </si>
  <si>
    <t>CHK-2026-020-07</t>
  </si>
  <si>
    <t>CHK-2026-020-08</t>
  </si>
  <si>
    <t>CHK-2026-020-09</t>
  </si>
  <si>
    <t>CHK-2026-020-10</t>
  </si>
  <si>
    <t>CHK-2026-021-01</t>
  </si>
  <si>
    <t>CHK-2026-021-02</t>
  </si>
  <si>
    <t>CHK-2026-021-03</t>
  </si>
  <si>
    <t>CHK-2026-021-04</t>
  </si>
  <si>
    <t>CHK-2026-021-05</t>
  </si>
  <si>
    <t>CHK-2026-021-06</t>
  </si>
  <si>
    <t>CHK-2026-021-07</t>
  </si>
  <si>
    <t>CHK-2026-021-08</t>
  </si>
  <si>
    <t>CHK-2026-021-09</t>
  </si>
  <si>
    <t>CHK-2026-021-10</t>
  </si>
  <si>
    <t>CHK-2026-022-01</t>
  </si>
  <si>
    <t>CHK-2026-022-02</t>
  </si>
  <si>
    <t>CHK-2026-022-03</t>
  </si>
  <si>
    <t>CHK-2026-022-04</t>
  </si>
  <si>
    <t>CHK-2026-022-05</t>
  </si>
  <si>
    <t>CHK-2026-022-06</t>
  </si>
  <si>
    <t>CHK-2026-022-07</t>
  </si>
  <si>
    <t>CHK-2026-022-08</t>
  </si>
  <si>
    <t>CHK-2026-022-09</t>
  </si>
  <si>
    <t>CHK-2026-022-10</t>
  </si>
  <si>
    <t>CHK-2026-023-01</t>
  </si>
  <si>
    <t>CHK-2026-023-02</t>
  </si>
  <si>
    <t>CHK-2026-023-03</t>
  </si>
  <si>
    <t>CHK-2026-023-04</t>
  </si>
  <si>
    <t>CHK-2026-023-05</t>
  </si>
  <si>
    <t>CHK-2026-023-06</t>
  </si>
  <si>
    <t>CHK-2026-023-07</t>
  </si>
  <si>
    <t>CHK-2026-023-08</t>
  </si>
  <si>
    <t>CHK-2026-023-09</t>
  </si>
  <si>
    <t>CHK-2026-023-10</t>
  </si>
  <si>
    <t>CHK-2026-024-01</t>
  </si>
  <si>
    <t>CHK-2026-024-02</t>
  </si>
  <si>
    <t>CHK-2026-024-03</t>
  </si>
  <si>
    <t>CHK-2026-024-04</t>
  </si>
  <si>
    <t>CHK-2026-024-05</t>
  </si>
  <si>
    <t>CHK-2026-024-06</t>
  </si>
  <si>
    <t>CHK-2026-024-07</t>
  </si>
  <si>
    <t>CHK-2026-024-08</t>
  </si>
  <si>
    <t>CHK-2026-024-09</t>
  </si>
  <si>
    <t>CHK-2026-024-10</t>
  </si>
  <si>
    <t>CHK-2026-025-01</t>
  </si>
  <si>
    <t>CHK-2026-025-02</t>
  </si>
  <si>
    <t>CHK-2026-025-03</t>
  </si>
  <si>
    <t>CHK-2026-025-04</t>
  </si>
  <si>
    <t>CHK-2026-025-05</t>
  </si>
  <si>
    <t>CHK-2026-025-06</t>
  </si>
  <si>
    <t>CHK-2026-025-07</t>
  </si>
  <si>
    <t>CHK-2026-025-08</t>
  </si>
  <si>
    <t>CHK-2026-025-09</t>
  </si>
  <si>
    <t>CHK-2026-025-10</t>
  </si>
  <si>
    <t>CHK-2026-026-01</t>
  </si>
  <si>
    <t>CHK-2026-026-02</t>
  </si>
  <si>
    <t>CHK-2026-026-03</t>
  </si>
  <si>
    <t>CHK-2026-026-04</t>
  </si>
  <si>
    <t>CHK-2026-026-05</t>
  </si>
  <si>
    <t>CHK-2026-026-06</t>
  </si>
  <si>
    <t>CHK-2026-026-07</t>
  </si>
  <si>
    <t>CHK-2026-026-08</t>
  </si>
  <si>
    <t>CHK-2026-026-09</t>
  </si>
  <si>
    <t>CHK-2026-026-10</t>
  </si>
  <si>
    <t>CHK-2026-027-01</t>
  </si>
  <si>
    <t>CHK-2026-027-02</t>
  </si>
  <si>
    <t>CHK-2026-027-03</t>
  </si>
  <si>
    <t>CHK-2026-027-04</t>
  </si>
  <si>
    <t>CHK-2026-027-05</t>
  </si>
  <si>
    <t>CHK-2026-027-06</t>
  </si>
  <si>
    <t>CHK-2026-027-07</t>
  </si>
  <si>
    <t>CHK-2026-027-08</t>
  </si>
  <si>
    <t>CHK-2026-027-09</t>
  </si>
  <si>
    <t>CHK-2026-027-10</t>
  </si>
  <si>
    <t>CHK-2026-028-01</t>
  </si>
  <si>
    <t>CHK-2026-028-02</t>
  </si>
  <si>
    <t>CHK-2026-028-03</t>
  </si>
  <si>
    <t>CHK-2026-028-04</t>
  </si>
  <si>
    <t>CHK-2026-028-05</t>
  </si>
  <si>
    <t>CHK-2026-028-06</t>
  </si>
  <si>
    <t>CHK-2026-028-07</t>
  </si>
  <si>
    <t>CHK-2026-028-08</t>
  </si>
  <si>
    <t>CHK-2026-028-09</t>
  </si>
  <si>
    <t>CHK-2026-028-10</t>
  </si>
  <si>
    <t>CHK-2026-029-01</t>
  </si>
  <si>
    <t>CHK-2026-029-02</t>
  </si>
  <si>
    <t>CHK-2026-029-03</t>
  </si>
  <si>
    <t>CHK-2026-029-04</t>
  </si>
  <si>
    <t>CHK-2026-029-05</t>
  </si>
  <si>
    <t>CHK-2026-029-06</t>
  </si>
  <si>
    <t>CHK-2026-029-07</t>
  </si>
  <si>
    <t>CHK-2026-029-08</t>
  </si>
  <si>
    <t>CHK-2026-029-09</t>
  </si>
  <si>
    <t>CHK-2026-029-10</t>
  </si>
  <si>
    <t>CHK-2026-030-01</t>
  </si>
  <si>
    <t>CHK-2026-030-02</t>
  </si>
  <si>
    <t>CHK-2026-030-03</t>
  </si>
  <si>
    <t>CHK-2026-030-04</t>
  </si>
  <si>
    <t>CHK-2026-030-05</t>
  </si>
  <si>
    <t>CHK-2026-030-06</t>
  </si>
  <si>
    <t>CHK-2026-030-07</t>
  </si>
  <si>
    <t>CHK-2026-030-08</t>
  </si>
  <si>
    <t>CHK-2026-030-09</t>
  </si>
  <si>
    <t>CHK-2026-030-10</t>
  </si>
  <si>
    <t>CHK-2026-031-01</t>
  </si>
  <si>
    <t>CHK-2026-031-02</t>
  </si>
  <si>
    <t>CHK-2026-031-03</t>
  </si>
  <si>
    <t>CHK-2026-031-04</t>
  </si>
  <si>
    <t>CHK-2026-031-05</t>
  </si>
  <si>
    <t>CHK-2026-031-06</t>
  </si>
  <si>
    <t>CHK-2026-031-07</t>
  </si>
  <si>
    <t>CHK-2026-031-08</t>
  </si>
  <si>
    <t>CHK-2026-031-09</t>
  </si>
  <si>
    <t>CHK-2026-031-10</t>
  </si>
  <si>
    <t>CHK-2026-032-01</t>
  </si>
  <si>
    <t>CHK-2026-032-02</t>
  </si>
  <si>
    <t>CHK-2026-032-03</t>
  </si>
  <si>
    <t>CHK-2026-032-04</t>
  </si>
  <si>
    <t>CHK-2026-032-05</t>
  </si>
  <si>
    <t>CHK-2026-032-06</t>
  </si>
  <si>
    <t>CHK-2026-032-07</t>
  </si>
  <si>
    <t>CHK-2026-032-08</t>
  </si>
  <si>
    <t>CHK-2026-032-09</t>
  </si>
  <si>
    <t>CHK-2026-032-10</t>
  </si>
  <si>
    <t>CHK-2026-033-01</t>
  </si>
  <si>
    <t>CHK-2026-033-02</t>
  </si>
  <si>
    <t>CHK-2026-033-03</t>
  </si>
  <si>
    <t>CHK-2026-033-04</t>
  </si>
  <si>
    <t>CHK-2026-033-05</t>
  </si>
  <si>
    <t>CHK-2026-033-06</t>
  </si>
  <si>
    <t>CHK-2026-033-07</t>
  </si>
  <si>
    <t>CHK-2026-033-08</t>
  </si>
  <si>
    <t>CHK-2026-033-09</t>
  </si>
  <si>
    <t>CHK-2026-033-10</t>
  </si>
  <si>
    <t>CHK-2026-034-01</t>
  </si>
  <si>
    <t>CHK-2026-034-02</t>
  </si>
  <si>
    <t>CHK-2026-034-03</t>
  </si>
  <si>
    <t>CHK-2026-034-04</t>
  </si>
  <si>
    <t>CHK-2026-034-05</t>
  </si>
  <si>
    <t>CHK-2026-034-06</t>
  </si>
  <si>
    <t>CHK-2026-034-07</t>
  </si>
  <si>
    <t>CHK-2026-034-08</t>
  </si>
  <si>
    <t>CHK-2026-034-09</t>
  </si>
  <si>
    <t>CHK-2026-034-10</t>
  </si>
  <si>
    <t>CHK-2026-035-01</t>
  </si>
  <si>
    <t>CHK-2026-035-02</t>
  </si>
  <si>
    <t>CHK-2026-035-03</t>
  </si>
  <si>
    <t>CHK-2026-035-04</t>
  </si>
  <si>
    <t>CHK-2026-035-05</t>
  </si>
  <si>
    <t>CHK-2026-035-06</t>
  </si>
  <si>
    <t>CHK-2026-035-07</t>
  </si>
  <si>
    <t>CHK-2026-035-08</t>
  </si>
  <si>
    <t>CHK-2026-035-09</t>
  </si>
  <si>
    <t>CHK-2026-035-10</t>
  </si>
  <si>
    <t>CHK-2026-036-01</t>
  </si>
  <si>
    <t>CHK-2026-036-02</t>
  </si>
  <si>
    <t>CHK-2026-036-03</t>
  </si>
  <si>
    <t>CHK-2026-036-04</t>
  </si>
  <si>
    <t>CHK-2026-036-05</t>
  </si>
  <si>
    <t>CHK-2026-036-06</t>
  </si>
  <si>
    <t>CHK-2026-036-07</t>
  </si>
  <si>
    <t>CHK-2026-036-08</t>
  </si>
  <si>
    <t>CHK-2026-036-09</t>
  </si>
  <si>
    <t>CHK-2026-036-10</t>
  </si>
  <si>
    <t>CHK-2026-037-01</t>
  </si>
  <si>
    <t>CHK-2026-037-02</t>
  </si>
  <si>
    <t>CHK-2026-037-03</t>
  </si>
  <si>
    <t>CHK-2026-037-04</t>
  </si>
  <si>
    <t>CHK-2026-037-05</t>
  </si>
  <si>
    <t>CHK-2026-037-06</t>
  </si>
  <si>
    <t>CHK-2026-037-07</t>
  </si>
  <si>
    <t>CHK-2026-037-08</t>
  </si>
  <si>
    <t>CHK-2026-037-09</t>
  </si>
  <si>
    <t>CHK-2026-037-10</t>
  </si>
  <si>
    <t>CHK-2026-038-01</t>
  </si>
  <si>
    <t>CHK-2026-038-02</t>
  </si>
  <si>
    <t>CHK-2026-038-03</t>
  </si>
  <si>
    <t>CHK-2026-038-04</t>
  </si>
  <si>
    <t>CHK-2026-038-05</t>
  </si>
  <si>
    <t>CHK-2026-038-06</t>
  </si>
  <si>
    <t>CHK-2026-038-07</t>
  </si>
  <si>
    <t>CHK-2026-038-08</t>
  </si>
  <si>
    <t>CHK-2026-038-09</t>
  </si>
  <si>
    <t>CHK-2026-038-10</t>
  </si>
  <si>
    <t>CHK-2026-039-01</t>
  </si>
  <si>
    <t>CHK-2026-039-02</t>
  </si>
  <si>
    <t>CHK-2026-039-03</t>
  </si>
  <si>
    <t>CHK-2026-039-04</t>
  </si>
  <si>
    <t>CHK-2026-039-05</t>
  </si>
  <si>
    <t>CHK-2026-039-06</t>
  </si>
  <si>
    <t>CHK-2026-039-07</t>
  </si>
  <si>
    <t>CHK-2026-039-08</t>
  </si>
  <si>
    <t>CHK-2026-039-09</t>
  </si>
  <si>
    <t>CHK-2026-039-10</t>
  </si>
  <si>
    <t>CHK-2026-040-01</t>
  </si>
  <si>
    <t>CHK-2026-040-02</t>
  </si>
  <si>
    <t>CHK-2026-040-03</t>
  </si>
  <si>
    <t>CHK-2026-040-04</t>
  </si>
  <si>
    <t>CHK-2026-040-05</t>
  </si>
  <si>
    <t>CHK-2026-040-06</t>
  </si>
  <si>
    <t>CHK-2026-040-07</t>
  </si>
  <si>
    <t>CHK-2026-040-08</t>
  </si>
  <si>
    <t>CHK-2026-040-09</t>
  </si>
  <si>
    <t>CHK-2026-040-10</t>
  </si>
  <si>
    <t>CHK-2026-041-01</t>
  </si>
  <si>
    <t>CHK-2026-041-02</t>
  </si>
  <si>
    <t>CHK-2026-041-03</t>
  </si>
  <si>
    <t>CHK-2026-041-04</t>
  </si>
  <si>
    <t>CHK-2026-041-05</t>
  </si>
  <si>
    <t>CHK-2026-041-06</t>
  </si>
  <si>
    <t>CHK-2026-041-07</t>
  </si>
  <si>
    <t>CHK-2026-041-08</t>
  </si>
  <si>
    <t>CHK-2026-041-09</t>
  </si>
  <si>
    <t>CHK-2026-041-10</t>
  </si>
  <si>
    <t>CHK-2026-042-01</t>
  </si>
  <si>
    <t>CHK-2026-042-02</t>
  </si>
  <si>
    <t>CHK-2026-042-03</t>
  </si>
  <si>
    <t>CHK-2026-042-04</t>
  </si>
  <si>
    <t>CHK-2026-042-05</t>
  </si>
  <si>
    <t>CHK-2026-042-06</t>
  </si>
  <si>
    <t>CHK-2026-042-07</t>
  </si>
  <si>
    <t>CHK-2026-042-08</t>
  </si>
  <si>
    <t>CHK-2026-042-09</t>
  </si>
  <si>
    <t>CHK-2026-042-10</t>
  </si>
  <si>
    <t>CHK-2026-043-01</t>
  </si>
  <si>
    <t>CHK-2026-043-02</t>
  </si>
  <si>
    <t>CHK-2026-043-03</t>
  </si>
  <si>
    <t>CHK-2026-043-04</t>
  </si>
  <si>
    <t>CHK-2026-043-05</t>
  </si>
  <si>
    <t>CHK-2026-043-06</t>
  </si>
  <si>
    <t>CHK-2026-043-07</t>
  </si>
  <si>
    <t>CHK-2026-043-08</t>
  </si>
  <si>
    <t>CHK-2026-043-09</t>
  </si>
  <si>
    <t>CHK-2026-043-10</t>
  </si>
  <si>
    <t>CHK-2026-044-01</t>
  </si>
  <si>
    <t>CHK-2026-044-02</t>
  </si>
  <si>
    <t>CHK-2026-044-03</t>
  </si>
  <si>
    <t>CHK-2026-044-04</t>
  </si>
  <si>
    <t>CHK-2026-044-05</t>
  </si>
  <si>
    <t>CHK-2026-044-06</t>
  </si>
  <si>
    <t>CHK-2026-044-07</t>
  </si>
  <si>
    <t>CHK-2026-044-08</t>
  </si>
  <si>
    <t>CHK-2026-044-09</t>
  </si>
  <si>
    <t>CHK-2026-044-10</t>
  </si>
  <si>
    <t>CHK-2026-045-01</t>
  </si>
  <si>
    <t>CHK-2026-045-02</t>
  </si>
  <si>
    <t>CHK-2026-045-03</t>
  </si>
  <si>
    <t>CHK-2026-045-04</t>
  </si>
  <si>
    <t>CHK-2026-045-05</t>
  </si>
  <si>
    <t>CHK-2026-045-06</t>
  </si>
  <si>
    <t>CHK-2026-045-07</t>
  </si>
  <si>
    <t>CHK-2026-045-08</t>
  </si>
  <si>
    <t>CHK-2026-045-09</t>
  </si>
  <si>
    <t>CHK-2026-045-10</t>
  </si>
  <si>
    <t>CHK-2026-046-01</t>
  </si>
  <si>
    <t>CHK-2026-046-02</t>
  </si>
  <si>
    <t>CHK-2026-046-03</t>
  </si>
  <si>
    <t>CHK-2026-046-04</t>
  </si>
  <si>
    <t>CHK-2026-046-05</t>
  </si>
  <si>
    <t>CHK-2026-046-06</t>
  </si>
  <si>
    <t>CHK-2026-046-07</t>
  </si>
  <si>
    <t>CHK-2026-046-08</t>
  </si>
  <si>
    <t>CHK-2026-046-09</t>
  </si>
  <si>
    <t>CHK-2026-046-10</t>
  </si>
  <si>
    <t>CHK-2026-047-01</t>
  </si>
  <si>
    <t>CHK-2026-047-02</t>
  </si>
  <si>
    <t>CHK-2026-047-03</t>
  </si>
  <si>
    <t>CHK-2026-047-04</t>
  </si>
  <si>
    <t>CHK-2026-047-05</t>
  </si>
  <si>
    <t>CHK-2026-047-06</t>
  </si>
  <si>
    <t>CHK-2026-047-07</t>
  </si>
  <si>
    <t>CHK-2026-047-08</t>
  </si>
  <si>
    <t>CHK-2026-047-09</t>
  </si>
  <si>
    <t>CHK-2026-047-10</t>
  </si>
  <si>
    <t>CHK-2026-048-01</t>
  </si>
  <si>
    <t>CHK-2026-048-02</t>
  </si>
  <si>
    <t>CHK-2026-048-03</t>
  </si>
  <si>
    <t>CHK-2026-048-04</t>
  </si>
  <si>
    <t>CHK-2026-048-05</t>
  </si>
  <si>
    <t>CHK-2026-048-06</t>
  </si>
  <si>
    <t>CHK-2026-048-07</t>
  </si>
  <si>
    <t>CHK-2026-048-08</t>
  </si>
  <si>
    <t>CHK-2026-048-09</t>
  </si>
  <si>
    <t>CHK-2026-048-10</t>
  </si>
  <si>
    <t>CHK-2026-049-01</t>
  </si>
  <si>
    <t>CHK-2026-049-02</t>
  </si>
  <si>
    <t>CHK-2026-049-03</t>
  </si>
  <si>
    <t>CHK-2026-049-04</t>
  </si>
  <si>
    <t>CHK-2026-049-05</t>
  </si>
  <si>
    <t>CHK-2026-049-06</t>
  </si>
  <si>
    <t>CHK-2026-049-07</t>
  </si>
  <si>
    <t>CHK-2026-049-08</t>
  </si>
  <si>
    <t>CHK-2026-049-09</t>
  </si>
  <si>
    <t>CHK-2026-049-10</t>
  </si>
  <si>
    <t>CHK-2026-050-01</t>
  </si>
  <si>
    <t>CHK-2026-050-02</t>
  </si>
  <si>
    <t>CHK-2026-050-03</t>
  </si>
  <si>
    <t>CHK-2026-050-04</t>
  </si>
  <si>
    <t>CHK-2026-050-05</t>
  </si>
  <si>
    <t>CHK-2026-050-06</t>
  </si>
  <si>
    <t>CHK-2026-050-07</t>
  </si>
  <si>
    <t>CHK-2026-050-08</t>
  </si>
  <si>
    <t>CHK-2026-050-09</t>
  </si>
  <si>
    <t>CHK-2026-050-10</t>
  </si>
  <si>
    <t>CHK-2026-051-01</t>
  </si>
  <si>
    <t>CHK-2026-051-02</t>
  </si>
  <si>
    <t>CHK-2026-051-03</t>
  </si>
  <si>
    <t>CHK-2026-051-04</t>
  </si>
  <si>
    <t>CHK-2026-051-05</t>
  </si>
  <si>
    <t>CHK-2026-051-06</t>
  </si>
  <si>
    <t>CHK-2026-051-07</t>
  </si>
  <si>
    <t>CHK-2026-051-08</t>
  </si>
  <si>
    <t>CHK-2026-051-09</t>
  </si>
  <si>
    <t>CHK-2026-051-10</t>
  </si>
  <si>
    <t>CHK-2026-052-01</t>
  </si>
  <si>
    <t>CHK-2026-052-02</t>
  </si>
  <si>
    <t>CHK-2026-052-03</t>
  </si>
  <si>
    <t>CHK-2026-052-04</t>
  </si>
  <si>
    <t>CHK-2026-052-05</t>
  </si>
  <si>
    <t>CHK-2026-052-06</t>
  </si>
  <si>
    <t>CHK-2026-052-07</t>
  </si>
  <si>
    <t>CHK-2026-052-08</t>
  </si>
  <si>
    <t>CHK-2026-052-09</t>
  </si>
  <si>
    <t>CHK-2026-052-10</t>
  </si>
  <si>
    <t>CHK-2026-053-01</t>
  </si>
  <si>
    <t>CHK-2026-053-02</t>
  </si>
  <si>
    <t>CHK-2026-053-03</t>
  </si>
  <si>
    <t>CHK-2026-053-04</t>
  </si>
  <si>
    <t>CHK-2026-053-05</t>
  </si>
  <si>
    <t>CHK-2026-053-06</t>
  </si>
  <si>
    <t>CHK-2026-053-07</t>
  </si>
  <si>
    <t>CHK-2026-053-08</t>
  </si>
  <si>
    <t>CHK-2026-053-09</t>
  </si>
  <si>
    <t>CHK-2026-053-10</t>
  </si>
  <si>
    <t>CHK-2026-054-01</t>
  </si>
  <si>
    <t>CHK-2026-054-02</t>
  </si>
  <si>
    <t>CHK-2026-054-03</t>
  </si>
  <si>
    <t>CHK-2026-054-04</t>
  </si>
  <si>
    <t>CHK-2026-054-05</t>
  </si>
  <si>
    <t>CHK-2026-054-06</t>
  </si>
  <si>
    <t>CHK-2026-054-07</t>
  </si>
  <si>
    <t>CHK-2026-054-08</t>
  </si>
  <si>
    <t>CHK-2026-054-09</t>
  </si>
  <si>
    <t>CHK-2026-054-10</t>
  </si>
  <si>
    <t>CHK-2026-055-01</t>
  </si>
  <si>
    <t>CHK-2026-055-02</t>
  </si>
  <si>
    <t>CHK-2026-055-03</t>
  </si>
  <si>
    <t>CHK-2026-055-04</t>
  </si>
  <si>
    <t>CHK-2026-055-05</t>
  </si>
  <si>
    <t>CHK-2026-055-06</t>
  </si>
  <si>
    <t>CHK-2026-055-07</t>
  </si>
  <si>
    <t>CHK-2026-055-08</t>
  </si>
  <si>
    <t>CHK-2026-055-09</t>
  </si>
  <si>
    <t>CHK-2026-055-10</t>
  </si>
  <si>
    <t>CHK-2026-056-01</t>
  </si>
  <si>
    <t>CHK-2026-056-02</t>
  </si>
  <si>
    <t>CHK-2026-056-03</t>
  </si>
  <si>
    <t>CHK-2026-056-04</t>
  </si>
  <si>
    <t>CHK-2026-056-05</t>
  </si>
  <si>
    <t>CHK-2026-056-06</t>
  </si>
  <si>
    <t>CHK-2026-056-07</t>
  </si>
  <si>
    <t>CHK-2026-056-08</t>
  </si>
  <si>
    <t>CHK-2026-056-09</t>
  </si>
  <si>
    <t>CHK-2026-056-10</t>
  </si>
  <si>
    <t>CHK-2026-057-01</t>
  </si>
  <si>
    <t>CHK-2026-057-02</t>
  </si>
  <si>
    <t>CHK-2026-057-03</t>
  </si>
  <si>
    <t>CHK-2026-057-04</t>
  </si>
  <si>
    <t>CHK-2026-057-05</t>
  </si>
  <si>
    <t>CHK-2026-057-06</t>
  </si>
  <si>
    <t>CHK-2026-057-07</t>
  </si>
  <si>
    <t>CHK-2026-057-08</t>
  </si>
  <si>
    <t>CHK-2026-057-09</t>
  </si>
  <si>
    <t>CHK-2026-057-10</t>
  </si>
  <si>
    <t>CHK-2026-058-01</t>
  </si>
  <si>
    <t>CHK-2026-058-02</t>
  </si>
  <si>
    <t>CHK-2026-058-03</t>
  </si>
  <si>
    <t>CHK-2026-058-04</t>
  </si>
  <si>
    <t>CHK-2026-058-05</t>
  </si>
  <si>
    <t>CHK-2026-058-06</t>
  </si>
  <si>
    <t>CHK-2026-058-07</t>
  </si>
  <si>
    <t>CHK-2026-058-08</t>
  </si>
  <si>
    <t>CHK-2026-058-09</t>
  </si>
  <si>
    <t>CHK-2026-058-10</t>
  </si>
  <si>
    <t>CHK-2026-059-01</t>
  </si>
  <si>
    <t>CHK-2026-059-02</t>
  </si>
  <si>
    <t>CHK-2026-059-03</t>
  </si>
  <si>
    <t>CHK-2026-059-04</t>
  </si>
  <si>
    <t>CHK-2026-059-05</t>
  </si>
  <si>
    <t>CHK-2026-059-06</t>
  </si>
  <si>
    <t>CHK-2026-059-07</t>
  </si>
  <si>
    <t>CHK-2026-059-08</t>
  </si>
  <si>
    <t>CHK-2026-059-09</t>
  </si>
  <si>
    <t>CHK-2026-059-10</t>
  </si>
  <si>
    <t>CHK-2026-068-01</t>
  </si>
  <si>
    <t>CHK-2026-068-02</t>
  </si>
  <si>
    <t>CHK-2026-068-03</t>
  </si>
  <si>
    <t>CHK-2026-068-04</t>
  </si>
  <si>
    <t>CHK-2026-068-05</t>
  </si>
  <si>
    <t>CHK-2026-068-06</t>
  </si>
  <si>
    <t>CHK-2026-068-07</t>
  </si>
  <si>
    <t>CHK-2026-068-08</t>
  </si>
  <si>
    <t>CHK-2026-068-09</t>
  </si>
  <si>
    <t>CHK-2026-068-10</t>
  </si>
  <si>
    <t>CHK-2026-060-01</t>
  </si>
  <si>
    <t>CHK-2026-060-02</t>
  </si>
  <si>
    <t>CHK-2026-060-03</t>
  </si>
  <si>
    <t>CHK-2026-060-04</t>
  </si>
  <si>
    <t>CHK-2026-060-05</t>
  </si>
  <si>
    <t>CHK-2026-060-06</t>
  </si>
  <si>
    <t>CHK-2026-060-07</t>
  </si>
  <si>
    <t>CHK-2026-060-08</t>
  </si>
  <si>
    <t>CHK-2026-060-09</t>
  </si>
  <si>
    <t>CHK-2026-060-10</t>
  </si>
  <si>
    <t>CHK-2026-061-01</t>
  </si>
  <si>
    <t>CHK-2026-061-02</t>
  </si>
  <si>
    <t>CHK-2026-061-03</t>
  </si>
  <si>
    <t>CHK-2026-061-04</t>
  </si>
  <si>
    <t>CHK-2026-061-05</t>
  </si>
  <si>
    <t>CHK-2026-061-06</t>
  </si>
  <si>
    <t>CHK-2026-061-07</t>
  </si>
  <si>
    <t>CHK-2026-061-08</t>
  </si>
  <si>
    <t>CHK-2026-061-09</t>
  </si>
  <si>
    <t>CHK-2026-061-10</t>
  </si>
  <si>
    <t>CHK-2026-062-01</t>
  </si>
  <si>
    <t>CHK-2026-062-02</t>
  </si>
  <si>
    <t>CHK-2026-062-03</t>
  </si>
  <si>
    <t>CHK-2026-062-04</t>
  </si>
  <si>
    <t>CHK-2026-062-05</t>
  </si>
  <si>
    <t>CHK-2026-062-06</t>
  </si>
  <si>
    <t>CHK-2026-062-07</t>
  </si>
  <si>
    <t>CHK-2026-062-08</t>
  </si>
  <si>
    <t>CHK-2026-062-09</t>
  </si>
  <si>
    <t>CHK-2026-062-10</t>
  </si>
  <si>
    <t>CHK-2026-063-01</t>
  </si>
  <si>
    <t>CHK-2026-063-02</t>
  </si>
  <si>
    <t>CHK-2026-063-03</t>
  </si>
  <si>
    <t>CHK-2026-063-04</t>
  </si>
  <si>
    <t>CHK-2026-063-05</t>
  </si>
  <si>
    <t>CHK-2026-063-06</t>
  </si>
  <si>
    <t>CHK-2026-063-07</t>
  </si>
  <si>
    <t>CHK-2026-063-08</t>
  </si>
  <si>
    <t>CHK-2026-063-09</t>
  </si>
  <si>
    <t>CHK-2026-063-10</t>
  </si>
  <si>
    <t>CHK-2026-064-01</t>
  </si>
  <si>
    <t>CHK-2026-064-02</t>
  </si>
  <si>
    <t>CHK-2026-064-03</t>
  </si>
  <si>
    <t>CHK-2026-064-04</t>
  </si>
  <si>
    <t>CHK-2026-064-05</t>
  </si>
  <si>
    <t>CHK-2026-064-06</t>
  </si>
  <si>
    <t>CHK-2026-064-07</t>
  </si>
  <si>
    <t>CHK-2026-064-08</t>
  </si>
  <si>
    <t>CHK-2026-064-09</t>
  </si>
  <si>
    <t>CHK-2026-064-10</t>
  </si>
  <si>
    <t>CHK-2026-065-01</t>
  </si>
  <si>
    <t>CHK-2026-065-02</t>
  </si>
  <si>
    <t>CHK-2026-065-03</t>
  </si>
  <si>
    <t>CHK-2026-065-04</t>
  </si>
  <si>
    <t>CHK-2026-065-05</t>
  </si>
  <si>
    <t>CHK-2026-065-06</t>
  </si>
  <si>
    <t>CHK-2026-065-07</t>
  </si>
  <si>
    <t>CHK-2026-065-08</t>
  </si>
  <si>
    <t>CHK-2026-065-09</t>
  </si>
  <si>
    <t>CHK-2026-065-10</t>
  </si>
  <si>
    <t>CHK-2026-066-01</t>
  </si>
  <si>
    <t>CHK-2026-066-02</t>
  </si>
  <si>
    <t>CHK-2026-066-03</t>
  </si>
  <si>
    <t>CHK-2026-066-04</t>
  </si>
  <si>
    <t>CHK-2026-066-05</t>
  </si>
  <si>
    <t>CHK-2026-066-06</t>
  </si>
  <si>
    <t>CHK-2026-066-07</t>
  </si>
  <si>
    <t>CHK-2026-066-08</t>
  </si>
  <si>
    <t>CHK-2026-066-09</t>
  </si>
  <si>
    <t>CHK-2026-066-10</t>
  </si>
  <si>
    <t>CHK-2026-067-01</t>
  </si>
  <si>
    <t>CHK-2026-067-02</t>
  </si>
  <si>
    <t>CHK-2026-067-03</t>
  </si>
  <si>
    <t>CHK-2026-067-04</t>
  </si>
  <si>
    <t>CHK-2026-067-05</t>
  </si>
  <si>
    <t>CHK-2026-067-06</t>
  </si>
  <si>
    <t>CHK-2026-067-07</t>
  </si>
  <si>
    <t>CHK-2026-067-08</t>
  </si>
  <si>
    <t>CHK-2026-067-09</t>
  </si>
  <si>
    <t>CHK-2026-067-10</t>
  </si>
  <si>
    <t>CHK-2026-069-01</t>
  </si>
  <si>
    <t>CHK-2026-069-02</t>
  </si>
  <si>
    <t>CHK-2026-069-03</t>
  </si>
  <si>
    <t>CHK-2026-069-04</t>
  </si>
  <si>
    <t>CHK-2026-069-05</t>
  </si>
  <si>
    <t>CHK-2026-069-06</t>
  </si>
  <si>
    <t>CHK-2026-069-07</t>
  </si>
  <si>
    <t>CHK-2026-069-08</t>
  </si>
  <si>
    <t>CHK-2026-069-09</t>
  </si>
  <si>
    <t>CHK-2026-069-10</t>
  </si>
  <si>
    <t>CHK-2026-070-01</t>
  </si>
  <si>
    <t>CHK-2026-070-02</t>
  </si>
  <si>
    <t>CHK-2026-070-03</t>
  </si>
  <si>
    <t>CHK-2026-070-04</t>
  </si>
  <si>
    <t>CHK-2026-070-05</t>
  </si>
  <si>
    <t>CHK-2026-070-06</t>
  </si>
  <si>
    <t>CHK-2026-070-07</t>
  </si>
  <si>
    <t>CHK-2026-070-08</t>
  </si>
  <si>
    <t>CHK-2026-070-09</t>
  </si>
  <si>
    <t>CHK-2026-070-10</t>
  </si>
  <si>
    <t>RAH.01 Work steps / ขั้นตอนการทำงาน</t>
  </si>
  <si>
    <t>step_order</t>
  </si>
  <si>
    <t>work_step</t>
  </si>
  <si>
    <t>primary_hazards</t>
  </si>
  <si>
    <t>work_duration</t>
  </si>
  <si>
    <t>staff_involved_count</t>
  </si>
  <si>
    <t>work_step_id</t>
  </si>
  <si>
    <t>Accident &amp; Emergency: Receive and assess critically ill patients</t>
  </si>
  <si>
    <t>biological exposure, violence, workload</t>
  </si>
  <si>
    <t>Continuous each shift</t>
  </si>
  <si>
    <t>STEP-2026-001-01</t>
  </si>
  <si>
    <t>Accident &amp; Emergency: Administer medication and manage invasive devices</t>
  </si>
  <si>
    <t>sharps, infection, chemical disinfectants</t>
  </si>
  <si>
    <t>4–6 hours/shift</t>
  </si>
  <si>
    <t>STEP-2026-001-02</t>
  </si>
  <si>
    <t>Accident &amp; Emergency: Turn, lift, and transfer dependent patients</t>
  </si>
  <si>
    <t>manual handling, awkward posture</t>
  </si>
  <si>
    <t>8–15 times/shift</t>
  </si>
  <si>
    <t>STEP-2026-001-03</t>
  </si>
  <si>
    <t>Anaesthesia: Receive and assess critically ill patients</t>
  </si>
  <si>
    <t>STEP-2026-002-01</t>
  </si>
  <si>
    <t>Anaesthesia: Administer medication and manage invasive devices</t>
  </si>
  <si>
    <t>STEP-2026-002-02</t>
  </si>
  <si>
    <t>Anaesthesia: Turn, lift, and transfer dependent patients</t>
  </si>
  <si>
    <t>STEP-2026-002-03</t>
  </si>
  <si>
    <t>Anaesthesia: Respond to alarms and clinical deterioration</t>
  </si>
  <si>
    <t>stress, fatigue, electrical equipment</t>
  </si>
  <si>
    <t>Intermittent/emergency</t>
  </si>
  <si>
    <t>STEP-2026-002-04</t>
  </si>
  <si>
    <t>Cardiology: Triage unscheduled patients</t>
  </si>
  <si>
    <t>infection, aggression, prolonged standing</t>
  </si>
  <si>
    <t>Continuous</t>
  </si>
  <si>
    <t>STEP-2026-003-01</t>
  </si>
  <si>
    <t>Cardiology: Resuscitate and stabilize emergencies</t>
  </si>
  <si>
    <t>sharps, body fluids, stress</t>
  </si>
  <si>
    <t>Intermittent/high intensity</t>
  </si>
  <si>
    <t>STEP-2026-003-02</t>
  </si>
  <si>
    <t>Cardiology: Transfer patients and equipment</t>
  </si>
  <si>
    <t>manual handling, collision, obstruction</t>
  </si>
  <si>
    <t>10–20 transfers/shift</t>
  </si>
  <si>
    <t>STEP-2026-003-03</t>
  </si>
  <si>
    <t>Cardiology: Clean treatment bays after cases</t>
  </si>
  <si>
    <t>disinfectants, contaminated waste</t>
  </si>
  <si>
    <t>After each case</t>
  </si>
  <si>
    <t>STEP-2026-003-04</t>
  </si>
  <si>
    <t>Cardiothoracic Surgery: Prepare patient, sterile field, and equipment</t>
  </si>
  <si>
    <t>disinfectants, sharps, electrical equipment</t>
  </si>
  <si>
    <t>1–2 hours/case</t>
  </si>
  <si>
    <t>STEP-2026-004-01</t>
  </si>
  <si>
    <t>Cardiothoracic Surgery: Perform or support invasive procedure</t>
  </si>
  <si>
    <t>body fluids, sharps, awkward posture</t>
  </si>
  <si>
    <t>1–4 hours/case</t>
  </si>
  <si>
    <t>STEP-2026-004-02</t>
  </si>
  <si>
    <t>Central Sterile Supply: Receive, label, and sort clinical specimens</t>
  </si>
  <si>
    <t>infectious material, repetitive handling</t>
  </si>
  <si>
    <t>STEP-2026-005-01</t>
  </si>
  <si>
    <t>Central Sterile Supply: Prepare and analyze specimens</t>
  </si>
  <si>
    <t>aerosols, sharps, chemicals</t>
  </si>
  <si>
    <t>STEP-2026-005-02</t>
  </si>
  <si>
    <t>Central Sterile Supply: Operate analyzers and centrifuges</t>
  </si>
  <si>
    <t>noise, machinery, electrical equipment</t>
  </si>
  <si>
    <t>2–5 hours/shift</t>
  </si>
  <si>
    <t>STEP-2026-005-03</t>
  </si>
  <si>
    <t>Child Development: Verify request and prepare patient</t>
  </si>
  <si>
    <t>patient contact, workload</t>
  </si>
  <si>
    <t>STEP-2026-006-01</t>
  </si>
  <si>
    <t>Child Development: Position or transfer patient for imaging</t>
  </si>
  <si>
    <t>10–30 cases/shift</t>
  </si>
  <si>
    <t>STEP-2026-006-02</t>
  </si>
  <si>
    <t>Child Development: Operate imaging and workstation equipment</t>
  </si>
  <si>
    <t>radiation, prolonged sitting, low lighting</t>
  </si>
  <si>
    <t>4–7 hours/shift</t>
  </si>
  <si>
    <t>STEP-2026-006-03</t>
  </si>
  <si>
    <t>Child Development: Administer contrast and observe patient</t>
  </si>
  <si>
    <t>sharps, medicines, emergency response</t>
  </si>
  <si>
    <t>As ordered</t>
  </si>
  <si>
    <t>STEP-2026-006-04</t>
  </si>
  <si>
    <t>Clinical Nutrition: Assess patients and provide bedside care</t>
  </si>
  <si>
    <t>infection, sharps, workload</t>
  </si>
  <si>
    <t>STEP-2026-007-01</t>
  </si>
  <si>
    <t>Clinical Nutrition: Administer medicines and collect specimens</t>
  </si>
  <si>
    <t>sharps, medicines, body fluids</t>
  </si>
  <si>
    <t>3–6 rounds/shift</t>
  </si>
  <si>
    <t>STEP-2026-007-02</t>
  </si>
  <si>
    <t>Clinical Nutrition: Reposition and transfer patients</t>
  </si>
  <si>
    <t>6–15 times/shift</t>
  </si>
  <si>
    <t>STEP-2026-007-03</t>
  </si>
  <si>
    <t>Clinical Nutrition: Document care and coordinate discharge</t>
  </si>
  <si>
    <t>screen work, sitting, stress</t>
  </si>
  <si>
    <t>1–3 hours/shift</t>
  </si>
  <si>
    <t>STEP-2026-007-04</t>
  </si>
  <si>
    <t>Dental: Assess patients and provide bedside care</t>
  </si>
  <si>
    <t>STEP-2026-008-01</t>
  </si>
  <si>
    <t>Dental: Administer medicines and collect specimens</t>
  </si>
  <si>
    <t>STEP-2026-008-02</t>
  </si>
  <si>
    <t>Dermatology: Assess patients and provide bedside care</t>
  </si>
  <si>
    <t>STEP-2026-009-01</t>
  </si>
  <si>
    <t>Dermatology: Administer medicines and collect specimens</t>
  </si>
  <si>
    <t>STEP-2026-009-02</t>
  </si>
  <si>
    <t>Dermatology: Reposition and transfer patients</t>
  </si>
  <si>
    <t>STEP-2026-009-03</t>
  </si>
  <si>
    <t>Diagnostic Imaging: Assess patients and provide bedside care</t>
  </si>
  <si>
    <t>STEP-2026-010-01</t>
  </si>
  <si>
    <t>Diagnostic Imaging: Administer medicines and collect specimens</t>
  </si>
  <si>
    <t>STEP-2026-010-02</t>
  </si>
  <si>
    <t>Diagnostic Imaging: Reposition and transfer patients</t>
  </si>
  <si>
    <t>STEP-2026-010-03</t>
  </si>
  <si>
    <t>Diagnostic Imaging: Document care and coordinate discharge</t>
  </si>
  <si>
    <t>STEP-2026-010-04</t>
  </si>
  <si>
    <t>Emergency Medical Service: Register, screen, and assess ambulatory patients</t>
  </si>
  <si>
    <t>crowding, infection, prolonged standing</t>
  </si>
  <si>
    <t>STEP-2026-011-01</t>
  </si>
  <si>
    <t>Emergency Medical Service: Perform examination or minor treatment</t>
  </si>
  <si>
    <t>sharps, close patient contact</t>
  </si>
  <si>
    <t>10–40 cases/shift</t>
  </si>
  <si>
    <t>STEP-2026-011-02</t>
  </si>
  <si>
    <t>Emergency Medical Service: Provide education and coordinate follow-up</t>
  </si>
  <si>
    <t>voice strain, screen work, workload</t>
  </si>
  <si>
    <t>2–4 hours/shift</t>
  </si>
  <si>
    <t>STEP-2026-011-03</t>
  </si>
  <si>
    <t>Endocrinology: Receive and store medicines</t>
  </si>
  <si>
    <t>lifting, falling objects, temperature</t>
  </si>
  <si>
    <t>1–2 hours/day</t>
  </si>
  <si>
    <t>STEP-2026-012-01</t>
  </si>
  <si>
    <t>Endocrinology: Prepare and dispense prescriptions</t>
  </si>
  <si>
    <t>repetitive work, prolonged standing, medicines</t>
  </si>
  <si>
    <t>STEP-2026-012-02</t>
  </si>
  <si>
    <t>ENT: Assess mobility and functional capacity</t>
  </si>
  <si>
    <t>close contact, awkward posture</t>
  </si>
  <si>
    <t>30–60 minutes/patient</t>
  </si>
  <si>
    <t>STEP-2026-013-01</t>
  </si>
  <si>
    <t>ENT: Assist therapeutic exercise and transfer</t>
  </si>
  <si>
    <t>manual handling, push/pull force</t>
  </si>
  <si>
    <t>3–6 hours/shift</t>
  </si>
  <si>
    <t>STEP-2026-013-02</t>
  </si>
  <si>
    <t>ENT: Set up and clean therapy equipment</t>
  </si>
  <si>
    <t>electrical equipment, disinfectants</t>
  </si>
  <si>
    <t>Between patients</t>
  </si>
  <si>
    <t>STEP-2026-013-03</t>
  </si>
  <si>
    <t>Environmental Health: Prepare dental unit and instruments</t>
  </si>
  <si>
    <t>Before each patient</t>
  </si>
  <si>
    <t>STEP-2026-014-01</t>
  </si>
  <si>
    <t>Environmental Health: Perform chairside dental treatment</t>
  </si>
  <si>
    <t>aerosols, sharps, awkward posture</t>
  </si>
  <si>
    <t>STEP-2026-014-02</t>
  </si>
  <si>
    <t>Environmental Health: Process instruments and clinical waste</t>
  </si>
  <si>
    <t>sharps, chemicals, infection</t>
  </si>
  <si>
    <t>STEP-2026-014-03</t>
  </si>
  <si>
    <t>Eye Clinic: Register, screen, and assess ambulatory patients</t>
  </si>
  <si>
    <t>STEP-2026-015-01</t>
  </si>
  <si>
    <t>Eye Clinic: Perform examination or minor treatment</t>
  </si>
  <si>
    <t>STEP-2026-015-02</t>
  </si>
  <si>
    <t>Eye Clinic: Provide education and coordinate follow-up</t>
  </si>
  <si>
    <t>STEP-2026-015-03</t>
  </si>
  <si>
    <t>Family Medicine: Register, screen, and assess ambulatory patients</t>
  </si>
  <si>
    <t>STEP-2026-016-01</t>
  </si>
  <si>
    <t>Family Medicine: Perform examination or minor treatment</t>
  </si>
  <si>
    <t>STEP-2026-016-02</t>
  </si>
  <si>
    <t>Gastroenterology: Register, screen, and assess ambulatory patients</t>
  </si>
  <si>
    <t>STEP-2026-017-01</t>
  </si>
  <si>
    <t>Gastroenterology: Perform examination or minor treatment</t>
  </si>
  <si>
    <t>STEP-2026-017-02</t>
  </si>
  <si>
    <t>Gastroenterology: Provide education and coordinate follow-up</t>
  </si>
  <si>
    <t>STEP-2026-017-03</t>
  </si>
  <si>
    <t>General Surgery: Assess patients and provide bedside care</t>
  </si>
  <si>
    <t>STEP-2026-018-01</t>
  </si>
  <si>
    <t>General Surgery: Administer medicines and collect specimens</t>
  </si>
  <si>
    <t>STEP-2026-018-02</t>
  </si>
  <si>
    <t>General Surgery: Reposition and transfer patients</t>
  </si>
  <si>
    <t>STEP-2026-018-03</t>
  </si>
  <si>
    <t>General Surgery: Document care and coordinate discharge</t>
  </si>
  <si>
    <t>STEP-2026-018-04</t>
  </si>
  <si>
    <t>Haemodialysis: Register, screen, and assess ambulatory patients</t>
  </si>
  <si>
    <t>STEP-2026-019-01</t>
  </si>
  <si>
    <t>Haemodialysis: Perform examination or minor treatment</t>
  </si>
  <si>
    <t>STEP-2026-019-02</t>
  </si>
  <si>
    <t>Haemodialysis: Provide education and coordinate follow-up</t>
  </si>
  <si>
    <t>STEP-2026-019-03</t>
  </si>
  <si>
    <t>Health Promotion: Assess patients and provide bedside care</t>
  </si>
  <si>
    <t>STEP-2026-020-01</t>
  </si>
  <si>
    <t>Health Promotion: Administer medicines and collect specimens</t>
  </si>
  <si>
    <t>STEP-2026-020-02</t>
  </si>
  <si>
    <t>Hematology: Receive, label, and sort clinical specimens</t>
  </si>
  <si>
    <t>STEP-2026-021-01</t>
  </si>
  <si>
    <t>Hematology: Prepare and analyze specimens</t>
  </si>
  <si>
    <t>STEP-2026-021-02</t>
  </si>
  <si>
    <t>Hematology: Operate analyzers and centrifuges</t>
  </si>
  <si>
    <t>STEP-2026-021-03</t>
  </si>
  <si>
    <t>ICU 1: Receive, label, and sort clinical specimens</t>
  </si>
  <si>
    <t>STEP-2026-022-01</t>
  </si>
  <si>
    <t>ICU 1: Prepare and analyze specimens</t>
  </si>
  <si>
    <t>STEP-2026-022-02</t>
  </si>
  <si>
    <t>ICU 1: Operate analyzers and centrifuges</t>
  </si>
  <si>
    <t>STEP-2026-022-03</t>
  </si>
  <si>
    <t>ICU 1: Disinfect benches and segregate waste</t>
  </si>
  <si>
    <t>disinfectants, spills, infectious waste</t>
  </si>
  <si>
    <t>End of batch/shift</t>
  </si>
  <si>
    <t>STEP-2026-022-04</t>
  </si>
  <si>
    <t>ICU 2: Review requests, records, or administrative cases</t>
  </si>
  <si>
    <t>screen work, prolonged sitting, workload</t>
  </si>
  <si>
    <t>4–6 hours/day</t>
  </si>
  <si>
    <t>STEP-2026-023-01</t>
  </si>
  <si>
    <t>ICU 2: Coordinate with staff, patients, or external parties</t>
  </si>
  <si>
    <t>stress, difficult interactions</t>
  </si>
  <si>
    <t>1–3 hours/day</t>
  </si>
  <si>
    <t>STEP-2026-023-02</t>
  </si>
  <si>
    <t>ICU 2: File, retrieve, and archive documents or supplies</t>
  </si>
  <si>
    <t>repetition, lifting, obstruction</t>
  </si>
  <si>
    <t>30–90 minutes/day</t>
  </si>
  <si>
    <t>STEP-2026-023-03</t>
  </si>
  <si>
    <t>Infectious Diseases: Register, screen, and assess ambulatory patients</t>
  </si>
  <si>
    <t>STEP-2026-024-01</t>
  </si>
  <si>
    <t>Infectious Diseases: Perform examination or minor treatment</t>
  </si>
  <si>
    <t>STEP-2026-024-02</t>
  </si>
  <si>
    <t>Internal Medicine: Register, screen, and assess ambulatory patients</t>
  </si>
  <si>
    <t>STEP-2026-025-01</t>
  </si>
  <si>
    <t>Internal Medicine: Perform examination or minor treatment</t>
  </si>
  <si>
    <t>STEP-2026-025-02</t>
  </si>
  <si>
    <t>Internal Medicine: Provide education and coordinate follow-up</t>
  </si>
  <si>
    <t>STEP-2026-025-03</t>
  </si>
  <si>
    <t>Laboratory: Prepare patient, sterile field, and equipment</t>
  </si>
  <si>
    <t>STEP-2026-026-01</t>
  </si>
  <si>
    <t>Laboratory: Perform or support invasive procedure</t>
  </si>
  <si>
    <t>STEP-2026-026-02</t>
  </si>
  <si>
    <t>Laboratory: Count and dispose of instruments and waste</t>
  </si>
  <si>
    <t>sharps, infectious waste</t>
  </si>
  <si>
    <t>20–40 minutes/case</t>
  </si>
  <si>
    <t>STEP-2026-026-03</t>
  </si>
  <si>
    <t>Laboratory: Turn over and disinfect the room</t>
  </si>
  <si>
    <t>chemical exposure, wet floor</t>
  </si>
  <si>
    <t>20–45 minutes/case</t>
  </si>
  <si>
    <t>STEP-2026-026-04</t>
  </si>
  <si>
    <t>Laundry: Receive and sort contaminated instruments</t>
  </si>
  <si>
    <t>sharps, infection, lifting</t>
  </si>
  <si>
    <t>STEP-2026-027-01</t>
  </si>
  <si>
    <t>Laundry: Wash and disinfect instruments</t>
  </si>
  <si>
    <t>heat, chemicals, wet surfaces</t>
  </si>
  <si>
    <t>STEP-2026-027-02</t>
  </si>
  <si>
    <t>Laundry: Pack, sterilize, and release sets</t>
  </si>
  <si>
    <t>heat, repetitive work, machinery</t>
  </si>
  <si>
    <t>Continuous batches</t>
  </si>
  <si>
    <t>STEP-2026-027-03</t>
  </si>
  <si>
    <t>Medical Records: Receive and store food supplies</t>
  </si>
  <si>
    <t>lifting, cold/heat, obstruction</t>
  </si>
  <si>
    <t>STEP-2026-028-01</t>
  </si>
  <si>
    <t>Medical Records: Prepare and cook meals</t>
  </si>
  <si>
    <t>knives, heat, repetitive work</t>
  </si>
  <si>
    <t>STEP-2026-028-02</t>
  </si>
  <si>
    <t>Neonatal ICU: Review requests, records, or administrative cases</t>
  </si>
  <si>
    <t>STEP-2026-029-01</t>
  </si>
  <si>
    <t>Neonatal ICU: Coordinate with staff, patients, or external parties</t>
  </si>
  <si>
    <t>STEP-2026-029-02</t>
  </si>
  <si>
    <t>Neonatal ICU: File, retrieve, and archive documents or supplies</t>
  </si>
  <si>
    <t>STEP-2026-029-03</t>
  </si>
  <si>
    <t>Neurology: Review requests, records, or administrative cases</t>
  </si>
  <si>
    <t>STEP-2026-030-01</t>
  </si>
  <si>
    <t>Neurology: Coordinate with staff, patients, or external parties</t>
  </si>
  <si>
    <t>STEP-2026-030-02</t>
  </si>
  <si>
    <t>Neurology: File, retrieve, and archive documents or supplies</t>
  </si>
  <si>
    <t>STEP-2026-030-03</t>
  </si>
  <si>
    <t>Neurosurgery: Review requests, records, or administrative cases</t>
  </si>
  <si>
    <t>STEP-2026-031-01</t>
  </si>
  <si>
    <t>Neurosurgery: Coordinate with staff, patients, or external parties</t>
  </si>
  <si>
    <t>STEP-2026-031-02</t>
  </si>
  <si>
    <t>Neurosurgery: File, retrieve, and archive documents or supplies</t>
  </si>
  <si>
    <t>STEP-2026-031-03</t>
  </si>
  <si>
    <t>Nuclear Medicine: Review requests, records, or administrative cases</t>
  </si>
  <si>
    <t>STEP-2026-032-01</t>
  </si>
  <si>
    <t>Nuclear Medicine: Coordinate with staff, patients, or external parties</t>
  </si>
  <si>
    <t>STEP-2026-032-02</t>
  </si>
  <si>
    <t>Obstetrics: Review requests, records, or administrative cases</t>
  </si>
  <si>
    <t>STEP-2026-033-01</t>
  </si>
  <si>
    <t>Obstetrics: Coordinate with staff, patients, or external parties</t>
  </si>
  <si>
    <t>STEP-2026-033-02</t>
  </si>
  <si>
    <t>Obstetrics: File, retrieve, and archive documents or supplies</t>
  </si>
  <si>
    <t>STEP-2026-033-03</t>
  </si>
  <si>
    <t>Occupational Health: Review requests, records, or administrative cases</t>
  </si>
  <si>
    <t>STEP-2026-034-01</t>
  </si>
  <si>
    <t>Occupational Health: Coordinate with staff, patients, or external parties</t>
  </si>
  <si>
    <t>STEP-2026-034-02</t>
  </si>
  <si>
    <t>Occupational Health: File, retrieve, and archive documents or supplies</t>
  </si>
  <si>
    <t>STEP-2026-034-03</t>
  </si>
  <si>
    <t>Oncology: Review requests, records, or administrative cases</t>
  </si>
  <si>
    <t>STEP-2026-035-01</t>
  </si>
  <si>
    <t>Oncology: Coordinate with staff, patients, or external parties</t>
  </si>
  <si>
    <t>STEP-2026-035-02</t>
  </si>
  <si>
    <t>Oncology: File, retrieve, and archive documents or supplies</t>
  </si>
  <si>
    <t>STEP-2026-035-03</t>
  </si>
  <si>
    <t>Operating Theatre: Inspect plant, utilities, and equipment</t>
  </si>
  <si>
    <t>electricity, noise, heat</t>
  </si>
  <si>
    <t>Daily rounds</t>
  </si>
  <si>
    <t>STEP-2026-036-01</t>
  </si>
  <si>
    <t>Operating Theatre: Isolate and repair defective systems</t>
  </si>
  <si>
    <t>electrical work, machinery, awkward posture</t>
  </si>
  <si>
    <t>1–4 hours/job</t>
  </si>
  <si>
    <t>STEP-2026-036-02</t>
  </si>
  <si>
    <t>Orthopaedics: Inspect plant, utilities, and equipment</t>
  </si>
  <si>
    <t>STEP-2026-037-01</t>
  </si>
  <si>
    <t>Orthopaedics: Isolate and repair defective systems</t>
  </si>
  <si>
    <t>STEP-2026-037-02</t>
  </si>
  <si>
    <t>Orthopaedics: Test restored equipment and document work</t>
  </si>
  <si>
    <t>unexpected startup, screen work</t>
  </si>
  <si>
    <t>30–90 minutes/job</t>
  </si>
  <si>
    <t>STEP-2026-037-03</t>
  </si>
  <si>
    <t>Outpatient Department: Collect materials, linen, or waste from work areas</t>
  </si>
  <si>
    <t>infection, manual handling, sharps</t>
  </si>
  <si>
    <t>Multiple rounds/shift</t>
  </si>
  <si>
    <t>STEP-2026-038-01</t>
  </si>
  <si>
    <t>Outpatient Department: Clean, sort, wash, or process materials</t>
  </si>
  <si>
    <t>chemicals, wet floors, repetitive work</t>
  </si>
  <si>
    <t>STEP-2026-038-02</t>
  </si>
  <si>
    <t>Outpatient Department: Move loads to storage or disposal point</t>
  </si>
  <si>
    <t>push/pull force, obstruction, vehicle movement</t>
  </si>
  <si>
    <t>STEP-2026-038-03</t>
  </si>
  <si>
    <t>Paediatrics: Collect materials, linen, or waste from work areas</t>
  </si>
  <si>
    <t>STEP-2026-039-01</t>
  </si>
  <si>
    <t>Paediatrics: Clean, sort, wash, or process materials</t>
  </si>
  <si>
    <t>STEP-2026-039-02</t>
  </si>
  <si>
    <t>Paediatrics: Move loads to storage or disposal point</t>
  </si>
  <si>
    <t>STEP-2026-039-03</t>
  </si>
  <si>
    <t>Pathology: Inspect vehicle or transport equipment</t>
  </si>
  <si>
    <t>vehicle, electrical equipment, obstruction</t>
  </si>
  <si>
    <t>Start of shift</t>
  </si>
  <si>
    <t>STEP-2026-040-01</t>
  </si>
  <si>
    <t>Pathology: Move patients, staff, or materials</t>
  </si>
  <si>
    <t>collision, manual handling, violence</t>
  </si>
  <si>
    <t>Multiple trips/shift</t>
  </si>
  <si>
    <t>STEP-2026-040-02</t>
  </si>
  <si>
    <t>Pharmacy: Inspect vehicle or transport equipment</t>
  </si>
  <si>
    <t>STEP-2026-041-01</t>
  </si>
  <si>
    <t>Pharmacy: Move patients, staff, or materials</t>
  </si>
  <si>
    <t>STEP-2026-041-02</t>
  </si>
  <si>
    <t>Pharmacy: Clean and disinfect transport equipment</t>
  </si>
  <si>
    <t>infection, disinfectants, wet surfaces</t>
  </si>
  <si>
    <t>After each transfer</t>
  </si>
  <si>
    <t>STEP-2026-041-03</t>
  </si>
  <si>
    <t>Physical Therapy: Collect materials, linen, or waste from work areas</t>
  </si>
  <si>
    <t>STEP-2026-042-01</t>
  </si>
  <si>
    <t>Physical Therapy: Clean, sort, wash, or process materials</t>
  </si>
  <si>
    <t>STEP-2026-042-02</t>
  </si>
  <si>
    <t>Physical Therapy: Move loads to storage or disposal point</t>
  </si>
  <si>
    <t>STEP-2026-042-03</t>
  </si>
  <si>
    <t>Plastic Surgery: Collect materials, linen, or waste from work areas</t>
  </si>
  <si>
    <t>STEP-2026-043-01</t>
  </si>
  <si>
    <t>Plastic Surgery: Clean, sort, wash, or process materials</t>
  </si>
  <si>
    <t>STEP-2026-043-02</t>
  </si>
  <si>
    <t>Plastic Surgery: Move loads to storage or disposal point</t>
  </si>
  <si>
    <t>STEP-2026-043-03</t>
  </si>
  <si>
    <t>Psychiatry: Review requests, records, or administrative cases</t>
  </si>
  <si>
    <t>STEP-2026-044-01</t>
  </si>
  <si>
    <t>Psychiatry: Coordinate with staff, patients, or external parties</t>
  </si>
  <si>
    <t>STEP-2026-044-02</t>
  </si>
  <si>
    <t>Quality Improvement: Review requests, records, or administrative cases</t>
  </si>
  <si>
    <t>STEP-2026-045-01</t>
  </si>
  <si>
    <t>Quality Improvement: Coordinate with staff, patients, or external parties</t>
  </si>
  <si>
    <t>STEP-2026-045-02</t>
  </si>
  <si>
    <t>Quality Improvement: File, retrieve, and archive documents or supplies</t>
  </si>
  <si>
    <t>STEP-2026-045-03</t>
  </si>
  <si>
    <t>Radiotherapy: Review requests, records, or administrative cases</t>
  </si>
  <si>
    <t>STEP-2026-046-01</t>
  </si>
  <si>
    <t>Radiotherapy: Coordinate with staff, patients, or external parties</t>
  </si>
  <si>
    <t>STEP-2026-046-02</t>
  </si>
  <si>
    <t>Radiotherapy: File, retrieve, and archive documents or supplies</t>
  </si>
  <si>
    <t>STEP-2026-046-03</t>
  </si>
  <si>
    <t>Rehabilitation: Review requests, records, or administrative cases</t>
  </si>
  <si>
    <t>STEP-2026-047-01</t>
  </si>
  <si>
    <t>Rehabilitation: Coordinate with staff, patients, or external parties</t>
  </si>
  <si>
    <t>STEP-2026-047-02</t>
  </si>
  <si>
    <t>Rehabilitation: File, retrieve, and archive documents or supplies</t>
  </si>
  <si>
    <t>STEP-2026-047-03</t>
  </si>
  <si>
    <t>Renal Unit: Review requests, records, or administrative cases</t>
  </si>
  <si>
    <t>STEP-2026-048-01</t>
  </si>
  <si>
    <t>Renal Unit: Coordinate with staff, patients, or external parties</t>
  </si>
  <si>
    <t>STEP-2026-048-02</t>
  </si>
  <si>
    <t>Respiratory Medicine: Review requests, records, or administrative cases</t>
  </si>
  <si>
    <t>STEP-2026-049-01</t>
  </si>
  <si>
    <t>Respiratory Medicine: Coordinate with staff, patients, or external parties</t>
  </si>
  <si>
    <t>STEP-2026-049-02</t>
  </si>
  <si>
    <t>Respiratory Medicine: File, retrieve, and archive documents or supplies</t>
  </si>
  <si>
    <t>STEP-2026-049-03</t>
  </si>
  <si>
    <t>Social Work: Review requests, records, or administrative cases</t>
  </si>
  <si>
    <t>STEP-2026-050-01</t>
  </si>
  <si>
    <t>Social Work: Coordinate with staff, patients, or external parties</t>
  </si>
  <si>
    <t>STEP-2026-050-02</t>
  </si>
  <si>
    <t>Social Work: File, retrieve, and archive documents or supplies</t>
  </si>
  <si>
    <t>STEP-2026-050-03</t>
  </si>
  <si>
    <t>Speech Therapy: Review requests, records, or administrative cases</t>
  </si>
  <si>
    <t>STEP-2026-051-01</t>
  </si>
  <si>
    <t>Speech Therapy: Coordinate with staff, patients, or external parties</t>
  </si>
  <si>
    <t>STEP-2026-051-02</t>
  </si>
  <si>
    <t>Speech Therapy: File, retrieve, and archive documents or supplies</t>
  </si>
  <si>
    <t>STEP-2026-051-03</t>
  </si>
  <si>
    <t>Surgical ICU: Review requests, records, or administrative cases</t>
  </si>
  <si>
    <t>STEP-2026-052-01</t>
  </si>
  <si>
    <t>Surgical ICU: Coordinate with staff, patients, or external parties</t>
  </si>
  <si>
    <t>STEP-2026-052-02</t>
  </si>
  <si>
    <t>Thai Traditional Medicine: Review requests, records, or administrative cases</t>
  </si>
  <si>
    <t>STEP-2026-053-01</t>
  </si>
  <si>
    <t>Thai Traditional Medicine: Coordinate with staff, patients, or external parties</t>
  </si>
  <si>
    <t>STEP-2026-053-02</t>
  </si>
  <si>
    <t>Thai Traditional Medicine: File, retrieve, and archive documents or supplies</t>
  </si>
  <si>
    <t>STEP-2026-053-03</t>
  </si>
  <si>
    <t>Thoracic Medicine: Review requests, records, or administrative cases</t>
  </si>
  <si>
    <t>STEP-2026-054-01</t>
  </si>
  <si>
    <t>Thoracic Medicine: Coordinate with staff, patients, or external parties</t>
  </si>
  <si>
    <t>STEP-2026-054-02</t>
  </si>
  <si>
    <t>Thoracic Medicine: File, retrieve, and archive documents or supplies</t>
  </si>
  <si>
    <t>STEP-2026-054-03</t>
  </si>
  <si>
    <t>Transfusion Medicine: Review requests, records, or administrative cases</t>
  </si>
  <si>
    <t>STEP-2026-055-01</t>
  </si>
  <si>
    <t>Transfusion Medicine: Coordinate with staff, patients, or external parties</t>
  </si>
  <si>
    <t>STEP-2026-055-02</t>
  </si>
  <si>
    <t>Transfusion Medicine: File, retrieve, and archive documents or supplies</t>
  </si>
  <si>
    <t>STEP-2026-055-03</t>
  </si>
  <si>
    <t>Trauma Centre: Review requests, records, or administrative cases</t>
  </si>
  <si>
    <t>STEP-2026-056-01</t>
  </si>
  <si>
    <t>Trauma Centre: Coordinate with staff, patients, or external parties</t>
  </si>
  <si>
    <t>STEP-2026-056-02</t>
  </si>
  <si>
    <t>Urology: Assess mobility and functional capacity</t>
  </si>
  <si>
    <t>STEP-2026-057-01</t>
  </si>
  <si>
    <t>Urology: Assist therapeutic exercise and transfer</t>
  </si>
  <si>
    <t>STEP-2026-057-02</t>
  </si>
  <si>
    <t>Urology: Set up and clean therapy equipment</t>
  </si>
  <si>
    <t>STEP-2026-057-03</t>
  </si>
  <si>
    <t>Vaccination Clinic: Inspect plant, utilities, and equipment</t>
  </si>
  <si>
    <t>STEP-2026-058-01</t>
  </si>
  <si>
    <t>Vaccination Clinic: Isolate and repair defective systems</t>
  </si>
  <si>
    <t>STEP-2026-058-02</t>
  </si>
  <si>
    <t>Vaccination Clinic: Test restored equipment and document work</t>
  </si>
  <si>
    <t>STEP-2026-058-03</t>
  </si>
  <si>
    <t>Vaccination Clinic: Respond to urgent utility failure</t>
  </si>
  <si>
    <t>stress, work at height, confined areas</t>
  </si>
  <si>
    <t>On call</t>
  </si>
  <si>
    <t>STEP-2026-058-04</t>
  </si>
  <si>
    <t>Ward 1: Inspect plant, utilities, and equipment</t>
  </si>
  <si>
    <t>STEP-2026-059-01</t>
  </si>
  <si>
    <t>Ward 1: Isolate and repair defective systems</t>
  </si>
  <si>
    <t>STEP-2026-059-02</t>
  </si>
  <si>
    <t>Ward 1: Test restored equipment and document work</t>
  </si>
  <si>
    <t>STEP-2026-059-03</t>
  </si>
  <si>
    <t>Ward 1: Respond to urgent utility failure</t>
  </si>
  <si>
    <t>STEP-2026-059-04</t>
  </si>
  <si>
    <t>Ward 10: Assess patients and provide bedside care</t>
  </si>
  <si>
    <t>STEP-2026-068-01</t>
  </si>
  <si>
    <t>Ward 10: Administer medicines and collect specimens</t>
  </si>
  <si>
    <t>STEP-2026-068-02</t>
  </si>
  <si>
    <t>Ward 2: Receive and store food supplies</t>
  </si>
  <si>
    <t>STEP-2026-060-01</t>
  </si>
  <si>
    <t>Ward 2: Prepare and cook meals</t>
  </si>
  <si>
    <t>STEP-2026-060-02</t>
  </si>
  <si>
    <t>Ward 3: Assess patients and provide bedside care</t>
  </si>
  <si>
    <t>STEP-2026-061-01</t>
  </si>
  <si>
    <t>Ward 3: Administer medicines and collect specimens</t>
  </si>
  <si>
    <t>STEP-2026-061-02</t>
  </si>
  <si>
    <t>Ward 3: Reposition and transfer patients</t>
  </si>
  <si>
    <t>STEP-2026-061-03</t>
  </si>
  <si>
    <t>Ward 4: Prepare patient, sterile field, and equipment</t>
  </si>
  <si>
    <t>STEP-2026-062-01</t>
  </si>
  <si>
    <t>Ward 4: Perform or support invasive procedure</t>
  </si>
  <si>
    <t>STEP-2026-062-02</t>
  </si>
  <si>
    <t>Ward 4: Count and dispose of instruments and waste</t>
  </si>
  <si>
    <t>STEP-2026-062-03</t>
  </si>
  <si>
    <t>Ward 4: Turn over and disinfect the room</t>
  </si>
  <si>
    <t>STEP-2026-062-04</t>
  </si>
  <si>
    <t>Ward 5: Assess patients and provide bedside care</t>
  </si>
  <si>
    <t>STEP-2026-063-01</t>
  </si>
  <si>
    <t>Ward 5: Administer medicines and collect specimens</t>
  </si>
  <si>
    <t>STEP-2026-063-02</t>
  </si>
  <si>
    <t>Ward 5: Reposition and transfer patients</t>
  </si>
  <si>
    <t>STEP-2026-063-03</t>
  </si>
  <si>
    <t>Ward 5: Document care and coordinate discharge</t>
  </si>
  <si>
    <t>STEP-2026-063-04</t>
  </si>
  <si>
    <t>Ward 6: Receive and assess critically ill patients</t>
  </si>
  <si>
    <t>STEP-2026-064-01</t>
  </si>
  <si>
    <t>Ward 6: Administer medication and manage invasive devices</t>
  </si>
  <si>
    <t>STEP-2026-064-02</t>
  </si>
  <si>
    <t>Ward 7: Receive and assess critically ill patients</t>
  </si>
  <si>
    <t>STEP-2026-065-01</t>
  </si>
  <si>
    <t>Ward 7: Administer medication and manage invasive devices</t>
  </si>
  <si>
    <t>STEP-2026-065-02</t>
  </si>
  <si>
    <t>Ward 7: Turn, lift, and transfer dependent patients</t>
  </si>
  <si>
    <t>STEP-2026-065-03</t>
  </si>
  <si>
    <t>Ward 8: Receive and assess critically ill patients</t>
  </si>
  <si>
    <t>STEP-2026-066-01</t>
  </si>
  <si>
    <t>Ward 8: Administer medication and manage invasive devices</t>
  </si>
  <si>
    <t>STEP-2026-066-02</t>
  </si>
  <si>
    <t>Ward 8: Turn, lift, and transfer dependent patients</t>
  </si>
  <si>
    <t>STEP-2026-066-03</t>
  </si>
  <si>
    <t>Ward 8: Respond to alarms and clinical deterioration</t>
  </si>
  <si>
    <t>STEP-2026-066-04</t>
  </si>
  <si>
    <t>Ward 9: Assess patients and provide bedside care</t>
  </si>
  <si>
    <t>STEP-2026-067-01</t>
  </si>
  <si>
    <t>Ward 9: Administer medicines and collect specimens</t>
  </si>
  <si>
    <t>STEP-2026-067-02</t>
  </si>
  <si>
    <t>Ward 9: Reposition and transfer patients</t>
  </si>
  <si>
    <t>STEP-2026-067-03</t>
  </si>
  <si>
    <t>Ward 9: Document care and coordinate discharge</t>
  </si>
  <si>
    <t>STEP-2026-067-04</t>
  </si>
  <si>
    <t>Women’s Health: Register, screen, and assess ambulatory patients</t>
  </si>
  <si>
    <t>STEP-2026-069-01</t>
  </si>
  <si>
    <t>Women’s Health: Perform examination or minor treatment</t>
  </si>
  <si>
    <t>STEP-2026-069-02</t>
  </si>
  <si>
    <t>Women’s Health: Provide education and coordinate follow-up</t>
  </si>
  <si>
    <t>STEP-2026-069-03</t>
  </si>
  <si>
    <t>Workplace Safety: Register, screen, and assess ambulatory patients</t>
  </si>
  <si>
    <t>STEP-2026-070-01</t>
  </si>
  <si>
    <t>Workplace Safety: Perform examination or minor treatment</t>
  </si>
  <si>
    <t>STEP-2026-070-02</t>
  </si>
  <si>
    <t>Workplace Safety: Provide education and coordinate follow-up</t>
  </si>
  <si>
    <t>STEP-2026-070-03</t>
  </si>
  <si>
    <t>RAH.01 Hazard evaluations / การประเมินสิ่งคุกคามสุขภาพ</t>
  </si>
  <si>
    <t>hazard_order</t>
  </si>
  <si>
    <t>category_label_en</t>
  </si>
  <si>
    <t>hazard_label_en</t>
  </si>
  <si>
    <t>exposed_staff_count</t>
  </si>
  <si>
    <t>exposed_client_count</t>
  </si>
  <si>
    <t>exposure_score_a</t>
  </si>
  <si>
    <t>severity_score_b</t>
  </si>
  <si>
    <t>risk_score_c</t>
  </si>
  <si>
    <t>risk_level</t>
  </si>
  <si>
    <t>existing_controls</t>
  </si>
  <si>
    <t>has_attachment</t>
  </si>
  <si>
    <t>category_code</t>
  </si>
  <si>
    <t>hazard_key</t>
  </si>
  <si>
    <t>custom_title</t>
  </si>
  <si>
    <t>has_risk</t>
  </si>
  <si>
    <t>hazard_evaluation_id</t>
  </si>
  <si>
    <t>has_exposure</t>
  </si>
  <si>
    <t>Biological Hazards</t>
  </si>
  <si>
    <t>Viruses</t>
  </si>
  <si>
    <t>Standard precautions, hand hygiene, vaccination, cleaning, and appropriate PPE are implemented.</t>
  </si>
  <si>
    <t>BIOLOGICAL</t>
  </si>
  <si>
    <t>viruses</t>
  </si>
  <si>
    <t>HZ-2026-001-01</t>
  </si>
  <si>
    <t>Bacteria</t>
  </si>
  <si>
    <t>bacteria</t>
  </si>
  <si>
    <t>HZ-2026-001-02</t>
  </si>
  <si>
    <t>Safety and Accident Hazards</t>
  </si>
  <si>
    <t>Sharps / Needlestick</t>
  </si>
  <si>
    <t>Safe-work procedures, inspection, housekeeping, guards, and incident reporting are implemented.</t>
  </si>
  <si>
    <t>SAFETY_ACCIDENT</t>
  </si>
  <si>
    <t>sharps</t>
  </si>
  <si>
    <t>HZ-2026-001-03</t>
  </si>
  <si>
    <t>Ergonomic Hazards</t>
  </si>
  <si>
    <t>Heavy Lifting / Patient Transfer</t>
  </si>
  <si>
    <t>Task rotation, adjustable equipment, team lifting, and safe-patient-handling guidance are used.</t>
  </si>
  <si>
    <t>ERGONOMIC</t>
  </si>
  <si>
    <t>heavy_lifting_patient_transfer</t>
  </si>
  <si>
    <t>HZ-2026-001-04</t>
  </si>
  <si>
    <t>Psychosocial Hazards</t>
  </si>
  <si>
    <t>Work Stress</t>
  </si>
  <si>
    <t>Shift planning, escalation pathways, security support, breaks, and supervisor check-ins are available.</t>
  </si>
  <si>
    <t>PSYCHOSOCIAL</t>
  </si>
  <si>
    <t>work_stress</t>
  </si>
  <si>
    <t>HZ-2026-001-05</t>
  </si>
  <si>
    <t>Insufficient Rest</t>
  </si>
  <si>
    <t>insufficient_rest</t>
  </si>
  <si>
    <t>HZ-2026-001-06</t>
  </si>
  <si>
    <t>Fire and Disaster Hazards</t>
  </si>
  <si>
    <t>Electrical Equipment</t>
  </si>
  <si>
    <t>Electrical inspection, isolation procedures, alarms, extinguishers, and emergency response plans are maintained.</t>
  </si>
  <si>
    <t>FIRE_DISASTER</t>
  </si>
  <si>
    <t>electrical_equipment</t>
  </si>
  <si>
    <t>HZ-2026-001-07</t>
  </si>
  <si>
    <t>Pathway Obstruction</t>
  </si>
  <si>
    <t>pathway_obstruction</t>
  </si>
  <si>
    <t>HZ-2026-001-08</t>
  </si>
  <si>
    <t>HZ-2026-002-01</t>
  </si>
  <si>
    <t>HZ-2026-002-02</t>
  </si>
  <si>
    <t>HZ-2026-002-03</t>
  </si>
  <si>
    <t>HZ-2026-002-04</t>
  </si>
  <si>
    <t>HZ-2026-002-05</t>
  </si>
  <si>
    <t>HZ-2026-002-06</t>
  </si>
  <si>
    <t>HZ-2026-002-07</t>
  </si>
  <si>
    <t>Physical Hazards</t>
  </si>
  <si>
    <t>Lighting</t>
  </si>
  <si>
    <t>Engineering controls, preventive maintenance, posted limits, and periodic exposure monitoring are in place.</t>
  </si>
  <si>
    <t>PHYSICAL</t>
  </si>
  <si>
    <t>lighting</t>
  </si>
  <si>
    <t>HZ-2026-002-08</t>
  </si>
  <si>
    <t>HZ-2026-003-01</t>
  </si>
  <si>
    <t>HZ-2026-003-02</t>
  </si>
  <si>
    <t>Violence from Patients or Relatives</t>
  </si>
  <si>
    <t>patient_relative_violence</t>
  </si>
  <si>
    <t>HZ-2026-003-03</t>
  </si>
  <si>
    <t>HZ-2026-003-04</t>
  </si>
  <si>
    <t>Slippery Surface</t>
  </si>
  <si>
    <t>slippery_surface</t>
  </si>
  <si>
    <t>HZ-2026-003-05</t>
  </si>
  <si>
    <t>HZ-2026-003-06</t>
  </si>
  <si>
    <t>HZ-2026-003-07</t>
  </si>
  <si>
    <t>HZ-2026-004-01</t>
  </si>
  <si>
    <t>HZ-2026-004-02</t>
  </si>
  <si>
    <t>HZ-2026-004-03</t>
  </si>
  <si>
    <t>Chemical Hazards</t>
  </si>
  <si>
    <t>Sterilization / Disinfection Chemicals</t>
  </si>
  <si>
    <t>Safety data, labeled containers, local procedures, ventilation, and chemical-resistant PPE are available.</t>
  </si>
  <si>
    <t>CHEMICAL</t>
  </si>
  <si>
    <t>sterilization_disinfection_chemicals</t>
  </si>
  <si>
    <t>HZ-2026-004-04</t>
  </si>
  <si>
    <t>Unnatural Posture or Movement</t>
  </si>
  <si>
    <t>unnatural_posture</t>
  </si>
  <si>
    <t>HZ-2026-004-05</t>
  </si>
  <si>
    <t>Prolonged Standing or Sitting</t>
  </si>
  <si>
    <t>prolonged_standing_sitting</t>
  </si>
  <si>
    <t>HZ-2026-004-06</t>
  </si>
  <si>
    <t>HZ-2026-004-07</t>
  </si>
  <si>
    <t>Indoor Air Quality Hazards</t>
  </si>
  <si>
    <t>Dust</t>
  </si>
  <si>
    <t>Ventilation, cleaning, occupancy management, and environmental inspection are performed.</t>
  </si>
  <si>
    <t>INDOOR_AIR_QUALITY</t>
  </si>
  <si>
    <t>dust</t>
  </si>
  <si>
    <t>HZ-2026-004-08</t>
  </si>
  <si>
    <t>HZ-2026-005-01</t>
  </si>
  <si>
    <t>HZ-2026-005-02</t>
  </si>
  <si>
    <t>HZ-2026-005-03</t>
  </si>
  <si>
    <t>HZ-2026-005-04</t>
  </si>
  <si>
    <t>Repetitive Tasks</t>
  </si>
  <si>
    <t>repetitive_tasks</t>
  </si>
  <si>
    <t>HZ-2026-005-05</t>
  </si>
  <si>
    <t>Pungent Chemical Odor</t>
  </si>
  <si>
    <t>chemical_odor</t>
  </si>
  <si>
    <t>HZ-2026-005-06</t>
  </si>
  <si>
    <t>HZ-2026-005-07</t>
  </si>
  <si>
    <t>Radiation</t>
  </si>
  <si>
    <t>radiation</t>
  </si>
  <si>
    <t>HZ-2026-006-01</t>
  </si>
  <si>
    <t>HZ-2026-006-02</t>
  </si>
  <si>
    <t>HZ-2026-006-03</t>
  </si>
  <si>
    <t>HZ-2026-006-04</t>
  </si>
  <si>
    <t>HZ-2026-006-05</t>
  </si>
  <si>
    <t>HZ-2026-006-06</t>
  </si>
  <si>
    <t>HZ-2026-006-07</t>
  </si>
  <si>
    <t>Poor Ventilation</t>
  </si>
  <si>
    <t>poor_ventilation</t>
  </si>
  <si>
    <t>HZ-2026-006-08</t>
  </si>
  <si>
    <t>HZ-2026-007-01</t>
  </si>
  <si>
    <t>HZ-2026-007-02</t>
  </si>
  <si>
    <t>HZ-2026-007-03</t>
  </si>
  <si>
    <t>HZ-2026-007-04</t>
  </si>
  <si>
    <t>HZ-2026-007-05</t>
  </si>
  <si>
    <t>HZ-2026-007-06</t>
  </si>
  <si>
    <t>HZ-2026-007-07</t>
  </si>
  <si>
    <t>HZ-2026-008-01</t>
  </si>
  <si>
    <t>HZ-2026-008-02</t>
  </si>
  <si>
    <t>HZ-2026-008-03</t>
  </si>
  <si>
    <t>HZ-2026-008-04</t>
  </si>
  <si>
    <t>HZ-2026-008-05</t>
  </si>
  <si>
    <t>HZ-2026-008-06</t>
  </si>
  <si>
    <t>HZ-2026-008-07</t>
  </si>
  <si>
    <t>HZ-2026-009-01</t>
  </si>
  <si>
    <t>HZ-2026-009-02</t>
  </si>
  <si>
    <t>HZ-2026-009-03</t>
  </si>
  <si>
    <t>HZ-2026-009-04</t>
  </si>
  <si>
    <t>HZ-2026-009-05</t>
  </si>
  <si>
    <t>HZ-2026-009-06</t>
  </si>
  <si>
    <t>HZ-2026-009-07</t>
  </si>
  <si>
    <t>HZ-2026-010-01</t>
  </si>
  <si>
    <t>HZ-2026-010-02</t>
  </si>
  <si>
    <t>HZ-2026-010-03</t>
  </si>
  <si>
    <t>HZ-2026-010-04</t>
  </si>
  <si>
    <t>HZ-2026-010-05</t>
  </si>
  <si>
    <t>HZ-2026-010-06</t>
  </si>
  <si>
    <t>HZ-2026-010-07</t>
  </si>
  <si>
    <t>Department-specific operational hazard requiring local review</t>
  </si>
  <si>
    <t>OTHER</t>
  </si>
  <si>
    <t>HZ-2026-010-08</t>
  </si>
  <si>
    <t>HZ-2026-011-01</t>
  </si>
  <si>
    <t>Crowded / Stuffy Conditions</t>
  </si>
  <si>
    <t>crowded_stuffy</t>
  </si>
  <si>
    <t>HZ-2026-011-02</t>
  </si>
  <si>
    <t>HZ-2026-011-03</t>
  </si>
  <si>
    <t>HZ-2026-011-04</t>
  </si>
  <si>
    <t>HZ-2026-011-05</t>
  </si>
  <si>
    <t>HZ-2026-011-06</t>
  </si>
  <si>
    <t>HZ-2026-012-01</t>
  </si>
  <si>
    <t>HZ-2026-012-02</t>
  </si>
  <si>
    <t>Acidic Agents or Medicines</t>
  </si>
  <si>
    <t>acidic_agents_or_medicines</t>
  </si>
  <si>
    <t>HZ-2026-012-03</t>
  </si>
  <si>
    <t>HZ-2026-012-04</t>
  </si>
  <si>
    <t>HZ-2026-012-05</t>
  </si>
  <si>
    <t>HZ-2026-012-06</t>
  </si>
  <si>
    <t>HZ-2026-013-01</t>
  </si>
  <si>
    <t>High Push / Pull Force</t>
  </si>
  <si>
    <t>high_push_pull_force</t>
  </si>
  <si>
    <t>HZ-2026-013-02</t>
  </si>
  <si>
    <t>HZ-2026-013-03</t>
  </si>
  <si>
    <t>HZ-2026-013-04</t>
  </si>
  <si>
    <t>HZ-2026-013-05</t>
  </si>
  <si>
    <t>HZ-2026-013-06</t>
  </si>
  <si>
    <t>HZ-2026-013-07</t>
  </si>
  <si>
    <t>HZ-2026-014-01</t>
  </si>
  <si>
    <t>HZ-2026-014-02</t>
  </si>
  <si>
    <t>HZ-2026-014-03</t>
  </si>
  <si>
    <t>HZ-2026-014-04</t>
  </si>
  <si>
    <t>HZ-2026-014-05</t>
  </si>
  <si>
    <t>Noise</t>
  </si>
  <si>
    <t>noise</t>
  </si>
  <si>
    <t>HZ-2026-014-06</t>
  </si>
  <si>
    <t>HZ-2026-014-07</t>
  </si>
  <si>
    <t>HZ-2026-015-01</t>
  </si>
  <si>
    <t>HZ-2026-015-02</t>
  </si>
  <si>
    <t>HZ-2026-015-03</t>
  </si>
  <si>
    <t>HZ-2026-015-04</t>
  </si>
  <si>
    <t>HZ-2026-015-05</t>
  </si>
  <si>
    <t>HZ-2026-015-06</t>
  </si>
  <si>
    <t>HZ-2026-016-01</t>
  </si>
  <si>
    <t>HZ-2026-016-02</t>
  </si>
  <si>
    <t>HZ-2026-016-03</t>
  </si>
  <si>
    <t>HZ-2026-016-04</t>
  </si>
  <si>
    <t>HZ-2026-016-05</t>
  </si>
  <si>
    <t>HZ-2026-016-06</t>
  </si>
  <si>
    <t>HZ-2026-017-01</t>
  </si>
  <si>
    <t>HZ-2026-017-02</t>
  </si>
  <si>
    <t>HZ-2026-017-03</t>
  </si>
  <si>
    <t>HZ-2026-017-04</t>
  </si>
  <si>
    <t>HZ-2026-017-05</t>
  </si>
  <si>
    <t>HZ-2026-017-06</t>
  </si>
  <si>
    <t>HZ-2026-018-01</t>
  </si>
  <si>
    <t>HZ-2026-018-02</t>
  </si>
  <si>
    <t>HZ-2026-018-03</t>
  </si>
  <si>
    <t>HZ-2026-018-04</t>
  </si>
  <si>
    <t>HZ-2026-018-05</t>
  </si>
  <si>
    <t>HZ-2026-018-06</t>
  </si>
  <si>
    <t>HZ-2026-018-07</t>
  </si>
  <si>
    <t>HZ-2026-019-01</t>
  </si>
  <si>
    <t>HZ-2026-019-02</t>
  </si>
  <si>
    <t>HZ-2026-019-03</t>
  </si>
  <si>
    <t>HZ-2026-019-04</t>
  </si>
  <si>
    <t>HZ-2026-019-05</t>
  </si>
  <si>
    <t>HZ-2026-019-06</t>
  </si>
  <si>
    <t>HZ-2026-020-01</t>
  </si>
  <si>
    <t>HZ-2026-020-02</t>
  </si>
  <si>
    <t>HZ-2026-020-03</t>
  </si>
  <si>
    <t>HZ-2026-020-04</t>
  </si>
  <si>
    <t>HZ-2026-020-05</t>
  </si>
  <si>
    <t>HZ-2026-020-06</t>
  </si>
  <si>
    <t>HZ-2026-020-07</t>
  </si>
  <si>
    <t>HZ-2026-020-08</t>
  </si>
  <si>
    <t>HZ-2026-021-01</t>
  </si>
  <si>
    <t>HZ-2026-021-02</t>
  </si>
  <si>
    <t>HZ-2026-021-03</t>
  </si>
  <si>
    <t>HZ-2026-021-04</t>
  </si>
  <si>
    <t>HZ-2026-021-05</t>
  </si>
  <si>
    <t>HZ-2026-021-06</t>
  </si>
  <si>
    <t>HZ-2026-021-07</t>
  </si>
  <si>
    <t>HZ-2026-021-08</t>
  </si>
  <si>
    <t>HZ-2026-022-01</t>
  </si>
  <si>
    <t>HZ-2026-022-02</t>
  </si>
  <si>
    <t>HZ-2026-022-03</t>
  </si>
  <si>
    <t>HZ-2026-022-04</t>
  </si>
  <si>
    <t>HZ-2026-022-05</t>
  </si>
  <si>
    <t>HZ-2026-022-06</t>
  </si>
  <si>
    <t>HZ-2026-022-07</t>
  </si>
  <si>
    <t>HZ-2026-022-08</t>
  </si>
  <si>
    <t>HZ-2026-023-01</t>
  </si>
  <si>
    <t>Unsuitable Desk or Chair</t>
  </si>
  <si>
    <t>unsuitable_desk_chair</t>
  </si>
  <si>
    <t>HZ-2026-023-02</t>
  </si>
  <si>
    <t>HZ-2026-023-03</t>
  </si>
  <si>
    <t>HZ-2026-023-04</t>
  </si>
  <si>
    <t>HZ-2026-023-05</t>
  </si>
  <si>
    <t>HZ-2026-023-06</t>
  </si>
  <si>
    <t>HZ-2026-024-01</t>
  </si>
  <si>
    <t>HZ-2026-024-02</t>
  </si>
  <si>
    <t>HZ-2026-024-03</t>
  </si>
  <si>
    <t>HZ-2026-024-04</t>
  </si>
  <si>
    <t>HZ-2026-024-05</t>
  </si>
  <si>
    <t>HZ-2026-024-06</t>
  </si>
  <si>
    <t>HZ-2026-025-01</t>
  </si>
  <si>
    <t>HZ-2026-025-02</t>
  </si>
  <si>
    <t>HZ-2026-025-03</t>
  </si>
  <si>
    <t>HZ-2026-025-04</t>
  </si>
  <si>
    <t>HZ-2026-025-05</t>
  </si>
  <si>
    <t>HZ-2026-025-06</t>
  </si>
  <si>
    <t>HZ-2026-026-01</t>
  </si>
  <si>
    <t>HZ-2026-026-02</t>
  </si>
  <si>
    <t>HZ-2026-026-03</t>
  </si>
  <si>
    <t>HZ-2026-026-04</t>
  </si>
  <si>
    <t>HZ-2026-026-05</t>
  </si>
  <si>
    <t>HZ-2026-026-06</t>
  </si>
  <si>
    <t>HZ-2026-026-07</t>
  </si>
  <si>
    <t>HZ-2026-026-08</t>
  </si>
  <si>
    <t>HZ-2026-027-01</t>
  </si>
  <si>
    <t>HZ-2026-027-02</t>
  </si>
  <si>
    <t>Heat</t>
  </si>
  <si>
    <t>heat</t>
  </si>
  <si>
    <t>HZ-2026-027-03</t>
  </si>
  <si>
    <t>HZ-2026-027-04</t>
  </si>
  <si>
    <t>Work with Hot Objects</t>
  </si>
  <si>
    <t>hot_objects</t>
  </si>
  <si>
    <t>HZ-2026-027-05</t>
  </si>
  <si>
    <t>HZ-2026-027-06</t>
  </si>
  <si>
    <t>Machinery Operation</t>
  </si>
  <si>
    <t>machinery</t>
  </si>
  <si>
    <t>HZ-2026-027-07</t>
  </si>
  <si>
    <t>HZ-2026-027-08</t>
  </si>
  <si>
    <t>HZ-2026-028-01</t>
  </si>
  <si>
    <t>HZ-2026-028-02</t>
  </si>
  <si>
    <t>HZ-2026-028-03</t>
  </si>
  <si>
    <t>HZ-2026-028-04</t>
  </si>
  <si>
    <t>HZ-2026-028-05</t>
  </si>
  <si>
    <t>Floor Cleaner</t>
  </si>
  <si>
    <t>floor_cleaner</t>
  </si>
  <si>
    <t>HZ-2026-028-06</t>
  </si>
  <si>
    <t>HZ-2026-028-07</t>
  </si>
  <si>
    <t>HZ-2026-029-01</t>
  </si>
  <si>
    <t>HZ-2026-029-02</t>
  </si>
  <si>
    <t>HZ-2026-029-03</t>
  </si>
  <si>
    <t>HZ-2026-029-04</t>
  </si>
  <si>
    <t>HZ-2026-029-05</t>
  </si>
  <si>
    <t>HZ-2026-029-06</t>
  </si>
  <si>
    <t>HZ-2026-030-01</t>
  </si>
  <si>
    <t>HZ-2026-030-02</t>
  </si>
  <si>
    <t>HZ-2026-030-03</t>
  </si>
  <si>
    <t>HZ-2026-030-04</t>
  </si>
  <si>
    <t>HZ-2026-030-05</t>
  </si>
  <si>
    <t>HZ-2026-030-06</t>
  </si>
  <si>
    <t>Peak-period complaint escalation and emotional demand</t>
  </si>
  <si>
    <t>HZ-2026-030-07</t>
  </si>
  <si>
    <t>HZ-2026-031-01</t>
  </si>
  <si>
    <t>HZ-2026-031-02</t>
  </si>
  <si>
    <t>HZ-2026-031-03</t>
  </si>
  <si>
    <t>HZ-2026-031-04</t>
  </si>
  <si>
    <t>HZ-2026-031-05</t>
  </si>
  <si>
    <t>HZ-2026-031-06</t>
  </si>
  <si>
    <t>HZ-2026-032-01</t>
  </si>
  <si>
    <t>HZ-2026-032-02</t>
  </si>
  <si>
    <t>HZ-2026-032-03</t>
  </si>
  <si>
    <t>HZ-2026-032-04</t>
  </si>
  <si>
    <t>HZ-2026-032-05</t>
  </si>
  <si>
    <t>HZ-2026-033-01</t>
  </si>
  <si>
    <t>HZ-2026-033-02</t>
  </si>
  <si>
    <t>HZ-2026-033-03</t>
  </si>
  <si>
    <t>HZ-2026-033-04</t>
  </si>
  <si>
    <t>HZ-2026-033-05</t>
  </si>
  <si>
    <t>HZ-2026-033-06</t>
  </si>
  <si>
    <t>HZ-2026-034-01</t>
  </si>
  <si>
    <t>HZ-2026-034-02</t>
  </si>
  <si>
    <t>HZ-2026-034-03</t>
  </si>
  <si>
    <t>HZ-2026-034-04</t>
  </si>
  <si>
    <t>HZ-2026-034-05</t>
  </si>
  <si>
    <t>HZ-2026-034-06</t>
  </si>
  <si>
    <t>HZ-2026-035-01</t>
  </si>
  <si>
    <t>HZ-2026-035-02</t>
  </si>
  <si>
    <t>HZ-2026-035-03</t>
  </si>
  <si>
    <t>HZ-2026-035-04</t>
  </si>
  <si>
    <t>HZ-2026-035-05</t>
  </si>
  <si>
    <t>HZ-2026-035-06</t>
  </si>
  <si>
    <t>Electrical Work / Wiring</t>
  </si>
  <si>
    <t>electrical_work</t>
  </si>
  <si>
    <t>HZ-2026-036-01</t>
  </si>
  <si>
    <t>HZ-2026-036-02</t>
  </si>
  <si>
    <t>HZ-2026-036-03</t>
  </si>
  <si>
    <t>HZ-2026-036-04</t>
  </si>
  <si>
    <t>Work at Height</t>
  </si>
  <si>
    <t>work_at_height</t>
  </si>
  <si>
    <t>HZ-2026-036-05</t>
  </si>
  <si>
    <t>Confined Space Work</t>
  </si>
  <si>
    <t>confined_space</t>
  </si>
  <si>
    <t>HZ-2026-036-06</t>
  </si>
  <si>
    <t>Generator Work</t>
  </si>
  <si>
    <t>generator</t>
  </si>
  <si>
    <t>HZ-2026-036-07</t>
  </si>
  <si>
    <t>HZ-2026-036-08</t>
  </si>
  <si>
    <t>Unexpected stored energy during utility maintenance</t>
  </si>
  <si>
    <t>HZ-2026-036-09</t>
  </si>
  <si>
    <t>HZ-2026-037-01</t>
  </si>
  <si>
    <t>HZ-2026-037-02</t>
  </si>
  <si>
    <t>HZ-2026-037-03</t>
  </si>
  <si>
    <t>HZ-2026-037-04</t>
  </si>
  <si>
    <t>HZ-2026-037-05</t>
  </si>
  <si>
    <t>HZ-2026-037-06</t>
  </si>
  <si>
    <t>HZ-2026-037-07</t>
  </si>
  <si>
    <t>HZ-2026-037-08</t>
  </si>
  <si>
    <t>HZ-2026-038-01</t>
  </si>
  <si>
    <t>HZ-2026-038-02</t>
  </si>
  <si>
    <t>HZ-2026-038-03</t>
  </si>
  <si>
    <t>HZ-2026-038-04</t>
  </si>
  <si>
    <t>HZ-2026-038-05</t>
  </si>
  <si>
    <t>HZ-2026-038-06</t>
  </si>
  <si>
    <t>HZ-2026-038-07</t>
  </si>
  <si>
    <t>HZ-2026-038-08</t>
  </si>
  <si>
    <t>HZ-2026-039-01</t>
  </si>
  <si>
    <t>HZ-2026-039-02</t>
  </si>
  <si>
    <t>HZ-2026-039-03</t>
  </si>
  <si>
    <t>HZ-2026-039-04</t>
  </si>
  <si>
    <t>HZ-2026-039-05</t>
  </si>
  <si>
    <t>HZ-2026-039-06</t>
  </si>
  <si>
    <t>HZ-2026-039-07</t>
  </si>
  <si>
    <t>HZ-2026-039-08</t>
  </si>
  <si>
    <t>Vehicle Use</t>
  </si>
  <si>
    <t>vehicle_use</t>
  </si>
  <si>
    <t>HZ-2026-040-01</t>
  </si>
  <si>
    <t>HZ-2026-040-02</t>
  </si>
  <si>
    <t>HZ-2026-040-03</t>
  </si>
  <si>
    <t>HZ-2026-040-04</t>
  </si>
  <si>
    <t>HZ-2026-040-05</t>
  </si>
  <si>
    <t>HZ-2026-040-06</t>
  </si>
  <si>
    <t>HZ-2026-040-07</t>
  </si>
  <si>
    <t>HZ-2026-040-08</t>
  </si>
  <si>
    <t>HZ-2026-041-01</t>
  </si>
  <si>
    <t>HZ-2026-041-02</t>
  </si>
  <si>
    <t>HZ-2026-041-03</t>
  </si>
  <si>
    <t>HZ-2026-041-04</t>
  </si>
  <si>
    <t>HZ-2026-041-05</t>
  </si>
  <si>
    <t>HZ-2026-041-06</t>
  </si>
  <si>
    <t>HZ-2026-041-07</t>
  </si>
  <si>
    <t>HZ-2026-042-01</t>
  </si>
  <si>
    <t>HZ-2026-042-02</t>
  </si>
  <si>
    <t>HZ-2026-042-03</t>
  </si>
  <si>
    <t>HZ-2026-042-04</t>
  </si>
  <si>
    <t>HZ-2026-042-05</t>
  </si>
  <si>
    <t>HZ-2026-042-06</t>
  </si>
  <si>
    <t>HZ-2026-042-07</t>
  </si>
  <si>
    <t>HZ-2026-042-08</t>
  </si>
  <si>
    <t>Unidentified leakage from clinical waste container</t>
  </si>
  <si>
    <t>HZ-2026-042-09</t>
  </si>
  <si>
    <t>HZ-2026-043-01</t>
  </si>
  <si>
    <t>HZ-2026-043-02</t>
  </si>
  <si>
    <t>HZ-2026-043-03</t>
  </si>
  <si>
    <t>HZ-2026-043-04</t>
  </si>
  <si>
    <t>HZ-2026-043-05</t>
  </si>
  <si>
    <t>HZ-2026-043-06</t>
  </si>
  <si>
    <t>HZ-2026-043-07</t>
  </si>
  <si>
    <t>HZ-2026-043-08</t>
  </si>
  <si>
    <t>HZ-2026-044-01</t>
  </si>
  <si>
    <t>HZ-2026-044-02</t>
  </si>
  <si>
    <t>HZ-2026-044-03</t>
  </si>
  <si>
    <t>HZ-2026-044-04</t>
  </si>
  <si>
    <t>HZ-2026-044-05</t>
  </si>
  <si>
    <t>HZ-2026-045-01</t>
  </si>
  <si>
    <t>HZ-2026-045-02</t>
  </si>
  <si>
    <t>HZ-2026-045-03</t>
  </si>
  <si>
    <t>HZ-2026-045-04</t>
  </si>
  <si>
    <t>HZ-2026-045-05</t>
  </si>
  <si>
    <t>HZ-2026-045-06</t>
  </si>
  <si>
    <t>HZ-2026-046-01</t>
  </si>
  <si>
    <t>HZ-2026-046-02</t>
  </si>
  <si>
    <t>HZ-2026-046-03</t>
  </si>
  <si>
    <t>HZ-2026-046-04</t>
  </si>
  <si>
    <t>HZ-2026-046-05</t>
  </si>
  <si>
    <t>HZ-2026-046-06</t>
  </si>
  <si>
    <t>HZ-2026-047-01</t>
  </si>
  <si>
    <t>HZ-2026-047-02</t>
  </si>
  <si>
    <t>HZ-2026-047-03</t>
  </si>
  <si>
    <t>HZ-2026-047-04</t>
  </si>
  <si>
    <t>HZ-2026-047-05</t>
  </si>
  <si>
    <t>HZ-2026-047-06</t>
  </si>
  <si>
    <t>HZ-2026-048-01</t>
  </si>
  <si>
    <t>HZ-2026-048-02</t>
  </si>
  <si>
    <t>HZ-2026-048-03</t>
  </si>
  <si>
    <t>HZ-2026-048-04</t>
  </si>
  <si>
    <t>HZ-2026-048-05</t>
  </si>
  <si>
    <t>HZ-2026-048-06</t>
  </si>
  <si>
    <t>HZ-2026-049-01</t>
  </si>
  <si>
    <t>HZ-2026-049-02</t>
  </si>
  <si>
    <t>HZ-2026-049-03</t>
  </si>
  <si>
    <t>HZ-2026-049-04</t>
  </si>
  <si>
    <t>HZ-2026-049-05</t>
  </si>
  <si>
    <t>HZ-2026-049-06</t>
  </si>
  <si>
    <t>HZ-2026-050-01</t>
  </si>
  <si>
    <t>HZ-2026-050-02</t>
  </si>
  <si>
    <t>HZ-2026-050-03</t>
  </si>
  <si>
    <t>HZ-2026-050-04</t>
  </si>
  <si>
    <t>HZ-2026-050-05</t>
  </si>
  <si>
    <t>HZ-2026-050-06</t>
  </si>
  <si>
    <t>HZ-2026-051-01</t>
  </si>
  <si>
    <t>HZ-2026-051-02</t>
  </si>
  <si>
    <t>HZ-2026-051-03</t>
  </si>
  <si>
    <t>HZ-2026-051-04</t>
  </si>
  <si>
    <t>HZ-2026-051-05</t>
  </si>
  <si>
    <t>HZ-2026-051-06</t>
  </si>
  <si>
    <t>HZ-2026-052-01</t>
  </si>
  <si>
    <t>HZ-2026-052-02</t>
  </si>
  <si>
    <t>HZ-2026-052-03</t>
  </si>
  <si>
    <t>HZ-2026-052-04</t>
  </si>
  <si>
    <t>HZ-2026-052-05</t>
  </si>
  <si>
    <t>HZ-2026-052-06</t>
  </si>
  <si>
    <t>HZ-2026-053-01</t>
  </si>
  <si>
    <t>HZ-2026-053-02</t>
  </si>
  <si>
    <t>HZ-2026-053-03</t>
  </si>
  <si>
    <t>HZ-2026-053-04</t>
  </si>
  <si>
    <t>HZ-2026-053-05</t>
  </si>
  <si>
    <t>HZ-2026-053-06</t>
  </si>
  <si>
    <t>HZ-2026-054-01</t>
  </si>
  <si>
    <t>HZ-2026-054-02</t>
  </si>
  <si>
    <t>HZ-2026-054-03</t>
  </si>
  <si>
    <t>HZ-2026-054-04</t>
  </si>
  <si>
    <t>HZ-2026-054-05</t>
  </si>
  <si>
    <t>HZ-2026-054-06</t>
  </si>
  <si>
    <t>HZ-2026-055-01</t>
  </si>
  <si>
    <t>HZ-2026-055-02</t>
  </si>
  <si>
    <t>HZ-2026-055-03</t>
  </si>
  <si>
    <t>HZ-2026-055-04</t>
  </si>
  <si>
    <t>HZ-2026-055-05</t>
  </si>
  <si>
    <t>HZ-2026-055-06</t>
  </si>
  <si>
    <t>HZ-2026-056-01</t>
  </si>
  <si>
    <t>HZ-2026-056-02</t>
  </si>
  <si>
    <t>HZ-2026-056-03</t>
  </si>
  <si>
    <t>HZ-2026-056-04</t>
  </si>
  <si>
    <t>HZ-2026-056-05</t>
  </si>
  <si>
    <t>HZ-2026-057-01</t>
  </si>
  <si>
    <t>HZ-2026-057-02</t>
  </si>
  <si>
    <t>HZ-2026-057-03</t>
  </si>
  <si>
    <t>HZ-2026-057-04</t>
  </si>
  <si>
    <t>HZ-2026-057-05</t>
  </si>
  <si>
    <t>HZ-2026-057-06</t>
  </si>
  <si>
    <t>HZ-2026-057-07</t>
  </si>
  <si>
    <t>HZ-2026-058-01</t>
  </si>
  <si>
    <t>HZ-2026-058-02</t>
  </si>
  <si>
    <t>HZ-2026-058-03</t>
  </si>
  <si>
    <t>HZ-2026-058-04</t>
  </si>
  <si>
    <t>HZ-2026-058-05</t>
  </si>
  <si>
    <t>HZ-2026-058-06</t>
  </si>
  <si>
    <t>HZ-2026-058-07</t>
  </si>
  <si>
    <t>HZ-2026-058-08</t>
  </si>
  <si>
    <t>HZ-2026-058-09</t>
  </si>
  <si>
    <t>HZ-2026-059-01</t>
  </si>
  <si>
    <t>HZ-2026-059-02</t>
  </si>
  <si>
    <t>HZ-2026-059-03</t>
  </si>
  <si>
    <t>HZ-2026-059-04</t>
  </si>
  <si>
    <t>HZ-2026-059-05</t>
  </si>
  <si>
    <t>HZ-2026-059-06</t>
  </si>
  <si>
    <t>HZ-2026-059-07</t>
  </si>
  <si>
    <t>HZ-2026-059-08</t>
  </si>
  <si>
    <t>HZ-2026-059-09</t>
  </si>
  <si>
    <t>HZ-2026-068-01</t>
  </si>
  <si>
    <t>HZ-2026-068-02</t>
  </si>
  <si>
    <t>HZ-2026-068-03</t>
  </si>
  <si>
    <t>HZ-2026-068-04</t>
  </si>
  <si>
    <t>HZ-2026-068-05</t>
  </si>
  <si>
    <t>HZ-2026-068-06</t>
  </si>
  <si>
    <t>HZ-2026-068-07</t>
  </si>
  <si>
    <t>HZ-2026-060-01</t>
  </si>
  <si>
    <t>HZ-2026-060-02</t>
  </si>
  <si>
    <t>HZ-2026-060-03</t>
  </si>
  <si>
    <t>HZ-2026-060-04</t>
  </si>
  <si>
    <t>HZ-2026-060-05</t>
  </si>
  <si>
    <t>HZ-2026-060-06</t>
  </si>
  <si>
    <t>HZ-2026-060-07</t>
  </si>
  <si>
    <t>Steam release during bulk food preparation</t>
  </si>
  <si>
    <t>HZ-2026-060-08</t>
  </si>
  <si>
    <t>HZ-2026-061-01</t>
  </si>
  <si>
    <t>HZ-2026-061-02</t>
  </si>
  <si>
    <t>HZ-2026-061-03</t>
  </si>
  <si>
    <t>HZ-2026-061-04</t>
  </si>
  <si>
    <t>HZ-2026-061-05</t>
  </si>
  <si>
    <t>HZ-2026-061-06</t>
  </si>
  <si>
    <t>HZ-2026-061-07</t>
  </si>
  <si>
    <t>HZ-2026-062-01</t>
  </si>
  <si>
    <t>HZ-2026-062-02</t>
  </si>
  <si>
    <t>HZ-2026-062-03</t>
  </si>
  <si>
    <t>HZ-2026-062-04</t>
  </si>
  <si>
    <t>HZ-2026-062-05</t>
  </si>
  <si>
    <t>HZ-2026-062-06</t>
  </si>
  <si>
    <t>HZ-2026-062-07</t>
  </si>
  <si>
    <t>HZ-2026-062-08</t>
  </si>
  <si>
    <t>HZ-2026-063-01</t>
  </si>
  <si>
    <t>HZ-2026-063-02</t>
  </si>
  <si>
    <t>HZ-2026-063-03</t>
  </si>
  <si>
    <t>HZ-2026-063-04</t>
  </si>
  <si>
    <t>HZ-2026-063-05</t>
  </si>
  <si>
    <t>HZ-2026-063-06</t>
  </si>
  <si>
    <t>HZ-2026-063-07</t>
  </si>
  <si>
    <t>HZ-2026-064-01</t>
  </si>
  <si>
    <t>HZ-2026-064-02</t>
  </si>
  <si>
    <t>HZ-2026-064-03</t>
  </si>
  <si>
    <t>HZ-2026-064-04</t>
  </si>
  <si>
    <t>HZ-2026-064-05</t>
  </si>
  <si>
    <t>HZ-2026-064-06</t>
  </si>
  <si>
    <t>HZ-2026-064-07</t>
  </si>
  <si>
    <t>HZ-2026-064-08</t>
  </si>
  <si>
    <t>HZ-2026-065-01</t>
  </si>
  <si>
    <t>HZ-2026-065-02</t>
  </si>
  <si>
    <t>HZ-2026-065-03</t>
  </si>
  <si>
    <t>HZ-2026-065-04</t>
  </si>
  <si>
    <t>HZ-2026-065-05</t>
  </si>
  <si>
    <t>HZ-2026-065-06</t>
  </si>
  <si>
    <t>HZ-2026-065-07</t>
  </si>
  <si>
    <t>HZ-2026-066-01</t>
  </si>
  <si>
    <t>HZ-2026-066-02</t>
  </si>
  <si>
    <t>HZ-2026-066-03</t>
  </si>
  <si>
    <t>HZ-2026-066-04</t>
  </si>
  <si>
    <t>HZ-2026-066-05</t>
  </si>
  <si>
    <t>HZ-2026-066-06</t>
  </si>
  <si>
    <t>HZ-2026-066-07</t>
  </si>
  <si>
    <t>HZ-2026-066-08</t>
  </si>
  <si>
    <t>HZ-2026-067-01</t>
  </si>
  <si>
    <t>HZ-2026-067-02</t>
  </si>
  <si>
    <t>HZ-2026-067-03</t>
  </si>
  <si>
    <t>HZ-2026-067-04</t>
  </si>
  <si>
    <t>HZ-2026-067-05</t>
  </si>
  <si>
    <t>HZ-2026-067-06</t>
  </si>
  <si>
    <t>HZ-2026-067-07</t>
  </si>
  <si>
    <t>HZ-2026-069-01</t>
  </si>
  <si>
    <t>HZ-2026-069-02</t>
  </si>
  <si>
    <t>HZ-2026-069-03</t>
  </si>
  <si>
    <t>HZ-2026-069-04</t>
  </si>
  <si>
    <t>HZ-2026-069-05</t>
  </si>
  <si>
    <t>HZ-2026-069-06</t>
  </si>
  <si>
    <t>HZ-2026-070-01</t>
  </si>
  <si>
    <t>HZ-2026-070-02</t>
  </si>
  <si>
    <t>HZ-2026-070-03</t>
  </si>
  <si>
    <t>HZ-2026-070-04</t>
  </si>
  <si>
    <t>HZ-2026-070-05</t>
  </si>
  <si>
    <t>HZ-2026-070-06</t>
  </si>
  <si>
    <t>HZ-2026-070-07</t>
  </si>
  <si>
    <t>RAH.01 Attachment metadata / ข้อมูลไฟล์แนบ</t>
  </si>
  <si>
    <t>file_name</t>
  </si>
  <si>
    <t>mime_type</t>
  </si>
  <si>
    <t>size_bytes</t>
  </si>
  <si>
    <t>uploaded_at</t>
  </si>
  <si>
    <t>drive_url</t>
  </si>
  <si>
    <t>last_modified</t>
  </si>
  <si>
    <t>drive_file_id</t>
  </si>
  <si>
    <t>attachment_id</t>
  </si>
  <si>
    <t>01_insufficient_rest_evidence.pdf</t>
  </si>
  <si>
    <t>application/pdf</t>
  </si>
  <si>
    <t>https://drive.google.com/file/d/EXAMPLE-001-06/view</t>
  </si>
  <si>
    <t>DRIVE-2026-001-06</t>
  </si>
  <si>
    <t>ATT-2026-001-06</t>
  </si>
  <si>
    <t>01_sharps_evidence.pdf</t>
  </si>
  <si>
    <t>https://drive.google.com/file/d/EXAMPLE-001-03/view</t>
  </si>
  <si>
    <t>DRIVE-2026-001-03</t>
  </si>
  <si>
    <t>ATT-2026-001-03</t>
  </si>
  <si>
    <t>02_bacteria_evidence.pdf</t>
  </si>
  <si>
    <t>https://drive.google.com/file/d/EXAMPLE-002-02/view</t>
  </si>
  <si>
    <t>DRIVE-2026-002-02</t>
  </si>
  <si>
    <t>ATT-2026-002-02</t>
  </si>
  <si>
    <t>02_lighting_evidence.pdf</t>
  </si>
  <si>
    <t>https://drive.google.com/file/d/EXAMPLE-002-08/view</t>
  </si>
  <si>
    <t>DRIVE-2026-002-08</t>
  </si>
  <si>
    <t>ATT-2026-002-08</t>
  </si>
  <si>
    <t>02_work_stress_evidence.pdf</t>
  </si>
  <si>
    <t>https://drive.google.com/file/d/EXAMPLE-002-05/view</t>
  </si>
  <si>
    <t>DRIVE-2026-002-05</t>
  </si>
  <si>
    <t>ATT-2026-002-05</t>
  </si>
  <si>
    <t>03_heavy_lifting_patient_transfer_evidence.pdf</t>
  </si>
  <si>
    <t>https://drive.google.com/file/d/EXAMPLE-003-04/view</t>
  </si>
  <si>
    <t>DRIVE-2026-003-04</t>
  </si>
  <si>
    <t>ATT-2026-003-04</t>
  </si>
  <si>
    <t>03_insufficient_rest_evidence.pdf</t>
  </si>
  <si>
    <t>https://drive.google.com/file/d/EXAMPLE-003-07/view</t>
  </si>
  <si>
    <t>DRIVE-2026-003-07</t>
  </si>
  <si>
    <t>ATT-2026-003-07</t>
  </si>
  <si>
    <t>03_viruses_evidence.pdf</t>
  </si>
  <si>
    <t>https://drive.google.com/file/d/EXAMPLE-003-01/view</t>
  </si>
  <si>
    <t>DRIVE-2026-003-01</t>
  </si>
  <si>
    <t>ATT-2026-003-01</t>
  </si>
  <si>
    <t>04_prolonged_standing_sitting_evidence.pdf</t>
  </si>
  <si>
    <t>https://drive.google.com/file/d/EXAMPLE-004-06/view</t>
  </si>
  <si>
    <t>DRIVE-2026-004-06</t>
  </si>
  <si>
    <t>ATT-2026-004-06</t>
  </si>
  <si>
    <t>04_viruses_evidence.pdf</t>
  </si>
  <si>
    <t>https://drive.google.com/file/d/EXAMPLE-004-03/view</t>
  </si>
  <si>
    <t>DRIVE-2026-004-03</t>
  </si>
  <si>
    <t>ATT-2026-004-03</t>
  </si>
  <si>
    <t>05_repetitive_tasks_evidence.pdf</t>
  </si>
  <si>
    <t>https://drive.google.com/file/d/EXAMPLE-005-05/view</t>
  </si>
  <si>
    <t>DRIVE-2026-005-05</t>
  </si>
  <si>
    <t>ATT-2026-005-05</t>
  </si>
  <si>
    <t>05_viruses_evidence.pdf</t>
  </si>
  <si>
    <t>https://drive.google.com/file/d/EXAMPLE-005-02/view</t>
  </si>
  <si>
    <t>DRIVE-2026-005-02</t>
  </si>
  <si>
    <t>ATT-2026-005-02</t>
  </si>
  <si>
    <t>06_prolonged_standing_sitting_evidence.pdf</t>
  </si>
  <si>
    <t>https://drive.google.com/file/d/EXAMPLE-006-04/view</t>
  </si>
  <si>
    <t>DRIVE-2026-006-04</t>
  </si>
  <si>
    <t>ATT-2026-006-04</t>
  </si>
  <si>
    <t>06_radiation_evidence.pdf</t>
  </si>
  <si>
    <t>https://drive.google.com/file/d/EXAMPLE-006-01/view</t>
  </si>
  <si>
    <t>DRIVE-2026-006-01</t>
  </si>
  <si>
    <t>ATT-2026-006-01</t>
  </si>
  <si>
    <t>06_work_stress_evidence.pdf</t>
  </si>
  <si>
    <t>https://drive.google.com/file/d/EXAMPLE-006-07/view</t>
  </si>
  <si>
    <t>DRIVE-2026-006-07</t>
  </si>
  <si>
    <t>ATT-2026-006-07</t>
  </si>
  <si>
    <t>08_bacteria_evidence.pdf</t>
  </si>
  <si>
    <t>https://drive.google.com/file/d/EXAMPLE-008-02/view</t>
  </si>
  <si>
    <t>DRIVE-2026-008-02</t>
  </si>
  <si>
    <t>ATT-2026-008-02</t>
  </si>
  <si>
    <t>08_unnatural_posture_evidence.pdf</t>
  </si>
  <si>
    <t>https://drive.google.com/file/d/EXAMPLE-008-05/view</t>
  </si>
  <si>
    <t>DRIVE-2026-008-05</t>
  </si>
  <si>
    <t>ATT-2026-008-05</t>
  </si>
  <si>
    <t>09_heavy_lifting_patient_transfer_evidence.pdf</t>
  </si>
  <si>
    <t>https://drive.google.com/file/d/EXAMPLE-009-04/view</t>
  </si>
  <si>
    <t>DRIVE-2026-009-04</t>
  </si>
  <si>
    <t>ATT-2026-009-04</t>
  </si>
  <si>
    <t>09_insufficient_rest_evidence.pdf</t>
  </si>
  <si>
    <t>https://drive.google.com/file/d/EXAMPLE-009-07/view</t>
  </si>
  <si>
    <t>DRIVE-2026-009-07</t>
  </si>
  <si>
    <t>ATT-2026-009-07</t>
  </si>
  <si>
    <t>09_viruses_evidence.pdf</t>
  </si>
  <si>
    <t>https://drive.google.com/file/d/EXAMPLE-009-01/view</t>
  </si>
  <si>
    <t>DRIVE-2026-009-01</t>
  </si>
  <si>
    <t>ATT-2026-009-01</t>
  </si>
  <si>
    <t>10_sharps_evidence.pdf</t>
  </si>
  <si>
    <t>https://drive.google.com/file/d/EXAMPLE-010-03/view</t>
  </si>
  <si>
    <t>DRIVE-2026-010-03</t>
  </si>
  <si>
    <t>ATT-2026-010-03</t>
  </si>
  <si>
    <t>10_work_stress_evidence.pdf</t>
  </si>
  <si>
    <t>https://drive.google.com/file/d/EXAMPLE-010-06/view</t>
  </si>
  <si>
    <t>DRIVE-2026-010-06</t>
  </si>
  <si>
    <t>ATT-2026-010-06</t>
  </si>
  <si>
    <t>12_pathway_obstruction_evidence.pdf</t>
  </si>
  <si>
    <t>https://drive.google.com/file/d/EXAMPLE-012-04/view</t>
  </si>
  <si>
    <t>DRIVE-2026-012-04</t>
  </si>
  <si>
    <t>ATT-2026-012-04</t>
  </si>
  <si>
    <t>12_repetitive_tasks_evidence.pdf</t>
  </si>
  <si>
    <t>https://drive.google.com/file/d/EXAMPLE-012-01/view</t>
  </si>
  <si>
    <t>DRIVE-2026-012-01</t>
  </si>
  <si>
    <t>ATT-2026-012-01</t>
  </si>
  <si>
    <t>16_dust_evidence.pdf</t>
  </si>
  <si>
    <t>https://drive.google.com/file/d/EXAMPLE-016-06/view</t>
  </si>
  <si>
    <t>DRIVE-2026-016-06</t>
  </si>
  <si>
    <t>ATT-2026-016-06</t>
  </si>
  <si>
    <t>16_prolonged_standing_sitting_evidence.pdf</t>
  </si>
  <si>
    <t>https://drive.google.com/file/d/EXAMPLE-016-03/view</t>
  </si>
  <si>
    <t>DRIVE-2026-016-03</t>
  </si>
  <si>
    <t>ATT-2026-016-03</t>
  </si>
  <si>
    <t>18_heavy_lifting_patient_transfer_evidence.pdf</t>
  </si>
  <si>
    <t>https://drive.google.com/file/d/EXAMPLE-018-04/view</t>
  </si>
  <si>
    <t>DRIVE-2026-018-04</t>
  </si>
  <si>
    <t>ATT-2026-018-04</t>
  </si>
  <si>
    <t>18_poor_ventilation_evidence.pdf</t>
  </si>
  <si>
    <t>https://drive.google.com/file/d/EXAMPLE-018-07/view</t>
  </si>
  <si>
    <t>DRIVE-2026-018-07</t>
  </si>
  <si>
    <t>ATT-2026-018-07</t>
  </si>
  <si>
    <t>18_viruses_evidence.pdf</t>
  </si>
  <si>
    <t>https://drive.google.com/file/d/EXAMPLE-018-01/view</t>
  </si>
  <si>
    <t>DRIVE-2026-018-01</t>
  </si>
  <si>
    <t>ATT-2026-018-01</t>
  </si>
  <si>
    <t>20_bacteria_evidence.pdf</t>
  </si>
  <si>
    <t>https://drive.google.com/file/d/EXAMPLE-020-02/view</t>
  </si>
  <si>
    <t>DRIVE-2026-020-02</t>
  </si>
  <si>
    <t>ATT-2026-020-02</t>
  </si>
  <si>
    <t>20_other_evidence.pdf</t>
  </si>
  <si>
    <t>https://drive.google.com/file/d/EXAMPLE-020-08/view</t>
  </si>
  <si>
    <t>DRIVE-2026-020-08</t>
  </si>
  <si>
    <t>ATT-2026-020-08</t>
  </si>
  <si>
    <t>20_unnatural_posture_evidence.pdf</t>
  </si>
  <si>
    <t>https://drive.google.com/file/d/EXAMPLE-020-05/view</t>
  </si>
  <si>
    <t>DRIVE-2026-020-05</t>
  </si>
  <si>
    <t>ATT-2026-020-05</t>
  </si>
  <si>
    <t>22_chemical_odor_evidence.pdf</t>
  </si>
  <si>
    <t>https://drive.google.com/file/d/EXAMPLE-022-06/view</t>
  </si>
  <si>
    <t>DRIVE-2026-022-06</t>
  </si>
  <si>
    <t>ATT-2026-022-06</t>
  </si>
  <si>
    <t>22_sharps_evidence.pdf</t>
  </si>
  <si>
    <t>https://drive.google.com/file/d/EXAMPLE-022-03/view</t>
  </si>
  <si>
    <t>DRIVE-2026-022-03</t>
  </si>
  <si>
    <t>ATT-2026-022-03</t>
  </si>
  <si>
    <t>24_patient_relative_violence_evidence.pdf</t>
  </si>
  <si>
    <t>https://drive.google.com/file/d/EXAMPLE-024-04/view</t>
  </si>
  <si>
    <t>DRIVE-2026-024-04</t>
  </si>
  <si>
    <t>ATT-2026-024-04</t>
  </si>
  <si>
    <t>24_viruses_evidence.pdf</t>
  </si>
  <si>
    <t>https://drive.google.com/file/d/EXAMPLE-024-01/view</t>
  </si>
  <si>
    <t>DRIVE-2026-024-01</t>
  </si>
  <si>
    <t>ATT-2026-024-01</t>
  </si>
  <si>
    <t>26_bacteria_evidence.pdf</t>
  </si>
  <si>
    <t>https://drive.google.com/file/d/EXAMPLE-026-02/view</t>
  </si>
  <si>
    <t>DRIVE-2026-026-02</t>
  </si>
  <si>
    <t>ATT-2026-026-02</t>
  </si>
  <si>
    <t>26_lighting_evidence.pdf</t>
  </si>
  <si>
    <t>https://drive.google.com/file/d/EXAMPLE-026-08/view</t>
  </si>
  <si>
    <t>DRIVE-2026-026-08</t>
  </si>
  <si>
    <t>ATT-2026-026-08</t>
  </si>
  <si>
    <t>26_unnatural_posture_evidence.pdf</t>
  </si>
  <si>
    <t>https://drive.google.com/file/d/EXAMPLE-026-05/view</t>
  </si>
  <si>
    <t>DRIVE-2026-026-05</t>
  </si>
  <si>
    <t>ATT-2026-026-05</t>
  </si>
  <si>
    <t>27_machinery_evidence.pdf</t>
  </si>
  <si>
    <t>https://drive.google.com/file/d/EXAMPLE-027-07/view</t>
  </si>
  <si>
    <t>DRIVE-2026-027-07</t>
  </si>
  <si>
    <t>ATT-2026-027-07</t>
  </si>
  <si>
    <t>27_sharps_evidence.pdf</t>
  </si>
  <si>
    <t>https://drive.google.com/file/d/EXAMPLE-027-01/view</t>
  </si>
  <si>
    <t>DRIVE-2026-027-01</t>
  </si>
  <si>
    <t>ATT-2026-027-01</t>
  </si>
  <si>
    <t>27_sterilization_disinfection_chemicals_evidence.pdf</t>
  </si>
  <si>
    <t>https://drive.google.com/file/d/EXAMPLE-027-04/view</t>
  </si>
  <si>
    <t>DRIVE-2026-027-04</t>
  </si>
  <si>
    <t>ATT-2026-027-04</t>
  </si>
  <si>
    <t>28_floor_cleaner_evidence.pdf</t>
  </si>
  <si>
    <t>https://drive.google.com/file/d/EXAMPLE-028-06/view</t>
  </si>
  <si>
    <t>DRIVE-2026-028-06</t>
  </si>
  <si>
    <t>ATT-2026-028-06</t>
  </si>
  <si>
    <t>28_hot_objects_evidence.pdf</t>
  </si>
  <si>
    <t>https://drive.google.com/file/d/EXAMPLE-028-03/view</t>
  </si>
  <si>
    <t>DRIVE-2026-028-03</t>
  </si>
  <si>
    <t>ATT-2026-028-03</t>
  </si>
  <si>
    <t>36_electrical_work_evidence.pdf</t>
  </si>
  <si>
    <t>https://drive.google.com/file/d/EXAMPLE-036-01/view</t>
  </si>
  <si>
    <t>DRIVE-2026-036-01</t>
  </si>
  <si>
    <t>ATT-2026-036-01</t>
  </si>
  <si>
    <t>36_generator_evidence.pdf</t>
  </si>
  <si>
    <t>https://drive.google.com/file/d/EXAMPLE-036-07/view</t>
  </si>
  <si>
    <t>DRIVE-2026-036-07</t>
  </si>
  <si>
    <t>ATT-2026-036-07</t>
  </si>
  <si>
    <t>36_heat_evidence.pdf</t>
  </si>
  <si>
    <t>https://drive.google.com/file/d/EXAMPLE-036-04/view</t>
  </si>
  <si>
    <t>DRIVE-2026-036-04</t>
  </si>
  <si>
    <t>ATT-2026-036-04</t>
  </si>
  <si>
    <t>37_confined_space_evidence.pdf</t>
  </si>
  <si>
    <t>https://drive.google.com/file/d/EXAMPLE-037-06/view</t>
  </si>
  <si>
    <t>DRIVE-2026-037-06</t>
  </si>
  <si>
    <t>ATT-2026-037-06</t>
  </si>
  <si>
    <t>37_noise_evidence.pdf</t>
  </si>
  <si>
    <t>https://drive.google.com/file/d/EXAMPLE-037-03/view</t>
  </si>
  <si>
    <t>DRIVE-2026-037-03</t>
  </si>
  <si>
    <t>ATT-2026-037-03</t>
  </si>
  <si>
    <t>38_heavy_lifting_patient_transfer_evidence.pdf</t>
  </si>
  <si>
    <t>https://drive.google.com/file/d/EXAMPLE-038-05/view</t>
  </si>
  <si>
    <t>DRIVE-2026-038-05</t>
  </si>
  <si>
    <t>ATT-2026-038-05</t>
  </si>
  <si>
    <t>38_lighting_evidence.pdf</t>
  </si>
  <si>
    <t>https://drive.google.com/file/d/EXAMPLE-038-08/view</t>
  </si>
  <si>
    <t>DRIVE-2026-038-08</t>
  </si>
  <si>
    <t>ATT-2026-038-08</t>
  </si>
  <si>
    <t>38_sharps_evidence.pdf</t>
  </si>
  <si>
    <t>https://drive.google.com/file/d/EXAMPLE-038-02/view</t>
  </si>
  <si>
    <t>DRIVE-2026-038-02</t>
  </si>
  <si>
    <t>ATT-2026-038-02</t>
  </si>
  <si>
    <t>39_bacteria_evidence.pdf</t>
  </si>
  <si>
    <t>https://drive.google.com/file/d/EXAMPLE-039-01/view</t>
  </si>
  <si>
    <t>DRIVE-2026-039-01</t>
  </si>
  <si>
    <t>ATT-2026-039-01</t>
  </si>
  <si>
    <t>39_repetitive_tasks_evidence.pdf</t>
  </si>
  <si>
    <t>https://drive.google.com/file/d/EXAMPLE-039-07/view</t>
  </si>
  <si>
    <t>DRIVE-2026-039-07</t>
  </si>
  <si>
    <t>ATT-2026-039-07</t>
  </si>
  <si>
    <t>39_slippery_surface_evidence.pdf</t>
  </si>
  <si>
    <t>https://drive.google.com/file/d/EXAMPLE-039-04/view</t>
  </si>
  <si>
    <t>DRIVE-2026-039-04</t>
  </si>
  <si>
    <t>ATT-2026-039-04</t>
  </si>
  <si>
    <t>40_high_push_pull_force_evidence.pdf</t>
  </si>
  <si>
    <t>https://drive.google.com/file/d/EXAMPLE-040-03/view</t>
  </si>
  <si>
    <t>DRIVE-2026-040-03</t>
  </si>
  <si>
    <t>ATT-2026-040-03</t>
  </si>
  <si>
    <t>40_work_stress_evidence.pdf</t>
  </si>
  <si>
    <t>https://drive.google.com/file/d/EXAMPLE-040-06/view</t>
  </si>
  <si>
    <t>DRIVE-2026-040-06</t>
  </si>
  <si>
    <t>ATT-2026-040-06</t>
  </si>
  <si>
    <t>41_heavy_lifting_patient_transfer_evidence.pdf</t>
  </si>
  <si>
    <t>https://drive.google.com/file/d/EXAMPLE-041-02/view</t>
  </si>
  <si>
    <t>DRIVE-2026-041-02</t>
  </si>
  <si>
    <t>ATT-2026-041-02</t>
  </si>
  <si>
    <t>41_slippery_surface_evidence.pdf</t>
  </si>
  <si>
    <t>https://drive.google.com/file/d/EXAMPLE-041-05/view</t>
  </si>
  <si>
    <t>DRIVE-2026-041-05</t>
  </si>
  <si>
    <t>ATT-2026-041-05</t>
  </si>
  <si>
    <t>43_floor_cleaner_evidence.pdf</t>
  </si>
  <si>
    <t>https://drive.google.com/file/d/EXAMPLE-043-03/view</t>
  </si>
  <si>
    <t>DRIVE-2026-043-03</t>
  </si>
  <si>
    <t>ATT-2026-043-03</t>
  </si>
  <si>
    <t>43_high_push_pull_force_evidence.pdf</t>
  </si>
  <si>
    <t>https://drive.google.com/file/d/EXAMPLE-043-06/view</t>
  </si>
  <si>
    <t>DRIVE-2026-043-06</t>
  </si>
  <si>
    <t>ATT-2026-043-06</t>
  </si>
  <si>
    <t>58_confined_space_evidence.pdf</t>
  </si>
  <si>
    <t>https://drive.google.com/file/d/EXAMPLE-058-06/view</t>
  </si>
  <si>
    <t>DRIVE-2026-058-06</t>
  </si>
  <si>
    <t>ATT-2026-058-06</t>
  </si>
  <si>
    <t>58_noise_evidence.pdf</t>
  </si>
  <si>
    <t>https://drive.google.com/file/d/EXAMPLE-058-03/view</t>
  </si>
  <si>
    <t>DRIVE-2026-058-03</t>
  </si>
  <si>
    <t>ATT-2026-058-03</t>
  </si>
  <si>
    <t>58_other_evidence.pdf</t>
  </si>
  <si>
    <t>https://drive.google.com/file/d/EXAMPLE-058-09/view</t>
  </si>
  <si>
    <t>DRIVE-2026-058-09</t>
  </si>
  <si>
    <t>ATT-2026-058-09</t>
  </si>
  <si>
    <t>59_electrical_equipment_evidence.pdf</t>
  </si>
  <si>
    <t>https://drive.google.com/file/d/EXAMPLE-059-08/view</t>
  </si>
  <si>
    <t>DRIVE-2026-059-08</t>
  </si>
  <si>
    <t>ATT-2026-059-08</t>
  </si>
  <si>
    <t>59_machinery_evidence.pdf</t>
  </si>
  <si>
    <t>https://drive.google.com/file/d/EXAMPLE-059-02/view</t>
  </si>
  <si>
    <t>DRIVE-2026-059-02</t>
  </si>
  <si>
    <t>ATT-2026-059-02</t>
  </si>
  <si>
    <t>59_work_at_height_evidence.pdf</t>
  </si>
  <si>
    <t>https://drive.google.com/file/d/EXAMPLE-059-05/view</t>
  </si>
  <si>
    <t>DRIVE-2026-059-05</t>
  </si>
  <si>
    <t>ATT-2026-059-05</t>
  </si>
  <si>
    <t>68_bacteria_evidence.pdf</t>
  </si>
  <si>
    <t>https://drive.google.com/file/d/EXAMPLE-068-02/view</t>
  </si>
  <si>
    <t>DRIVE-2026-068-02</t>
  </si>
  <si>
    <t>ATT-2026-068-02</t>
  </si>
  <si>
    <t>68_unnatural_posture_evidence.pdf</t>
  </si>
  <si>
    <t>https://drive.google.com/file/d/EXAMPLE-068-05/view</t>
  </si>
  <si>
    <t>DRIVE-2026-068-05</t>
  </si>
  <si>
    <t>ATT-2026-068-05</t>
  </si>
  <si>
    <t>60_poor_ventilation_evidence.pdf</t>
  </si>
  <si>
    <t>https://drive.google.com/file/d/EXAMPLE-060-07/view</t>
  </si>
  <si>
    <t>DRIVE-2026-060-07</t>
  </si>
  <si>
    <t>ATT-2026-060-07</t>
  </si>
  <si>
    <t>60_sharps_evidence.pdf</t>
  </si>
  <si>
    <t>https://drive.google.com/file/d/EXAMPLE-060-01/view</t>
  </si>
  <si>
    <t>DRIVE-2026-060-01</t>
  </si>
  <si>
    <t>ATT-2026-060-01</t>
  </si>
  <si>
    <t>60_slippery_surface_evidence.pdf</t>
  </si>
  <si>
    <t>https://drive.google.com/file/d/EXAMPLE-060-04/view</t>
  </si>
  <si>
    <t>DRIVE-2026-060-04</t>
  </si>
  <si>
    <t>ATT-2026-060-04</t>
  </si>
  <si>
    <t>61_sharps_evidence.pdf</t>
  </si>
  <si>
    <t>https://drive.google.com/file/d/EXAMPLE-061-03/view</t>
  </si>
  <si>
    <t>DRIVE-2026-061-03</t>
  </si>
  <si>
    <t>ATT-2026-061-03</t>
  </si>
  <si>
    <t>61_work_stress_evidence.pdf</t>
  </si>
  <si>
    <t>https://drive.google.com/file/d/EXAMPLE-061-06/view</t>
  </si>
  <si>
    <t>DRIVE-2026-061-06</t>
  </si>
  <si>
    <t>ATT-2026-061-06</t>
  </si>
  <si>
    <t>62_bacteria_evidence.pdf</t>
  </si>
  <si>
    <t>https://drive.google.com/file/d/EXAMPLE-062-02/view</t>
  </si>
  <si>
    <t>DRIVE-2026-062-02</t>
  </si>
  <si>
    <t>ATT-2026-062-02</t>
  </si>
  <si>
    <t>62_lighting_evidence.pdf</t>
  </si>
  <si>
    <t>https://drive.google.com/file/d/EXAMPLE-062-08/view</t>
  </si>
  <si>
    <t>DRIVE-2026-062-08</t>
  </si>
  <si>
    <t>ATT-2026-062-08</t>
  </si>
  <si>
    <t>62_unnatural_posture_evidence.pdf</t>
  </si>
  <si>
    <t>https://drive.google.com/file/d/EXAMPLE-062-05/view</t>
  </si>
  <si>
    <t>DRIVE-2026-062-05</t>
  </si>
  <si>
    <t>ATT-2026-062-05</t>
  </si>
  <si>
    <t>64_insufficient_rest_evidence.pdf</t>
  </si>
  <si>
    <t>https://drive.google.com/file/d/EXAMPLE-064-06/view</t>
  </si>
  <si>
    <t>DRIVE-2026-064-06</t>
  </si>
  <si>
    <t>ATT-2026-064-06</t>
  </si>
  <si>
    <t>64_sharps_evidence.pdf</t>
  </si>
  <si>
    <t>https://drive.google.com/file/d/EXAMPLE-064-03/view</t>
  </si>
  <si>
    <t>DRIVE-2026-064-03</t>
  </si>
  <si>
    <t>ATT-2026-064-03</t>
  </si>
  <si>
    <t>65_bacteria_evidence.pdf</t>
  </si>
  <si>
    <t>https://drive.google.com/file/d/EXAMPLE-065-02/view</t>
  </si>
  <si>
    <t>DRIVE-2026-065-02</t>
  </si>
  <si>
    <t>ATT-2026-065-02</t>
  </si>
  <si>
    <t>65_work_stress_evidence.pdf</t>
  </si>
  <si>
    <t>https://drive.google.com/file/d/EXAMPLE-065-05/view</t>
  </si>
  <si>
    <t>DRIVE-2026-065-05</t>
  </si>
  <si>
    <t>ATT-2026-065-05</t>
  </si>
  <si>
    <t>66_electrical_equipment_evidence.pdf</t>
  </si>
  <si>
    <t>https://drive.google.com/file/d/EXAMPLE-066-07/view</t>
  </si>
  <si>
    <t>DRIVE-2026-066-07</t>
  </si>
  <si>
    <t>ATT-2026-066-07</t>
  </si>
  <si>
    <t>66_heavy_lifting_patient_transfer_evidence.pdf</t>
  </si>
  <si>
    <t>https://drive.google.com/file/d/EXAMPLE-066-04/view</t>
  </si>
  <si>
    <t>DRIVE-2026-066-04</t>
  </si>
  <si>
    <t>ATT-2026-066-04</t>
  </si>
  <si>
    <t>66_viruses_evidence.pdf</t>
  </si>
  <si>
    <t>https://drive.google.com/file/d/EXAMPLE-066-01/view</t>
  </si>
  <si>
    <t>DRIVE-2026-066-01</t>
  </si>
  <si>
    <t>ATT-2026-066-01</t>
  </si>
  <si>
    <t>67_sharps_evidence.pdf</t>
  </si>
  <si>
    <t>https://drive.google.com/file/d/EXAMPLE-067-03/view</t>
  </si>
  <si>
    <t>DRIVE-2026-067-03</t>
  </si>
  <si>
    <t>ATT-2026-067-03</t>
  </si>
  <si>
    <t>67_work_stress_evidence.pdf</t>
  </si>
  <si>
    <t>https://drive.google.com/file/d/EXAMPLE-067-06/view</t>
  </si>
  <si>
    <t>DRIVE-2026-067-06</t>
  </si>
  <si>
    <t>ATT-2026-067-06</t>
  </si>
  <si>
    <t>RAH.01 Administration log / ประวัติการดำเนินการ</t>
  </si>
  <si>
    <t>event_at</t>
  </si>
  <si>
    <t>event_type</t>
  </si>
  <si>
    <t>actor</t>
  </si>
  <si>
    <t>admin_note</t>
  </si>
  <si>
    <t>log_id</t>
  </si>
  <si>
    <t>Synthetic RAH.01 assessment submitted for workflow simulation.</t>
  </si>
  <si>
    <t>LOG-2026-001-01</t>
  </si>
  <si>
    <t>LOG-2026-002-01</t>
  </si>
  <si>
    <t>Occupational-health administrator</t>
  </si>
  <si>
    <t>Submission opened and checked against the department risk profile.</t>
  </si>
  <si>
    <t>LOG-2026-002-02</t>
  </si>
  <si>
    <t>LOG-2026-003-01</t>
  </si>
  <si>
    <t>LOG-2026-003-02</t>
  </si>
  <si>
    <t>Review completed and follow-up ownership recorded; synthetic record only.</t>
  </si>
  <si>
    <t>LOG-2026-003-03</t>
  </si>
  <si>
    <t>LOG-2026-004-01</t>
  </si>
  <si>
    <t>LOG-2026-004-02</t>
  </si>
  <si>
    <t>LOG-2026-004-03</t>
  </si>
  <si>
    <t>LOG-2026-005-01</t>
  </si>
  <si>
    <t>LOG-2026-005-02</t>
  </si>
  <si>
    <t>Returned for clearer evidence on one control measure; synthetic record only.</t>
  </si>
  <si>
    <t>LOG-2026-005-03</t>
  </si>
  <si>
    <t>LOG-2026-006-01</t>
  </si>
  <si>
    <t>LOG-2026-007-01</t>
  </si>
  <si>
    <t>LOG-2026-007-02</t>
  </si>
  <si>
    <t>LOG-2026-008-01</t>
  </si>
  <si>
    <t>LOG-2026-008-02</t>
  </si>
  <si>
    <t>LOG-2026-008-03</t>
  </si>
  <si>
    <t>LOG-2026-009-01</t>
  </si>
  <si>
    <t>LOG-2026-009-02</t>
  </si>
  <si>
    <t>LOG-2026-009-03</t>
  </si>
  <si>
    <t>LOG-2026-010-01</t>
  </si>
  <si>
    <t>LOG-2026-010-02</t>
  </si>
  <si>
    <t>LOG-2026-010-03</t>
  </si>
  <si>
    <t>LOG-2026-011-01</t>
  </si>
  <si>
    <t>LOG-2026-012-01</t>
  </si>
  <si>
    <t>LOG-2026-012-02</t>
  </si>
  <si>
    <t>LOG-2026-013-01</t>
  </si>
  <si>
    <t>LOG-2026-013-02</t>
  </si>
  <si>
    <t>LOG-2026-013-03</t>
  </si>
  <si>
    <t>LOG-2026-014-01</t>
  </si>
  <si>
    <t>LOG-2026-014-02</t>
  </si>
  <si>
    <t>LOG-2026-014-03</t>
  </si>
  <si>
    <t>LOG-2026-015-01</t>
  </si>
  <si>
    <t>LOG-2026-015-02</t>
  </si>
  <si>
    <t>LOG-2026-015-03</t>
  </si>
  <si>
    <t>LOG-2026-016-01</t>
  </si>
  <si>
    <t>LOG-2026-017-01</t>
  </si>
  <si>
    <t>LOG-2026-017-02</t>
  </si>
  <si>
    <t>LOG-2026-018-01</t>
  </si>
  <si>
    <t>LOG-2026-018-02</t>
  </si>
  <si>
    <t>LOG-2026-018-03</t>
  </si>
  <si>
    <t>LOG-2026-019-01</t>
  </si>
  <si>
    <t>LOG-2026-019-02</t>
  </si>
  <si>
    <t>LOG-2026-019-03</t>
  </si>
  <si>
    <t>LOG-2026-020-01</t>
  </si>
  <si>
    <t>LOG-2026-020-02</t>
  </si>
  <si>
    <t>LOG-2026-020-03</t>
  </si>
  <si>
    <t>LOG-2026-021-01</t>
  </si>
  <si>
    <t>LOG-2026-022-01</t>
  </si>
  <si>
    <t>LOG-2026-022-02</t>
  </si>
  <si>
    <t>LOG-2026-023-01</t>
  </si>
  <si>
    <t>LOG-2026-023-02</t>
  </si>
  <si>
    <t>LOG-2026-023-03</t>
  </si>
  <si>
    <t>LOG-2026-024-01</t>
  </si>
  <si>
    <t>LOG-2026-024-02</t>
  </si>
  <si>
    <t>LOG-2026-024-03</t>
  </si>
  <si>
    <t>LOG-2026-025-01</t>
  </si>
  <si>
    <t>LOG-2026-025-02</t>
  </si>
  <si>
    <t>LOG-2026-025-03</t>
  </si>
  <si>
    <t>LOG-2026-026-01</t>
  </si>
  <si>
    <t>LOG-2026-027-01</t>
  </si>
  <si>
    <t>LOG-2026-027-02</t>
  </si>
  <si>
    <t>LOG-2026-028-01</t>
  </si>
  <si>
    <t>LOG-2026-028-02</t>
  </si>
  <si>
    <t>LOG-2026-028-03</t>
  </si>
  <si>
    <t>LOG-2026-029-01</t>
  </si>
  <si>
    <t>LOG-2026-029-02</t>
  </si>
  <si>
    <t>LOG-2026-029-03</t>
  </si>
  <si>
    <t>LOG-2026-030-01</t>
  </si>
  <si>
    <t>LOG-2026-030-02</t>
  </si>
  <si>
    <t>LOG-2026-030-03</t>
  </si>
  <si>
    <t>LOG-2026-031-01</t>
  </si>
  <si>
    <t>LOG-2026-032-01</t>
  </si>
  <si>
    <t>LOG-2026-032-02</t>
  </si>
  <si>
    <t>LOG-2026-033-01</t>
  </si>
  <si>
    <t>LOG-2026-033-02</t>
  </si>
  <si>
    <t>LOG-2026-033-03</t>
  </si>
  <si>
    <t>LOG-2026-034-01</t>
  </si>
  <si>
    <t>LOG-2026-034-02</t>
  </si>
  <si>
    <t>LOG-2026-034-03</t>
  </si>
  <si>
    <t>LOG-2026-035-01</t>
  </si>
  <si>
    <t>LOG-2026-035-02</t>
  </si>
  <si>
    <t>LOG-2026-035-03</t>
  </si>
  <si>
    <t>LOG-2026-036-01</t>
  </si>
  <si>
    <t>LOG-2026-037-01</t>
  </si>
  <si>
    <t>LOG-2026-037-02</t>
  </si>
  <si>
    <t>LOG-2026-038-01</t>
  </si>
  <si>
    <t>LOG-2026-038-02</t>
  </si>
  <si>
    <t>LOG-2026-038-03</t>
  </si>
  <si>
    <t>LOG-2026-039-01</t>
  </si>
  <si>
    <t>LOG-2026-039-02</t>
  </si>
  <si>
    <t>LOG-2026-039-03</t>
  </si>
  <si>
    <t>LOG-2026-040-01</t>
  </si>
  <si>
    <t>LOG-2026-040-02</t>
  </si>
  <si>
    <t>LOG-2026-040-03</t>
  </si>
  <si>
    <t>LOG-2026-041-01</t>
  </si>
  <si>
    <t>LOG-2026-042-01</t>
  </si>
  <si>
    <t>LOG-2026-042-02</t>
  </si>
  <si>
    <t>LOG-2026-043-01</t>
  </si>
  <si>
    <t>LOG-2026-043-02</t>
  </si>
  <si>
    <t>LOG-2026-043-03</t>
  </si>
  <si>
    <t>LOG-2026-044-01</t>
  </si>
  <si>
    <t>LOG-2026-044-02</t>
  </si>
  <si>
    <t>LOG-2026-044-03</t>
  </si>
  <si>
    <t>LOG-2026-045-01</t>
  </si>
  <si>
    <t>LOG-2026-045-02</t>
  </si>
  <si>
    <t>LOG-2026-045-03</t>
  </si>
  <si>
    <t>LOG-2026-046-01</t>
  </si>
  <si>
    <t>LOG-2026-047-01</t>
  </si>
  <si>
    <t>LOG-2026-047-02</t>
  </si>
  <si>
    <t>LOG-2026-048-01</t>
  </si>
  <si>
    <t>LOG-2026-048-02</t>
  </si>
  <si>
    <t>LOG-2026-048-03</t>
  </si>
  <si>
    <t>LOG-2026-049-01</t>
  </si>
  <si>
    <t>LOG-2026-049-02</t>
  </si>
  <si>
    <t>LOG-2026-049-03</t>
  </si>
  <si>
    <t>LOG-2026-050-01</t>
  </si>
  <si>
    <t>LOG-2026-050-02</t>
  </si>
  <si>
    <t>LOG-2026-050-03</t>
  </si>
  <si>
    <t>LOG-2026-051-01</t>
  </si>
  <si>
    <t>LOG-2026-052-01</t>
  </si>
  <si>
    <t>LOG-2026-052-02</t>
  </si>
  <si>
    <t>LOG-2026-053-01</t>
  </si>
  <si>
    <t>LOG-2026-053-02</t>
  </si>
  <si>
    <t>LOG-2026-053-03</t>
  </si>
  <si>
    <t>LOG-2026-054-01</t>
  </si>
  <si>
    <t>LOG-2026-054-02</t>
  </si>
  <si>
    <t>LOG-2026-054-03</t>
  </si>
  <si>
    <t>LOG-2026-055-01</t>
  </si>
  <si>
    <t>LOG-2026-055-02</t>
  </si>
  <si>
    <t>LOG-2026-055-03</t>
  </si>
  <si>
    <t>LOG-2026-056-01</t>
  </si>
  <si>
    <t>LOG-2026-057-01</t>
  </si>
  <si>
    <t>LOG-2026-057-02</t>
  </si>
  <si>
    <t>LOG-2026-058-01</t>
  </si>
  <si>
    <t>LOG-2026-058-02</t>
  </si>
  <si>
    <t>LOG-2026-058-03</t>
  </si>
  <si>
    <t>LOG-2026-059-01</t>
  </si>
  <si>
    <t>LOG-2026-059-02</t>
  </si>
  <si>
    <t>LOG-2026-059-03</t>
  </si>
  <si>
    <t>LOG-2026-068-01</t>
  </si>
  <si>
    <t>LOG-2026-068-02</t>
  </si>
  <si>
    <t>LOG-2026-068-03</t>
  </si>
  <si>
    <t>LOG-2026-060-01</t>
  </si>
  <si>
    <t>LOG-2026-060-02</t>
  </si>
  <si>
    <t>LOG-2026-060-03</t>
  </si>
  <si>
    <t>LOG-2026-061-01</t>
  </si>
  <si>
    <t>LOG-2026-062-01</t>
  </si>
  <si>
    <t>LOG-2026-062-02</t>
  </si>
  <si>
    <t>LOG-2026-063-01</t>
  </si>
  <si>
    <t>LOG-2026-063-02</t>
  </si>
  <si>
    <t>LOG-2026-063-03</t>
  </si>
  <si>
    <t>LOG-2026-064-01</t>
  </si>
  <si>
    <t>LOG-2026-064-02</t>
  </si>
  <si>
    <t>LOG-2026-064-03</t>
  </si>
  <si>
    <t>LOG-2026-065-01</t>
  </si>
  <si>
    <t>LOG-2026-065-02</t>
  </si>
  <si>
    <t>LOG-2026-065-03</t>
  </si>
  <si>
    <t>LOG-2026-066-01</t>
  </si>
  <si>
    <t>LOG-2026-067-01</t>
  </si>
  <si>
    <t>LOG-2026-067-02</t>
  </si>
  <si>
    <t>LOG-2026-069-01</t>
  </si>
  <si>
    <t>LOG-2026-069-02</t>
  </si>
  <si>
    <t>LOG-2026-069-03</t>
  </si>
  <si>
    <t>LOG-2026-070-01</t>
  </si>
  <si>
    <t>LOG-2026-070-02</t>
  </si>
  <si>
    <t>LOG-2026-070-03</t>
  </si>
  <si>
    <t>RAH.01 Department settings / ตั้งค่าหน่วยงาน</t>
  </si>
  <si>
    <t>Form configuration / ตั้งค่าแบบฟอร์ม</t>
  </si>
  <si>
    <t>active</t>
  </si>
  <si>
    <t>sort_order</t>
  </si>
  <si>
    <t>setting_key</t>
  </si>
  <si>
    <t>setting_value</t>
  </si>
  <si>
    <t>hospital_name</t>
  </si>
  <si>
    <t>Your Hospital Name</t>
  </si>
  <si>
    <t>Reserved Department 071</t>
  </si>
  <si>
    <t>71</t>
  </si>
  <si>
    <t>DPT-071</t>
  </si>
  <si>
    <t>Reserved Department 072</t>
  </si>
  <si>
    <t>72</t>
  </si>
  <si>
    <t>DPT-072</t>
  </si>
  <si>
    <t>Reserved Department 073</t>
  </si>
  <si>
    <t>73</t>
  </si>
  <si>
    <t>DPT-073</t>
  </si>
  <si>
    <t>Reserved Department 074</t>
  </si>
  <si>
    <t>74</t>
  </si>
  <si>
    <t>DPT-074</t>
  </si>
  <si>
    <t>Reserved Department 075</t>
  </si>
  <si>
    <t>75</t>
  </si>
  <si>
    <t>DPT-075</t>
  </si>
  <si>
    <t>Reserved Department 076</t>
  </si>
  <si>
    <t>76</t>
  </si>
  <si>
    <t>DPT-076</t>
  </si>
  <si>
    <t>Reserved Department 077</t>
  </si>
  <si>
    <t>77</t>
  </si>
  <si>
    <t>DPT-077</t>
  </si>
  <si>
    <t>Reserved Department 078</t>
  </si>
  <si>
    <t>78</t>
  </si>
  <si>
    <t>DPT-078</t>
  </si>
  <si>
    <t>Reserved Department 079</t>
  </si>
  <si>
    <t>79</t>
  </si>
  <si>
    <t>DPT-079</t>
  </si>
  <si>
    <t>Reserved Department 080</t>
  </si>
  <si>
    <t>80</t>
  </si>
  <si>
    <t>DPT-080</t>
  </si>
  <si>
    <t>Reserved Department 081</t>
  </si>
  <si>
    <t>81</t>
  </si>
  <si>
    <t>DPT-081</t>
  </si>
  <si>
    <t>Reserved Department 082</t>
  </si>
  <si>
    <t>82</t>
  </si>
  <si>
    <t>DPT-082</t>
  </si>
  <si>
    <t>Reserved Department 083</t>
  </si>
  <si>
    <t>83</t>
  </si>
  <si>
    <t>DPT-083</t>
  </si>
  <si>
    <t>Reserved Department 084</t>
  </si>
  <si>
    <t>84</t>
  </si>
  <si>
    <t>DPT-084</t>
  </si>
  <si>
    <t>Reserved Department 085</t>
  </si>
  <si>
    <t>85</t>
  </si>
  <si>
    <t>DPT-085</t>
  </si>
  <si>
    <t>Reserved Department 086</t>
  </si>
  <si>
    <t>86</t>
  </si>
  <si>
    <t>DPT-086</t>
  </si>
  <si>
    <t>Reserved Department 087</t>
  </si>
  <si>
    <t>87</t>
  </si>
  <si>
    <t>DPT-087</t>
  </si>
  <si>
    <t>Reserved Department 088</t>
  </si>
  <si>
    <t>88</t>
  </si>
  <si>
    <t>DPT-088</t>
  </si>
  <si>
    <t>Reserved Department 089</t>
  </si>
  <si>
    <t>89</t>
  </si>
  <si>
    <t>DPT-089</t>
  </si>
  <si>
    <t>Reserved Department 090</t>
  </si>
  <si>
    <t>90</t>
  </si>
  <si>
    <t>DPT-090</t>
  </si>
  <si>
    <t>Reserved Department 091</t>
  </si>
  <si>
    <t>91</t>
  </si>
  <si>
    <t>DPT-091</t>
  </si>
  <si>
    <t>Reserved Department 092</t>
  </si>
  <si>
    <t>92</t>
  </si>
  <si>
    <t>DPT-092</t>
  </si>
  <si>
    <t>Reserved Department 093</t>
  </si>
  <si>
    <t>93</t>
  </si>
  <si>
    <t>DPT-093</t>
  </si>
  <si>
    <t>Reserved Department 094</t>
  </si>
  <si>
    <t>94</t>
  </si>
  <si>
    <t>DPT-094</t>
  </si>
  <si>
    <t>Reserved Department 095</t>
  </si>
  <si>
    <t>95</t>
  </si>
  <si>
    <t>DPT-095</t>
  </si>
  <si>
    <t>Reserved Department 096</t>
  </si>
  <si>
    <t>96</t>
  </si>
  <si>
    <t>DPT-096</t>
  </si>
  <si>
    <t>Reserved Department 097</t>
  </si>
  <si>
    <t>97</t>
  </si>
  <si>
    <t>DPT-097</t>
  </si>
  <si>
    <t>Reserved Department 098</t>
  </si>
  <si>
    <t>98</t>
  </si>
  <si>
    <t>DPT-098</t>
  </si>
  <si>
    <t>Reserved Department 099</t>
  </si>
  <si>
    <t>99</t>
  </si>
  <si>
    <t>DPT-099</t>
  </si>
  <si>
    <t>Reserved Department 100</t>
  </si>
  <si>
    <t>100</t>
  </si>
  <si>
    <t>DPT-100</t>
  </si>
  <si>
    <t>Reserved Department 101</t>
  </si>
  <si>
    <t>101</t>
  </si>
  <si>
    <t>DPT-101</t>
  </si>
  <si>
    <t>Reserved Department 102</t>
  </si>
  <si>
    <t>102</t>
  </si>
  <si>
    <t>DPT-102</t>
  </si>
  <si>
    <t>Reserved Department 103</t>
  </si>
  <si>
    <t>103</t>
  </si>
  <si>
    <t>DPT-103</t>
  </si>
  <si>
    <t>Reserved Department 104</t>
  </si>
  <si>
    <t>104</t>
  </si>
  <si>
    <t>DPT-104</t>
  </si>
  <si>
    <t>Reserved Department 105</t>
  </si>
  <si>
    <t>105</t>
  </si>
  <si>
    <t>DPT-105</t>
  </si>
  <si>
    <t>Reserved Department 106</t>
  </si>
  <si>
    <t>106</t>
  </si>
  <si>
    <t>DPT-106</t>
  </si>
  <si>
    <t>Reserved Department 107</t>
  </si>
  <si>
    <t>107</t>
  </si>
  <si>
    <t>DPT-107</t>
  </si>
  <si>
    <t>Reserved Department 108</t>
  </si>
  <si>
    <t>108</t>
  </si>
  <si>
    <t>DPT-108</t>
  </si>
  <si>
    <t>Reserved Department 109</t>
  </si>
  <si>
    <t>109</t>
  </si>
  <si>
    <t>DPT-109</t>
  </si>
  <si>
    <t>Reserved Department 110</t>
  </si>
  <si>
    <t>110</t>
  </si>
  <si>
    <t>DPT-110</t>
  </si>
  <si>
    <t>Reserved Department 111</t>
  </si>
  <si>
    <t>111</t>
  </si>
  <si>
    <t>DPT-111</t>
  </si>
  <si>
    <t>Reserved Department 112</t>
  </si>
  <si>
    <t>112</t>
  </si>
  <si>
    <t>DPT-112</t>
  </si>
  <si>
    <t>Reserved Department 113</t>
  </si>
  <si>
    <t>113</t>
  </si>
  <si>
    <t>DPT-113</t>
  </si>
  <si>
    <t>Reserved Department 114</t>
  </si>
  <si>
    <t>114</t>
  </si>
  <si>
    <t>DPT-114</t>
  </si>
  <si>
    <t>Reserved Department 115</t>
  </si>
  <si>
    <t>115</t>
  </si>
  <si>
    <t>DPT-115</t>
  </si>
  <si>
    <t>Reserved Department 116</t>
  </si>
  <si>
    <t>116</t>
  </si>
  <si>
    <t>DPT-116</t>
  </si>
  <si>
    <t>Reserved Department 117</t>
  </si>
  <si>
    <t>117</t>
  </si>
  <si>
    <t>DPT-117</t>
  </si>
  <si>
    <t>Reserved Department 118</t>
  </si>
  <si>
    <t>118</t>
  </si>
  <si>
    <t>DPT-118</t>
  </si>
  <si>
    <t>Reserved Department 119</t>
  </si>
  <si>
    <t>119</t>
  </si>
  <si>
    <t>DPT-119</t>
  </si>
  <si>
    <t>Reserved Department 120</t>
  </si>
  <si>
    <t>120</t>
  </si>
  <si>
    <t>DPT-120</t>
  </si>
  <si>
    <t>Reserved Department 121</t>
  </si>
  <si>
    <t>121</t>
  </si>
  <si>
    <t>DPT-121</t>
  </si>
  <si>
    <t>Reserved Department 122</t>
  </si>
  <si>
    <t>122</t>
  </si>
  <si>
    <t>DPT-122</t>
  </si>
  <si>
    <t>Reserved Department 123</t>
  </si>
  <si>
    <t>123</t>
  </si>
  <si>
    <t>DPT-123</t>
  </si>
  <si>
    <t>Reserved Department 124</t>
  </si>
  <si>
    <t>124</t>
  </si>
  <si>
    <t>DPT-124</t>
  </si>
  <si>
    <t>Reserved Department 125</t>
  </si>
  <si>
    <t>125</t>
  </si>
  <si>
    <t>DPT-125</t>
  </si>
  <si>
    <t>Reserved Department 126</t>
  </si>
  <si>
    <t>126</t>
  </si>
  <si>
    <t>DPT-126</t>
  </si>
  <si>
    <t>Reserved Department 127</t>
  </si>
  <si>
    <t>127</t>
  </si>
  <si>
    <t>DPT-127</t>
  </si>
  <si>
    <t>Reserved Department 128</t>
  </si>
  <si>
    <t>128</t>
  </si>
  <si>
    <t>DPT-128</t>
  </si>
  <si>
    <t>Reserved Department 129</t>
  </si>
  <si>
    <t>129</t>
  </si>
  <si>
    <t>DPT-129</t>
  </si>
  <si>
    <t>Reserved Department 130</t>
  </si>
  <si>
    <t>130</t>
  </si>
  <si>
    <t>DPT-130</t>
  </si>
  <si>
    <t>Reserved Department 131</t>
  </si>
  <si>
    <t>131</t>
  </si>
  <si>
    <t>DPT-131</t>
  </si>
  <si>
    <t>Reserved Department 132</t>
  </si>
  <si>
    <t>132</t>
  </si>
  <si>
    <t>DPT-132</t>
  </si>
  <si>
    <t>Reserved Department 133</t>
  </si>
  <si>
    <t>133</t>
  </si>
  <si>
    <t>DPT-133</t>
  </si>
  <si>
    <t>Reserved Department 134</t>
  </si>
  <si>
    <t>134</t>
  </si>
  <si>
    <t>DPT-134</t>
  </si>
  <si>
    <t>Reserved Department 135</t>
  </si>
  <si>
    <t>135</t>
  </si>
  <si>
    <t>DPT-135</t>
  </si>
  <si>
    <t>Reserved Department 136</t>
  </si>
  <si>
    <t>136</t>
  </si>
  <si>
    <t>DPT-136</t>
  </si>
  <si>
    <t>Reserved Department 137</t>
  </si>
  <si>
    <t>137</t>
  </si>
  <si>
    <t>DPT-137</t>
  </si>
  <si>
    <t>Reserved Department 138</t>
  </si>
  <si>
    <t>138</t>
  </si>
  <si>
    <t>DPT-138</t>
  </si>
  <si>
    <t>Reserved Department 139</t>
  </si>
  <si>
    <t>139</t>
  </si>
  <si>
    <t>DPT-139</t>
  </si>
  <si>
    <t>Reserved Department 140</t>
  </si>
  <si>
    <t>140</t>
  </si>
  <si>
    <t>DPT-140</t>
  </si>
  <si>
    <t>Reserved Department 141</t>
  </si>
  <si>
    <t>141</t>
  </si>
  <si>
    <t>DPT-141</t>
  </si>
  <si>
    <t>Reserved Department 142</t>
  </si>
  <si>
    <t>142</t>
  </si>
  <si>
    <t>DPT-142</t>
  </si>
  <si>
    <t>Reserved Department 143</t>
  </si>
  <si>
    <t>143</t>
  </si>
  <si>
    <t>DPT-143</t>
  </si>
  <si>
    <t>Reserved Department 144</t>
  </si>
  <si>
    <t>144</t>
  </si>
  <si>
    <t>DPT-144</t>
  </si>
  <si>
    <t>Reserved Department 145</t>
  </si>
  <si>
    <t>145</t>
  </si>
  <si>
    <t>DPT-145</t>
  </si>
  <si>
    <t>Reserved Department 146</t>
  </si>
  <si>
    <t>146</t>
  </si>
  <si>
    <t>DPT-146</t>
  </si>
  <si>
    <t>Reserved Department 147</t>
  </si>
  <si>
    <t>147</t>
  </si>
  <si>
    <t>DPT-147</t>
  </si>
  <si>
    <t>Reserved Department 148</t>
  </si>
  <si>
    <t>148</t>
  </si>
  <si>
    <t>DPT-148</t>
  </si>
  <si>
    <t>Reserved Department 149</t>
  </si>
  <si>
    <t>149</t>
  </si>
  <si>
    <t>DPT-149</t>
  </si>
  <si>
    <t>Reserved Department 150</t>
  </si>
  <si>
    <t>150</t>
  </si>
  <si>
    <t>DPT-150</t>
  </si>
  <si>
    <t>RAH.01 Administration Dashboard</t>
  </si>
  <si>
    <t>hazard_count</t>
  </si>
  <si>
    <t>assessment_status</t>
  </si>
  <si>
    <t>department_count</t>
  </si>
  <si>
    <t>assessment_id_hidden</t>
  </si>
  <si>
    <t>dashboard_review_capacity</t>
  </si>
  <si>
    <t>total_risk_score</t>
  </si>
  <si>
    <t>latest_department_assessment_rank</t>
  </si>
  <si>
    <t>latest_assessment_total_risk</t>
  </si>
  <si>
    <t>top_risk_rank</t>
  </si>
  <si>
    <t>review_sort_rank</t>
  </si>
  <si>
    <t>Total assessments</t>
  </si>
  <si>
    <t>Submitted</t>
  </si>
  <si>
    <t>In review</t>
  </si>
  <si>
    <t>High risk (6–9)</t>
  </si>
  <si>
    <t>Biological</t>
  </si>
  <si>
    <t>Chemical</t>
  </si>
  <si>
    <t>Ergonomic</t>
  </si>
  <si>
    <t>Fire / disaster</t>
  </si>
  <si>
    <t>Indoor air</t>
  </si>
  <si>
    <t>Physical</t>
  </si>
  <si>
    <t>Psychosocial</t>
  </si>
  <si>
    <t>Safety / accident</t>
  </si>
  <si>
    <t>Department review index — sorted by department name</t>
  </si>
  <si>
    <t>No.</t>
  </si>
  <si>
    <t>Department name</t>
  </si>
  <si>
    <t>Total staff</t>
  </si>
  <si>
    <t>Status</t>
  </si>
  <si>
    <t>Peak score</t>
  </si>
  <si>
    <t>Risk level</t>
  </si>
  <si>
    <t>Assessment date</t>
  </si>
  <si>
    <t>Report number</t>
  </si>
  <si>
    <t>Required action</t>
  </si>
  <si>
    <t>Google Sheets-ready dashboard</t>
  </si>
  <si>
    <t>เรียงตามเวลาที่ส่งข้อมูลมา</t>
  </si>
  <si>
    <t>Admin สามารถปรับ `status` แต่ละแผนกได้</t>
  </si>
  <si>
    <t>ไฟล์แนบอยู่ใน google drive</t>
  </si>
  <si>
    <t>บันทึกประวัติการทำงานของ Admin</t>
  </si>
  <si>
    <t>ใส่ชื่อโรงพยาบาลของคุณ</t>
  </si>
  <si>
    <t>ตั้งชื่อหน่วยงานในโรงพยาบาลของคุณ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</si>
</sst>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yyyy\-mm\-dd\ hh:mm"/>
    <numFmt numFmtId="166" formatCode="[=1]&quot;Active&quot;;[=0]&quot;Inactive&quot;;General"/>
  </numFmts>
  <fonts count="12">
    <font>
      <sz val="11"/>
      <name val="Carlito"/>
    </font>
    <font>
      <b/>
      <sz val="15"/>
      <color rgb="FFFFFFFF"/>
      <name val="Aptos"/>
    </font>
    <font>
      <i/>
      <sz val="10"/>
      <color rgb="FF52656D"/>
      <name val="Aptos"/>
    </font>
    <font>
      <sz val="10"/>
      <color rgb="FF24343A"/>
      <name val="Aptos"/>
    </font>
    <font>
      <b/>
      <sz val="10"/>
      <color rgb="FFFFFFFF"/>
      <name val="Aptos"/>
    </font>
    <font>
      <b/>
      <sz val="10"/>
      <color rgb="FF103B4C"/>
      <name val="Aptos"/>
    </font>
    <font>
      <b/>
      <sz val="14"/>
      <color rgb="FFFFFFFF"/>
      <name val="Aptos Display"/>
    </font>
    <font>
      <b/>
      <sz val="10"/>
      <color rgb="FF24343A"/>
      <name val="Aptos"/>
    </font>
    <font>
      <b/>
      <sz val="11"/>
      <color rgb="FF24343A"/>
      <name val="Aptos"/>
    </font>
    <font>
      <b/>
      <sz val="17"/>
      <color rgb="FFFFFFFF"/>
      <name val="Aptos Display"/>
    </font>
    <font>
      <b/>
      <sz val="22"/>
      <color rgb="FF103B4C"/>
      <name val="Aptos Display"/>
    </font>
    <font>
      <b/>
      <sz val="12"/>
      <color rgb="FFFFFFFF"/>
      <name val="Aptos"/>
    </font>
  </fonts>
  <fills count="9">
    <fill>
      <patternFill patternType="none"/>
    </fill>
    <fill>
      <patternFill patternType="gray125"/>
    </fill>
    <fill>
      <patternFill patternType="solid">
        <fgColor rgb="FF103B4C"/>
      </patternFill>
    </fill>
    <fill>
      <patternFill patternType="solid">
        <fgColor rgb="FFEAF2F4"/>
      </patternFill>
    </fill>
    <fill>
      <patternFill patternType="solid">
        <fgColor rgb="FF1E6F7A"/>
      </patternFill>
    </fill>
    <fill>
      <patternFill patternType="solid">
        <fgColor rgb="FFFFF8D6"/>
      </patternFill>
    </fill>
    <fill>
      <patternFill patternType="solid">
        <fgColor rgb="FFE8F2FA"/>
      </patternFill>
    </fill>
    <fill>
      <patternFill patternType="solid">
        <fgColor rgb="FFEEF3F6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 style="thin">
        <color rgb="FF1E6F7A"/>
      </left>
      <right/>
      <top style="thin">
        <color rgb="FF1E6F7A"/>
      </top>
      <bottom style="thin">
        <color rgb="FF1E6F7A"/>
      </bottom>
      <diagonal/>
    </border>
    <border>
      <left/>
      <right/>
      <top style="thin">
        <color rgb="FF1E6F7A"/>
      </top>
      <bottom style="thin">
        <color rgb="FF1E6F7A"/>
      </bottom>
      <diagonal/>
    </border>
    <border>
      <left/>
      <right style="thin">
        <color rgb="FF1E6F7A"/>
      </right>
      <top style="thin">
        <color rgb="FF1E6F7A"/>
      </top>
      <bottom style="thin">
        <color rgb="FF1E6F7A"/>
      </bottom>
      <diagonal/>
    </border>
    <border>
      <left style="thin">
        <color rgb="FFCFDDE1"/>
      </left>
      <right/>
      <top style="thin">
        <color rgb="FFCFDDE1"/>
      </top>
      <bottom/>
      <diagonal/>
    </border>
    <border>
      <left/>
      <right/>
      <top style="thin">
        <color rgb="FFCFDDE1"/>
      </top>
      <bottom/>
      <diagonal/>
    </border>
    <border>
      <left/>
      <right style="thin">
        <color rgb="FFCFDDE1"/>
      </right>
      <top style="thin">
        <color rgb="FFCFDDE1"/>
      </top>
      <bottom/>
      <diagonal/>
    </border>
    <border>
      <left style="thin">
        <color rgb="FFCFDDE1"/>
      </left>
      <right/>
      <top/>
      <bottom style="thin">
        <color rgb="FFCFDDE1"/>
      </bottom>
      <diagonal/>
    </border>
    <border>
      <left/>
      <right/>
      <top/>
      <bottom style="thin">
        <color rgb="FFCFDDE1"/>
      </bottom>
      <diagonal/>
    </border>
    <border>
      <left/>
      <right style="thin">
        <color rgb="FFCFDDE1"/>
      </right>
      <top/>
      <bottom style="thin">
        <color rgb="FFCFDDE1"/>
      </bottom>
      <diagonal/>
    </border>
    <border>
      <left/>
      <right/>
      <top style="thin">
        <color rgb="FFCFDDE1"/>
      </top>
      <bottom style="thin">
        <color rgb="FFCFDDE1"/>
      </bottom>
      <diagonal/>
    </border>
    <border>
      <left/>
      <right/>
      <top/>
      <bottom style="thin">
        <color rgb="FF1E6F7A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  <xf numFmtId="0" fontId="5" fillId="6" borderId="0" xfId="0" applyFont="1" applyFill="1" applyAlignment="1">
      <alignment vertical="top" wrapText="1"/>
    </xf>
    <xf numFmtId="0" fontId="3" fillId="5" borderId="0" xfId="0" applyFont="1" applyFill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0" xfId="0" applyFont="1" applyFill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5" borderId="0" xfId="0" applyFont="1" applyFill="1" applyAlignment="1">
      <alignment vertical="top" wrapText="1"/>
    </xf>
    <xf numFmtId="164" fontId="3" fillId="5" borderId="0" xfId="0" applyNumberFormat="1" applyFont="1" applyFill="1" applyAlignment="1">
      <alignment vertical="top" wrapText="1"/>
    </xf>
    <xf numFmtId="165" fontId="3" fillId="6" borderId="0" xfId="0" applyNumberFormat="1" applyFont="1" applyFill="1" applyAlignment="1">
      <alignment vertical="top" wrapText="1"/>
    </xf>
    <xf numFmtId="1" fontId="3" fillId="5" borderId="0" xfId="0" applyNumberFormat="1" applyFont="1" applyFill="1" applyAlignment="1">
      <alignment vertical="top" wrapText="1"/>
    </xf>
    <xf numFmtId="1" fontId="3" fillId="6" borderId="0" xfId="0" applyNumberFormat="1" applyFont="1" applyFill="1" applyAlignment="1">
      <alignment vertical="top" wrapText="1"/>
    </xf>
    <xf numFmtId="164" fontId="3" fillId="6" borderId="0" xfId="0" applyNumberFormat="1" applyFont="1" applyFill="1" applyAlignment="1">
      <alignment vertical="top" wrapText="1"/>
    </xf>
    <xf numFmtId="165" fontId="3" fillId="5" borderId="0" xfId="0" applyNumberFormat="1" applyFont="1" applyFill="1" applyAlignment="1">
      <alignment vertical="top" wrapText="1"/>
    </xf>
    <xf numFmtId="166" fontId="3" fillId="5" borderId="0" xfId="0" applyNumberFormat="1" applyFont="1" applyFill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4" borderId="0" xfId="0" applyFont="1" applyFill="1" applyAlignment="1">
      <alignment vertical="center"/>
    </xf>
    <xf numFmtId="0" fontId="7" fillId="7" borderId="0" xfId="0" applyFont="1" applyFill="1" applyAlignment="1">
      <alignment vertical="center"/>
    </xf>
    <xf numFmtId="0" fontId="8" fillId="5" borderId="0" xfId="0" applyFont="1" applyFill="1" applyAlignment="1">
      <alignment vertical="center"/>
    </xf>
    <xf numFmtId="0" fontId="4" fillId="4" borderId="0" xfId="0" applyFont="1" applyFill="1" applyAlignment="1">
      <alignment horizontal="center" vertical="center" wrapText="1"/>
    </xf>
    <xf numFmtId="0" fontId="3" fillId="0" borderId="8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5" fillId="0" borderId="8" xfId="0" applyFont="1" applyBorder="1" applyAlignment="1">
      <alignment vertical="center" wrapText="1"/>
    </xf>
    <xf numFmtId="0" fontId="5" fillId="0" borderId="10" xfId="0" applyFont="1" applyBorder="1" applyAlignment="1">
      <alignment vertical="center" wrapText="1"/>
    </xf>
    <xf numFmtId="164" fontId="3" fillId="0" borderId="8" xfId="0" applyNumberFormat="1" applyFont="1" applyBorder="1" applyAlignment="1">
      <alignment vertical="center" wrapText="1"/>
    </xf>
    <xf numFmtId="164" fontId="3" fillId="0" borderId="10" xfId="0" applyNumberFormat="1" applyFont="1" applyBorder="1" applyAlignment="1">
      <alignment vertical="center" wrapText="1"/>
    </xf>
    <xf numFmtId="0" fontId="11" fillId="2" borderId="0" xfId="0" applyFont="1" applyFill="1"/>
    <xf numFmtId="0" fontId="9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10" fillId="8" borderId="7" xfId="0" applyFont="1" applyFill="1" applyBorder="1" applyAlignment="1">
      <alignment horizontal="center" vertical="center"/>
    </xf>
    <xf numFmtId="0" fontId="10" fillId="8" borderId="8" xfId="0" applyFont="1" applyFill="1" applyBorder="1" applyAlignment="1">
      <alignment horizontal="center" vertical="center"/>
    </xf>
    <xf numFmtId="0" fontId="10" fillId="8" borderId="9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2" fillId="3" borderId="11" xfId="0" applyFont="1" applyFill="1" applyBorder="1" applyAlignment="1">
      <alignment vertical="center" wrapText="1"/>
    </xf>
  </cellXfs>
  <cellStyles count="1">
    <cellStyle name="Normal" xfId="0" builtinId="0"/>
  </cellStyles>
  <dxfs count="10"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52656D"/>
      </font>
      <fill>
        <patternFill patternType="solid">
          <bgColor rgb="FFEEF3F6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Total Hazards Identified by Category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hazard_count</c:v>
          </c:tx>
          <c:invertIfNegative val="1"/>
          <c:cat>
            <c:strRef>
              <c:f>'Admin Dashboard'!$N$4:$N$11</c:f>
              <c:strCache>
                <c:ptCount val="8"/>
                <c:pt idx="0">
                  <c:v>Biological</c:v>
                </c:pt>
                <c:pt idx="1">
                  <c:v>Chemical</c:v>
                </c:pt>
                <c:pt idx="2">
                  <c:v>Ergonomic</c:v>
                </c:pt>
                <c:pt idx="3">
                  <c:v>Fire / disaster</c:v>
                </c:pt>
                <c:pt idx="4">
                  <c:v>Indoor air</c:v>
                </c:pt>
                <c:pt idx="5">
                  <c:v>Physical</c:v>
                </c:pt>
                <c:pt idx="6">
                  <c:v>Psychosocial</c:v>
                </c:pt>
                <c:pt idx="7">
                  <c:v>Safety / accident</c:v>
                </c:pt>
              </c:strCache>
            </c:strRef>
          </c:cat>
          <c:val>
            <c:numRef>
              <c:f>'Admin Dashboard'!$O$4:$O$11</c:f>
              <c:numCache>
                <c:formatCode>General</c:formatCode>
                <c:ptCount val="8"/>
                <c:pt idx="0">
                  <c:v>62</c:v>
                </c:pt>
                <c:pt idx="1">
                  <c:v>15</c:v>
                </c:pt>
                <c:pt idx="2">
                  <c:v>140</c:v>
                </c:pt>
                <c:pt idx="3">
                  <c:v>33</c:v>
                </c:pt>
                <c:pt idx="4">
                  <c:v>35</c:v>
                </c:pt>
                <c:pt idx="5">
                  <c:v>43</c:v>
                </c:pt>
                <c:pt idx="6">
                  <c:v>79</c:v>
                </c:pt>
                <c:pt idx="7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EE-1443-BF67-FC8712D4D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axMin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Hazard Category</a:t>
                </a:r>
              </a:p>
            </c:rich>
          </c:tx>
          <c:layout>
            <c:manualLayout>
              <c:xMode val="edge"/>
              <c:yMode val="edge"/>
              <c:x val="2.1737848770756033E-2"/>
              <c:y val="0.1435714376533713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TH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t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Number of Identified Hazards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0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Risk Assessment Progress Across Departments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department_count</c:v>
          </c:tx>
          <c:invertIfNegative val="1"/>
          <c:cat>
            <c:strRef>
              <c:f>'Admin Dashboard'!$Q$4:$Q$7</c:f>
              <c:strCache>
                <c:ptCount val="4"/>
                <c:pt idx="0">
                  <c:v>CLOSED</c:v>
                </c:pt>
                <c:pt idx="1">
                  <c:v>SUBMITTED</c:v>
                </c:pt>
                <c:pt idx="2">
                  <c:v>IN_REVIEW</c:v>
                </c:pt>
                <c:pt idx="3">
                  <c:v>RETURNED</c:v>
                </c:pt>
              </c:strCache>
            </c:strRef>
          </c:cat>
          <c:val>
            <c:numRef>
              <c:f>'Admin Dashboard'!$R$4:$R$7</c:f>
              <c:numCache>
                <c:formatCode>General</c:formatCode>
                <c:ptCount val="4"/>
                <c:pt idx="0">
                  <c:v>28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91-D541-8C48-06F3A86F3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Assessment Status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TH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Number of Departments</a:t>
                </a:r>
              </a:p>
            </c:rich>
          </c:tx>
          <c:layout>
            <c:manualLayout>
              <c:xMode val="edge"/>
              <c:yMode val="edge"/>
              <c:x val="2.6970231389912901E-2"/>
              <c:y val="0.21283343428225313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0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Top 10 High-Risk Departments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total_risk_score</c:v>
          </c:tx>
          <c:invertIfNegative val="1"/>
          <c:cat>
            <c:strRef>
              <c:f>'Admin Dashboard'!$AE$4:$AE$13</c:f>
              <c:strCache>
                <c:ptCount val="10"/>
                <c:pt idx="0">
                  <c:v>Operating Theatre</c:v>
                </c:pt>
                <c:pt idx="1">
                  <c:v>Vaccination Clinic</c:v>
                </c:pt>
                <c:pt idx="2">
                  <c:v>Ward 1</c:v>
                </c:pt>
                <c:pt idx="3">
                  <c:v>Anaesthesia</c:v>
                </c:pt>
                <c:pt idx="4">
                  <c:v>Child Development</c:v>
                </c:pt>
                <c:pt idx="5">
                  <c:v>Health Promotion</c:v>
                </c:pt>
                <c:pt idx="6">
                  <c:v>Laboratory</c:v>
                </c:pt>
                <c:pt idx="7">
                  <c:v>Laundry</c:v>
                </c:pt>
                <c:pt idx="8">
                  <c:v>Outpatient Department</c:v>
                </c:pt>
                <c:pt idx="9">
                  <c:v>Paediatrics</c:v>
                </c:pt>
              </c:strCache>
            </c:strRef>
          </c:cat>
          <c:val>
            <c:numRef>
              <c:f>'Admin Dashboard'!$AF$4:$AF$13</c:f>
              <c:numCache>
                <c:formatCode>General</c:formatCode>
                <c:ptCount val="10"/>
                <c:pt idx="0">
                  <c:v>63</c:v>
                </c:pt>
                <c:pt idx="1">
                  <c:v>63</c:v>
                </c:pt>
                <c:pt idx="2">
                  <c:v>63</c:v>
                </c:pt>
                <c:pt idx="3">
                  <c:v>57</c:v>
                </c:pt>
                <c:pt idx="4">
                  <c:v>57</c:v>
                </c:pt>
                <c:pt idx="5">
                  <c:v>57</c:v>
                </c:pt>
                <c:pt idx="6">
                  <c:v>57</c:v>
                </c:pt>
                <c:pt idx="7">
                  <c:v>57</c:v>
                </c:pt>
                <c:pt idx="8">
                  <c:v>57</c:v>
                </c:pt>
                <c:pt idx="9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B8-8349-8AF0-336DA6AFA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axMin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Department</a:t>
                </a:r>
              </a:p>
            </c:rich>
          </c:tx>
          <c:layout>
            <c:manualLayout>
              <c:xMode val="edge"/>
              <c:yMode val="edge"/>
              <c:x val="2.9501913928746858E-2"/>
              <c:y val="0.243341813042600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00"/>
            </a:pPr>
            <a:endParaRPr lang="en-TH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t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Total Risk 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0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4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7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7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Assessments" displayName="tblAssessments" ref="A3:O73" totalsRowShown="0">
  <autoFilter ref="A3:O73" xr:uid="{00000000-0009-0000-0100-000001000000}"/>
  <tableColumns count="15">
    <tableColumn id="1" xr3:uid="{00000000-0010-0000-0000-000001000000}" name="department_name"/>
    <tableColumn id="2" xr3:uid="{00000000-0010-0000-0000-000002000000}" name="assessment_date"/>
    <tableColumn id="3" xr3:uid="{00000000-0010-0000-0000-000003000000}" name="status"/>
    <tableColumn id="4" xr3:uid="{00000000-0010-0000-0000-000004000000}" name="evaluator_name"/>
    <tableColumn id="5" xr3:uid="{00000000-0010-0000-0000-000005000000}" name="additional_evaluators"/>
    <tableColumn id="6" xr3:uid="{00000000-0010-0000-0000-000006000000}" name="total_staff_count"/>
    <tableColumn id="7" xr3:uid="{00000000-0010-0000-0000-000007000000}" name="overall_risk_score"/>
    <tableColumn id="8" xr3:uid="{00000000-0010-0000-0000-000008000000}" name="overall_risk_level"/>
    <tableColumn id="9" xr3:uid="{00000000-0010-0000-0000-000009000000}" name="report_number"/>
    <tableColumn id="10" xr3:uid="{00000000-0010-0000-0000-00000A000000}" name="submitted_at"/>
    <tableColumn id="11" xr3:uid="{00000000-0010-0000-0000-00000B000000}" name="department_code"/>
    <tableColumn id="12" xr3:uid="{00000000-0010-0000-0000-00000C000000}" name="department_id"/>
    <tableColumn id="13" xr3:uid="{00000000-0010-0000-0000-00000D000000}" name="assessment_id"/>
    <tableColumn id="14" xr3:uid="{00000000-0010-0000-0000-00000E000000}" name="schema_version"/>
    <tableColumn id="15" xr3:uid="{00000000-0010-0000-0000-00000F000000}" name="form_vers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Checklist" displayName="tblChecklist" ref="A3:I703" totalsRowShown="0">
  <autoFilter ref="A3:I703" xr:uid="{00000000-0009-0000-0100-000002000000}"/>
  <tableColumns count="9">
    <tableColumn id="1" xr3:uid="{00000000-0010-0000-0100-000001000000}" name="department_name"/>
    <tableColumn id="2" xr3:uid="{00000000-0010-0000-0100-000002000000}" name="assessment_date"/>
    <tableColumn id="3" xr3:uid="{00000000-0010-0000-0100-000003000000}" name="report_number"/>
    <tableColumn id="4" xr3:uid="{00000000-0010-0000-0100-000004000000}" name="item_order"/>
    <tableColumn id="5" xr3:uid="{00000000-0010-0000-0100-000005000000}" name="item_label_en"/>
    <tableColumn id="6" xr3:uid="{00000000-0010-0000-0100-000006000000}" name="status"/>
    <tableColumn id="7" xr3:uid="{00000000-0010-0000-0100-000007000000}" name="item_key"/>
    <tableColumn id="8" xr3:uid="{00000000-0010-0000-0100-000008000000}" name="assessment_id"/>
    <tableColumn id="9" xr3:uid="{00000000-0010-0000-0100-000009000000}" name="checklist_response_i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WorkSteps" displayName="tblWorkSteps" ref="A3:J210" totalsRowShown="0">
  <autoFilter ref="A3:J210" xr:uid="{00000000-0009-0000-0100-000003000000}"/>
  <tableColumns count="10">
    <tableColumn id="1" xr3:uid="{00000000-0010-0000-0200-000001000000}" name="department_name"/>
    <tableColumn id="2" xr3:uid="{00000000-0010-0000-0200-000002000000}" name="assessment_date"/>
    <tableColumn id="3" xr3:uid="{00000000-0010-0000-0200-000003000000}" name="report_number"/>
    <tableColumn id="4" xr3:uid="{00000000-0010-0000-0200-000004000000}" name="step_order"/>
    <tableColumn id="5" xr3:uid="{00000000-0010-0000-0200-000005000000}" name="work_step"/>
    <tableColumn id="6" xr3:uid="{00000000-0010-0000-0200-000006000000}" name="primary_hazards"/>
    <tableColumn id="7" xr3:uid="{00000000-0010-0000-0200-000007000000}" name="work_duration"/>
    <tableColumn id="8" xr3:uid="{00000000-0010-0000-0200-000008000000}" name="staff_involved_count"/>
    <tableColumn id="9" xr3:uid="{00000000-0010-0000-0200-000009000000}" name="assessment_id"/>
    <tableColumn id="10" xr3:uid="{00000000-0010-0000-0200-00000A000000}" name="work_step_i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Hazards" displayName="tblHazards" ref="A3:U488" totalsRowShown="0">
  <autoFilter ref="A3:U488" xr:uid="{00000000-0009-0000-0100-000004000000}"/>
  <tableColumns count="21">
    <tableColumn id="1" xr3:uid="{00000000-0010-0000-0300-000001000000}" name="department_name"/>
    <tableColumn id="2" xr3:uid="{00000000-0010-0000-0300-000002000000}" name="assessment_date"/>
    <tableColumn id="3" xr3:uid="{00000000-0010-0000-0300-000003000000}" name="report_number"/>
    <tableColumn id="4" xr3:uid="{00000000-0010-0000-0300-000004000000}" name="hazard_order"/>
    <tableColumn id="5" xr3:uid="{00000000-0010-0000-0300-000005000000}" name="category_label_en"/>
    <tableColumn id="6" xr3:uid="{00000000-0010-0000-0300-000006000000}" name="hazard_label_en"/>
    <tableColumn id="7" xr3:uid="{00000000-0010-0000-0300-000007000000}" name="exposed_staff_count"/>
    <tableColumn id="8" xr3:uid="{00000000-0010-0000-0300-000008000000}" name="exposed_client_count"/>
    <tableColumn id="9" xr3:uid="{00000000-0010-0000-0300-000009000000}" name="exposure_score_a"/>
    <tableColumn id="10" xr3:uid="{00000000-0010-0000-0300-00000A000000}" name="severity_score_b"/>
    <tableColumn id="11" xr3:uid="{00000000-0010-0000-0300-00000B000000}" name="risk_score_c"/>
    <tableColumn id="12" xr3:uid="{00000000-0010-0000-0300-00000C000000}" name="risk_level"/>
    <tableColumn id="13" xr3:uid="{00000000-0010-0000-0300-00000D000000}" name="existing_controls"/>
    <tableColumn id="14" xr3:uid="{00000000-0010-0000-0300-00000E000000}" name="has_attachment"/>
    <tableColumn id="15" xr3:uid="{00000000-0010-0000-0300-00000F000000}" name="category_code"/>
    <tableColumn id="16" xr3:uid="{00000000-0010-0000-0300-000010000000}" name="hazard_key"/>
    <tableColumn id="17" xr3:uid="{00000000-0010-0000-0300-000011000000}" name="custom_title"/>
    <tableColumn id="18" xr3:uid="{00000000-0010-0000-0300-000012000000}" name="has_risk"/>
    <tableColumn id="19" xr3:uid="{00000000-0010-0000-0300-000013000000}" name="assessment_id"/>
    <tableColumn id="20" xr3:uid="{00000000-0010-0000-0300-000014000000}" name="hazard_evaluation_id"/>
    <tableColumn id="21" xr3:uid="{00000000-0010-0000-0300-000015000000}" name="has_exposur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Attachments" displayName="tblAttachments" ref="A3:M89" totalsRowShown="0">
  <autoFilter ref="A3:M89" xr:uid="{00000000-0009-0000-0100-000005000000}"/>
  <tableColumns count="13">
    <tableColumn id="1" xr3:uid="{00000000-0010-0000-0400-000001000000}" name="department_name"/>
    <tableColumn id="2" xr3:uid="{00000000-0010-0000-0400-000002000000}" name="assessment_date"/>
    <tableColumn id="3" xr3:uid="{00000000-0010-0000-0400-000003000000}" name="report_number"/>
    <tableColumn id="4" xr3:uid="{00000000-0010-0000-0400-000004000000}" name="file_name"/>
    <tableColumn id="5" xr3:uid="{00000000-0010-0000-0400-000005000000}" name="mime_type"/>
    <tableColumn id="6" xr3:uid="{00000000-0010-0000-0400-000006000000}" name="size_bytes"/>
    <tableColumn id="7" xr3:uid="{00000000-0010-0000-0400-000007000000}" name="uploaded_at"/>
    <tableColumn id="8" xr3:uid="{00000000-0010-0000-0400-000008000000}" name="drive_url"/>
    <tableColumn id="9" xr3:uid="{00000000-0010-0000-0400-000009000000}" name="last_modified"/>
    <tableColumn id="10" xr3:uid="{00000000-0010-0000-0400-00000A000000}" name="drive_file_id"/>
    <tableColumn id="11" xr3:uid="{00000000-0010-0000-0400-00000B000000}" name="assessment_id"/>
    <tableColumn id="12" xr3:uid="{00000000-0010-0000-0400-00000C000000}" name="hazard_evaluation_id"/>
    <tableColumn id="13" xr3:uid="{00000000-0010-0000-0400-00000D000000}" name="attachment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AdminLog" displayName="tblAdminLog" ref="A3:I171" totalsRowShown="0">
  <autoFilter ref="A3:I171" xr:uid="{00000000-0009-0000-0100-000006000000}"/>
  <tableColumns count="9">
    <tableColumn id="1" xr3:uid="{00000000-0010-0000-0500-000001000000}" name="department_name"/>
    <tableColumn id="2" xr3:uid="{00000000-0010-0000-0500-000002000000}" name="assessment_date"/>
    <tableColumn id="3" xr3:uid="{00000000-0010-0000-0500-000003000000}" name="report_number"/>
    <tableColumn id="4" xr3:uid="{00000000-0010-0000-0500-000004000000}" name="event_at"/>
    <tableColumn id="5" xr3:uid="{00000000-0010-0000-0500-000005000000}" name="event_type"/>
    <tableColumn id="6" xr3:uid="{00000000-0010-0000-0500-000006000000}" name="actor"/>
    <tableColumn id="7" xr3:uid="{00000000-0010-0000-0500-000007000000}" name="admin_note"/>
    <tableColumn id="8" xr3:uid="{00000000-0010-0000-0500-000008000000}" name="assessment_id"/>
    <tableColumn id="9" xr3:uid="{00000000-0010-0000-0500-000009000000}" name="log_i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Departments" displayName="tblDepartments" ref="A3:E153" totalsRowShown="0">
  <autoFilter ref="A3:E153" xr:uid="{00000000-0009-0000-0100-000007000000}"/>
  <tableColumns count="5">
    <tableColumn id="1" xr3:uid="{00000000-0010-0000-0600-000001000000}" name="department_name"/>
    <tableColumn id="2" xr3:uid="{00000000-0010-0000-0600-000002000000}" name="department_code"/>
    <tableColumn id="3" xr3:uid="{00000000-0010-0000-0600-000003000000}" name="active"/>
    <tableColumn id="4" xr3:uid="{00000000-0010-0000-0600-000004000000}" name="sort_order"/>
    <tableColumn id="5" xr3:uid="{00000000-0010-0000-0600-000005000000}" name="department_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3"/>
  <sheetViews>
    <sheetView showGridLines="0" zoomScale="168" workbookViewId="0">
      <pane xSplit="1" ySplit="3" topLeftCell="B4" activePane="bottomRight" state="frozen"/>
      <selection pane="topRight"/>
      <selection pane="bottomLeft"/>
      <selection pane="bottomRight" activeCell="A3" sqref="A3"/>
    </sheetView>
  </sheetViews>
  <sheetFormatPr baseColWidth="10" defaultColWidth="8.83203125" defaultRowHeight="15"/>
  <cols>
    <col min="1" max="1" width="32" customWidth="1"/>
    <col min="2" max="3" width="16" customWidth="1"/>
    <col min="4" max="4" width="28" customWidth="1"/>
    <col min="5" max="5" width="30" customWidth="1"/>
    <col min="6" max="8" width="16" customWidth="1"/>
    <col min="9" max="9" width="19" customWidth="1"/>
    <col min="10" max="10" width="20" customWidth="1"/>
    <col min="11" max="12" width="18" customWidth="1"/>
    <col min="13" max="13" width="20" customWidth="1"/>
    <col min="14" max="14" width="23" customWidth="1"/>
    <col min="15" max="15" width="16" customWidth="1"/>
  </cols>
  <sheetData>
    <row r="1" spans="1:15" ht="28" customHeight="1">
      <c r="A1" s="38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</row>
    <row r="2" spans="1:15" ht="32" customHeight="1">
      <c r="A2" s="40" t="s">
        <v>3096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</row>
    <row r="3" spans="1:15" ht="34" customHeight="1">
      <c r="A3" s="1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3" t="s">
        <v>15</v>
      </c>
    </row>
    <row r="4" spans="1:15" ht="30">
      <c r="A4" s="7" t="s">
        <v>16</v>
      </c>
      <c r="B4" s="11">
        <v>46026</v>
      </c>
      <c r="C4" s="4" t="s">
        <v>17</v>
      </c>
      <c r="D4" s="4" t="s">
        <v>18</v>
      </c>
      <c r="E4" s="4"/>
      <c r="F4" s="13">
        <v>13</v>
      </c>
      <c r="G4" s="14">
        <f>IF(M4="","",IF(COUNTIFS('04 Hazards'!$S$4:$S$1000,M4,'04 Hazards'!$R$4:$R$1000,TRUE,'04 Hazards'!$U$4:$U$1000,TRUE,'04 Hazards'!$K$4:$K$1000,"&gt;=1")=0,"",IF(COUNTIFS('04 Hazards'!$S$4:$S$1000,M4,'04 Hazards'!$R$4:$R$1000,TRUE,'04 Hazards'!$U$4:$U$1000,TRUE,'04 Hazards'!$K$4:$K$1000,"&gt;=9")&gt;0,9,IF(COUNTIFS('04 Hazards'!$S$4:$S$1000,M4,'04 Hazards'!$R$4:$R$1000,TRUE,'04 Hazards'!$U$4:$U$1000,TRUE,'04 Hazards'!$K$4:$K$1000,"&gt;=6")&gt;0,6,IF(COUNTIFS('04 Hazards'!$S$4:$S$1000,M4,'04 Hazards'!$R$4:$R$1000,TRUE,'04 Hazards'!$U$4:$U$1000,TRUE,'04 Hazards'!$K$4:$K$1000,"&gt;=4")&gt;0,4,IF(COUNTIFS('04 Hazards'!$S$4:$S$1000,M4,'04 Hazards'!$R$4:$R$1000,TRUE,'04 Hazards'!$U$4:$U$1000,TRUE,'04 Hazards'!$K$4:$K$1000,"&gt;=3")&gt;0,3,IF(COUNTIFS('04 Hazards'!$S$4:$S$1000,M4,'04 Hazards'!$R$4:$R$1000,TRUE,'04 Hazards'!$U$4:$U$1000,TRUE,'04 Hazards'!$K$4:$K$1000,"&gt;=2")&gt;0,2,1)))))))</f>
        <v>9</v>
      </c>
      <c r="H4" s="5" t="str">
        <f t="shared" ref="H4:H35" si="0">IF(G4="","",IF(G4&lt;=2,"LOW",IF(G4&lt;=4,"MEDIUM","HIGH")))</f>
        <v>HIGH</v>
      </c>
      <c r="I4" s="5" t="s">
        <v>19</v>
      </c>
      <c r="J4" s="12">
        <v>46027.088194444441</v>
      </c>
      <c r="K4" s="6" t="s">
        <v>20</v>
      </c>
      <c r="L4" s="6" t="s">
        <v>21</v>
      </c>
      <c r="M4" s="6" t="s">
        <v>22</v>
      </c>
      <c r="N4" s="6" t="s">
        <v>23</v>
      </c>
      <c r="O4" s="6" t="s">
        <v>24</v>
      </c>
    </row>
    <row r="5" spans="1:15" ht="30">
      <c r="A5" s="7" t="s">
        <v>25</v>
      </c>
      <c r="B5" s="11">
        <v>46060</v>
      </c>
      <c r="C5" s="4" t="s">
        <v>26</v>
      </c>
      <c r="D5" s="4" t="s">
        <v>27</v>
      </c>
      <c r="E5" s="4"/>
      <c r="F5" s="13">
        <v>20</v>
      </c>
      <c r="G5" s="14">
        <f>IF(M5="","",IF(COUNTIFS('04 Hazards'!$S$4:$S$1000,M5,'04 Hazards'!$R$4:$R$1000,TRUE,'04 Hazards'!$U$4:$U$1000,TRUE,'04 Hazards'!$K$4:$K$1000,"&gt;=1")=0,"",IF(COUNTIFS('04 Hazards'!$S$4:$S$1000,M5,'04 Hazards'!$R$4:$R$1000,TRUE,'04 Hazards'!$U$4:$U$1000,TRUE,'04 Hazards'!$K$4:$K$1000,"&gt;=9")&gt;0,9,IF(COUNTIFS('04 Hazards'!$S$4:$S$1000,M5,'04 Hazards'!$R$4:$R$1000,TRUE,'04 Hazards'!$U$4:$U$1000,TRUE,'04 Hazards'!$K$4:$K$1000,"&gt;=6")&gt;0,6,IF(COUNTIFS('04 Hazards'!$S$4:$S$1000,M5,'04 Hazards'!$R$4:$R$1000,TRUE,'04 Hazards'!$U$4:$U$1000,TRUE,'04 Hazards'!$K$4:$K$1000,"&gt;=4")&gt;0,4,IF(COUNTIFS('04 Hazards'!$S$4:$S$1000,M5,'04 Hazards'!$R$4:$R$1000,TRUE,'04 Hazards'!$U$4:$U$1000,TRUE,'04 Hazards'!$K$4:$K$1000,"&gt;=3")&gt;0,3,IF(COUNTIFS('04 Hazards'!$S$4:$S$1000,M5,'04 Hazards'!$R$4:$R$1000,TRUE,'04 Hazards'!$U$4:$U$1000,TRUE,'04 Hazards'!$K$4:$K$1000,"&gt;=2")&gt;0,2,1)))))))</f>
        <v>9</v>
      </c>
      <c r="H5" s="5" t="str">
        <f t="shared" si="0"/>
        <v>HIGH</v>
      </c>
      <c r="I5" s="5" t="s">
        <v>28</v>
      </c>
      <c r="J5" s="12">
        <v>46061.134722222225</v>
      </c>
      <c r="K5" s="6" t="s">
        <v>29</v>
      </c>
      <c r="L5" s="6" t="s">
        <v>30</v>
      </c>
      <c r="M5" s="6" t="s">
        <v>31</v>
      </c>
      <c r="N5" s="6" t="s">
        <v>23</v>
      </c>
      <c r="O5" s="6" t="s">
        <v>24</v>
      </c>
    </row>
    <row r="6" spans="1:15" ht="30">
      <c r="A6" s="7" t="s">
        <v>32</v>
      </c>
      <c r="B6" s="11">
        <v>46091</v>
      </c>
      <c r="C6" s="4" t="s">
        <v>33</v>
      </c>
      <c r="D6" s="4" t="s">
        <v>34</v>
      </c>
      <c r="E6" s="4" t="s">
        <v>35</v>
      </c>
      <c r="F6" s="13">
        <v>27</v>
      </c>
      <c r="G6" s="14">
        <f>IF(M6="","",IF(COUNTIFS('04 Hazards'!$S$4:$S$1000,M6,'04 Hazards'!$R$4:$R$1000,TRUE,'04 Hazards'!$U$4:$U$1000,TRUE,'04 Hazards'!$K$4:$K$1000,"&gt;=1")=0,"",IF(COUNTIFS('04 Hazards'!$S$4:$S$1000,M6,'04 Hazards'!$R$4:$R$1000,TRUE,'04 Hazards'!$U$4:$U$1000,TRUE,'04 Hazards'!$K$4:$K$1000,"&gt;=9")&gt;0,9,IF(COUNTIFS('04 Hazards'!$S$4:$S$1000,M6,'04 Hazards'!$R$4:$R$1000,TRUE,'04 Hazards'!$U$4:$U$1000,TRUE,'04 Hazards'!$K$4:$K$1000,"&gt;=6")&gt;0,6,IF(COUNTIFS('04 Hazards'!$S$4:$S$1000,M6,'04 Hazards'!$R$4:$R$1000,TRUE,'04 Hazards'!$U$4:$U$1000,TRUE,'04 Hazards'!$K$4:$K$1000,"&gt;=4")&gt;0,4,IF(COUNTIFS('04 Hazards'!$S$4:$S$1000,M6,'04 Hazards'!$R$4:$R$1000,TRUE,'04 Hazards'!$U$4:$U$1000,TRUE,'04 Hazards'!$K$4:$K$1000,"&gt;=3")&gt;0,3,IF(COUNTIFS('04 Hazards'!$S$4:$S$1000,M6,'04 Hazards'!$R$4:$R$1000,TRUE,'04 Hazards'!$U$4:$U$1000,TRUE,'04 Hazards'!$K$4:$K$1000,"&gt;=2")&gt;0,2,1)))))))</f>
        <v>9</v>
      </c>
      <c r="H6" s="5" t="str">
        <f t="shared" si="0"/>
        <v>HIGH</v>
      </c>
      <c r="I6" s="5" t="s">
        <v>36</v>
      </c>
      <c r="J6" s="12">
        <v>46092.181250000001</v>
      </c>
      <c r="K6" s="6" t="s">
        <v>37</v>
      </c>
      <c r="L6" s="6" t="s">
        <v>38</v>
      </c>
      <c r="M6" s="6" t="s">
        <v>39</v>
      </c>
      <c r="N6" s="6" t="s">
        <v>23</v>
      </c>
      <c r="O6" s="6" t="s">
        <v>24</v>
      </c>
    </row>
    <row r="7" spans="1:15" ht="30">
      <c r="A7" s="7" t="s">
        <v>40</v>
      </c>
      <c r="B7" s="11">
        <v>46125</v>
      </c>
      <c r="C7" s="4" t="s">
        <v>33</v>
      </c>
      <c r="D7" s="4" t="s">
        <v>41</v>
      </c>
      <c r="E7" s="4" t="s">
        <v>42</v>
      </c>
      <c r="F7" s="13">
        <v>34</v>
      </c>
      <c r="G7" s="14">
        <f>IF(M7="","",IF(COUNTIFS('04 Hazards'!$S$4:$S$1000,M7,'04 Hazards'!$R$4:$R$1000,TRUE,'04 Hazards'!$U$4:$U$1000,TRUE,'04 Hazards'!$K$4:$K$1000,"&gt;=1")=0,"",IF(COUNTIFS('04 Hazards'!$S$4:$S$1000,M7,'04 Hazards'!$R$4:$R$1000,TRUE,'04 Hazards'!$U$4:$U$1000,TRUE,'04 Hazards'!$K$4:$K$1000,"&gt;=9")&gt;0,9,IF(COUNTIFS('04 Hazards'!$S$4:$S$1000,M7,'04 Hazards'!$R$4:$R$1000,TRUE,'04 Hazards'!$U$4:$U$1000,TRUE,'04 Hazards'!$K$4:$K$1000,"&gt;=6")&gt;0,6,IF(COUNTIFS('04 Hazards'!$S$4:$S$1000,M7,'04 Hazards'!$R$4:$R$1000,TRUE,'04 Hazards'!$U$4:$U$1000,TRUE,'04 Hazards'!$K$4:$K$1000,"&gt;=4")&gt;0,4,IF(COUNTIFS('04 Hazards'!$S$4:$S$1000,M7,'04 Hazards'!$R$4:$R$1000,TRUE,'04 Hazards'!$U$4:$U$1000,TRUE,'04 Hazards'!$K$4:$K$1000,"&gt;=3")&gt;0,3,IF(COUNTIFS('04 Hazards'!$S$4:$S$1000,M7,'04 Hazards'!$R$4:$R$1000,TRUE,'04 Hazards'!$U$4:$U$1000,TRUE,'04 Hazards'!$K$4:$K$1000,"&gt;=2")&gt;0,2,1)))))))</f>
        <v>9</v>
      </c>
      <c r="H7" s="5" t="str">
        <f t="shared" si="0"/>
        <v>HIGH</v>
      </c>
      <c r="I7" s="5" t="s">
        <v>43</v>
      </c>
      <c r="J7" s="12">
        <v>46126.227777777778</v>
      </c>
      <c r="K7" s="6" t="s">
        <v>44</v>
      </c>
      <c r="L7" s="6" t="s">
        <v>45</v>
      </c>
      <c r="M7" s="6" t="s">
        <v>46</v>
      </c>
      <c r="N7" s="6" t="s">
        <v>23</v>
      </c>
      <c r="O7" s="6" t="s">
        <v>24</v>
      </c>
    </row>
    <row r="8" spans="1:15" ht="30">
      <c r="A8" s="7" t="s">
        <v>47</v>
      </c>
      <c r="B8" s="11">
        <v>46158</v>
      </c>
      <c r="C8" s="4" t="s">
        <v>48</v>
      </c>
      <c r="D8" s="4" t="s">
        <v>49</v>
      </c>
      <c r="E8" s="4"/>
      <c r="F8" s="13">
        <v>41</v>
      </c>
      <c r="G8" s="14">
        <f>IF(M8="","",IF(COUNTIFS('04 Hazards'!$S$4:$S$1000,M8,'04 Hazards'!$R$4:$R$1000,TRUE,'04 Hazards'!$U$4:$U$1000,TRUE,'04 Hazards'!$K$4:$K$1000,"&gt;=1")=0,"",IF(COUNTIFS('04 Hazards'!$S$4:$S$1000,M8,'04 Hazards'!$R$4:$R$1000,TRUE,'04 Hazards'!$U$4:$U$1000,TRUE,'04 Hazards'!$K$4:$K$1000,"&gt;=9")&gt;0,9,IF(COUNTIFS('04 Hazards'!$S$4:$S$1000,M8,'04 Hazards'!$R$4:$R$1000,TRUE,'04 Hazards'!$U$4:$U$1000,TRUE,'04 Hazards'!$K$4:$K$1000,"&gt;=6")&gt;0,6,IF(COUNTIFS('04 Hazards'!$S$4:$S$1000,M8,'04 Hazards'!$R$4:$R$1000,TRUE,'04 Hazards'!$U$4:$U$1000,TRUE,'04 Hazards'!$K$4:$K$1000,"&gt;=4")&gt;0,4,IF(COUNTIFS('04 Hazards'!$S$4:$S$1000,M8,'04 Hazards'!$R$4:$R$1000,TRUE,'04 Hazards'!$U$4:$U$1000,TRUE,'04 Hazards'!$K$4:$K$1000,"&gt;=3")&gt;0,3,IF(COUNTIFS('04 Hazards'!$S$4:$S$1000,M8,'04 Hazards'!$R$4:$R$1000,TRUE,'04 Hazards'!$U$4:$U$1000,TRUE,'04 Hazards'!$K$4:$K$1000,"&gt;=2")&gt;0,2,1)))))))</f>
        <v>9</v>
      </c>
      <c r="H8" s="5" t="str">
        <f t="shared" si="0"/>
        <v>HIGH</v>
      </c>
      <c r="I8" s="5" t="s">
        <v>50</v>
      </c>
      <c r="J8" s="12">
        <v>46159.274305555555</v>
      </c>
      <c r="K8" s="6" t="s">
        <v>51</v>
      </c>
      <c r="L8" s="6" t="s">
        <v>52</v>
      </c>
      <c r="M8" s="6" t="s">
        <v>53</v>
      </c>
      <c r="N8" s="6" t="s">
        <v>23</v>
      </c>
      <c r="O8" s="6" t="s">
        <v>24</v>
      </c>
    </row>
    <row r="9" spans="1:15" ht="30">
      <c r="A9" s="7" t="s">
        <v>54</v>
      </c>
      <c r="B9" s="11">
        <v>46192</v>
      </c>
      <c r="C9" s="4" t="s">
        <v>17</v>
      </c>
      <c r="D9" s="4" t="s">
        <v>55</v>
      </c>
      <c r="E9" s="4" t="s">
        <v>35</v>
      </c>
      <c r="F9" s="13">
        <v>48</v>
      </c>
      <c r="G9" s="14">
        <f>IF(M9="","",IF(COUNTIFS('04 Hazards'!$S$4:$S$1000,M9,'04 Hazards'!$R$4:$R$1000,TRUE,'04 Hazards'!$U$4:$U$1000,TRUE,'04 Hazards'!$K$4:$K$1000,"&gt;=1")=0,"",IF(COUNTIFS('04 Hazards'!$S$4:$S$1000,M9,'04 Hazards'!$R$4:$R$1000,TRUE,'04 Hazards'!$U$4:$U$1000,TRUE,'04 Hazards'!$K$4:$K$1000,"&gt;=9")&gt;0,9,IF(COUNTIFS('04 Hazards'!$S$4:$S$1000,M9,'04 Hazards'!$R$4:$R$1000,TRUE,'04 Hazards'!$U$4:$U$1000,TRUE,'04 Hazards'!$K$4:$K$1000,"&gt;=6")&gt;0,6,IF(COUNTIFS('04 Hazards'!$S$4:$S$1000,M9,'04 Hazards'!$R$4:$R$1000,TRUE,'04 Hazards'!$U$4:$U$1000,TRUE,'04 Hazards'!$K$4:$K$1000,"&gt;=4")&gt;0,4,IF(COUNTIFS('04 Hazards'!$S$4:$S$1000,M9,'04 Hazards'!$R$4:$R$1000,TRUE,'04 Hazards'!$U$4:$U$1000,TRUE,'04 Hazards'!$K$4:$K$1000,"&gt;=3")&gt;0,3,IF(COUNTIFS('04 Hazards'!$S$4:$S$1000,M9,'04 Hazards'!$R$4:$R$1000,TRUE,'04 Hazards'!$U$4:$U$1000,TRUE,'04 Hazards'!$K$4:$K$1000,"&gt;=2")&gt;0,2,1)))))))</f>
        <v>9</v>
      </c>
      <c r="H9" s="5" t="str">
        <f t="shared" si="0"/>
        <v>HIGH</v>
      </c>
      <c r="I9" s="5" t="s">
        <v>56</v>
      </c>
      <c r="J9" s="12">
        <v>46193.320833333331</v>
      </c>
      <c r="K9" s="6" t="s">
        <v>57</v>
      </c>
      <c r="L9" s="6" t="s">
        <v>58</v>
      </c>
      <c r="M9" s="6" t="s">
        <v>59</v>
      </c>
      <c r="N9" s="6" t="s">
        <v>23</v>
      </c>
      <c r="O9" s="6" t="s">
        <v>24</v>
      </c>
    </row>
    <row r="10" spans="1:15" ht="30">
      <c r="A10" s="7" t="s">
        <v>60</v>
      </c>
      <c r="B10" s="11">
        <v>46044</v>
      </c>
      <c r="C10" s="4" t="s">
        <v>26</v>
      </c>
      <c r="D10" s="4" t="s">
        <v>61</v>
      </c>
      <c r="E10" s="4"/>
      <c r="F10" s="13">
        <v>55</v>
      </c>
      <c r="G10" s="14">
        <f>IF(M10="","",IF(COUNTIFS('04 Hazards'!$S$4:$S$1000,M10,'04 Hazards'!$R$4:$R$1000,TRUE,'04 Hazards'!$U$4:$U$1000,TRUE,'04 Hazards'!$K$4:$K$1000,"&gt;=1")=0,"",IF(COUNTIFS('04 Hazards'!$S$4:$S$1000,M10,'04 Hazards'!$R$4:$R$1000,TRUE,'04 Hazards'!$U$4:$U$1000,TRUE,'04 Hazards'!$K$4:$K$1000,"&gt;=9")&gt;0,9,IF(COUNTIFS('04 Hazards'!$S$4:$S$1000,M10,'04 Hazards'!$R$4:$R$1000,TRUE,'04 Hazards'!$U$4:$U$1000,TRUE,'04 Hazards'!$K$4:$K$1000,"&gt;=6")&gt;0,6,IF(COUNTIFS('04 Hazards'!$S$4:$S$1000,M10,'04 Hazards'!$R$4:$R$1000,TRUE,'04 Hazards'!$U$4:$U$1000,TRUE,'04 Hazards'!$K$4:$K$1000,"&gt;=4")&gt;0,4,IF(COUNTIFS('04 Hazards'!$S$4:$S$1000,M10,'04 Hazards'!$R$4:$R$1000,TRUE,'04 Hazards'!$U$4:$U$1000,TRUE,'04 Hazards'!$K$4:$K$1000,"&gt;=3")&gt;0,3,IF(COUNTIFS('04 Hazards'!$S$4:$S$1000,M10,'04 Hazards'!$R$4:$R$1000,TRUE,'04 Hazards'!$U$4:$U$1000,TRUE,'04 Hazards'!$K$4:$K$1000,"&gt;=2")&gt;0,2,1)))))))</f>
        <v>4</v>
      </c>
      <c r="H10" s="5" t="str">
        <f t="shared" si="0"/>
        <v>MEDIUM</v>
      </c>
      <c r="I10" s="5" t="s">
        <v>62</v>
      </c>
      <c r="J10" s="12">
        <v>46045.367361111108</v>
      </c>
      <c r="K10" s="6" t="s">
        <v>63</v>
      </c>
      <c r="L10" s="6" t="s">
        <v>64</v>
      </c>
      <c r="M10" s="6" t="s">
        <v>65</v>
      </c>
      <c r="N10" s="6" t="s">
        <v>23</v>
      </c>
      <c r="O10" s="6" t="s">
        <v>24</v>
      </c>
    </row>
    <row r="11" spans="1:15" ht="30">
      <c r="A11" s="7" t="s">
        <v>66</v>
      </c>
      <c r="B11" s="11">
        <v>46078</v>
      </c>
      <c r="C11" s="4" t="s">
        <v>33</v>
      </c>
      <c r="D11" s="4" t="s">
        <v>67</v>
      </c>
      <c r="E11" s="4" t="s">
        <v>42</v>
      </c>
      <c r="F11" s="13">
        <v>62</v>
      </c>
      <c r="G11" s="14">
        <f>IF(M11="","",IF(COUNTIFS('04 Hazards'!$S$4:$S$1000,M11,'04 Hazards'!$R$4:$R$1000,TRUE,'04 Hazards'!$U$4:$U$1000,TRUE,'04 Hazards'!$K$4:$K$1000,"&gt;=1")=0,"",IF(COUNTIFS('04 Hazards'!$S$4:$S$1000,M11,'04 Hazards'!$R$4:$R$1000,TRUE,'04 Hazards'!$U$4:$U$1000,TRUE,'04 Hazards'!$K$4:$K$1000,"&gt;=9")&gt;0,9,IF(COUNTIFS('04 Hazards'!$S$4:$S$1000,M11,'04 Hazards'!$R$4:$R$1000,TRUE,'04 Hazards'!$U$4:$U$1000,TRUE,'04 Hazards'!$K$4:$K$1000,"&gt;=6")&gt;0,6,IF(COUNTIFS('04 Hazards'!$S$4:$S$1000,M11,'04 Hazards'!$R$4:$R$1000,TRUE,'04 Hazards'!$U$4:$U$1000,TRUE,'04 Hazards'!$K$4:$K$1000,"&gt;=4")&gt;0,4,IF(COUNTIFS('04 Hazards'!$S$4:$S$1000,M11,'04 Hazards'!$R$4:$R$1000,TRUE,'04 Hazards'!$U$4:$U$1000,TRUE,'04 Hazards'!$K$4:$K$1000,"&gt;=3")&gt;0,3,IF(COUNTIFS('04 Hazards'!$S$4:$S$1000,M11,'04 Hazards'!$R$4:$R$1000,TRUE,'04 Hazards'!$U$4:$U$1000,TRUE,'04 Hazards'!$K$4:$K$1000,"&gt;=2")&gt;0,2,1)))))))</f>
        <v>9</v>
      </c>
      <c r="H11" s="5" t="str">
        <f t="shared" si="0"/>
        <v>HIGH</v>
      </c>
      <c r="I11" s="5" t="s">
        <v>68</v>
      </c>
      <c r="J11" s="12">
        <v>46079.080555555556</v>
      </c>
      <c r="K11" s="6" t="s">
        <v>69</v>
      </c>
      <c r="L11" s="6" t="s">
        <v>70</v>
      </c>
      <c r="M11" s="6" t="s">
        <v>71</v>
      </c>
      <c r="N11" s="6" t="s">
        <v>23</v>
      </c>
      <c r="O11" s="6" t="s">
        <v>24</v>
      </c>
    </row>
    <row r="12" spans="1:15" ht="30">
      <c r="A12" s="7" t="s">
        <v>72</v>
      </c>
      <c r="B12" s="11">
        <v>46084</v>
      </c>
      <c r="C12" s="4" t="s">
        <v>33</v>
      </c>
      <c r="D12" s="4" t="s">
        <v>73</v>
      </c>
      <c r="E12" s="4" t="s">
        <v>35</v>
      </c>
      <c r="F12" s="13">
        <v>11</v>
      </c>
      <c r="G12" s="14">
        <f>IF(M12="","",IF(COUNTIFS('04 Hazards'!$S$4:$S$1000,M12,'04 Hazards'!$R$4:$R$1000,TRUE,'04 Hazards'!$U$4:$U$1000,TRUE,'04 Hazards'!$K$4:$K$1000,"&gt;=1")=0,"",IF(COUNTIFS('04 Hazards'!$S$4:$S$1000,M12,'04 Hazards'!$R$4:$R$1000,TRUE,'04 Hazards'!$U$4:$U$1000,TRUE,'04 Hazards'!$K$4:$K$1000,"&gt;=9")&gt;0,9,IF(COUNTIFS('04 Hazards'!$S$4:$S$1000,M12,'04 Hazards'!$R$4:$R$1000,TRUE,'04 Hazards'!$U$4:$U$1000,TRUE,'04 Hazards'!$K$4:$K$1000,"&gt;=6")&gt;0,6,IF(COUNTIFS('04 Hazards'!$S$4:$S$1000,M12,'04 Hazards'!$R$4:$R$1000,TRUE,'04 Hazards'!$U$4:$U$1000,TRUE,'04 Hazards'!$K$4:$K$1000,"&gt;=4")&gt;0,4,IF(COUNTIFS('04 Hazards'!$S$4:$S$1000,M12,'04 Hazards'!$R$4:$R$1000,TRUE,'04 Hazards'!$U$4:$U$1000,TRUE,'04 Hazards'!$K$4:$K$1000,"&gt;=3")&gt;0,3,IF(COUNTIFS('04 Hazards'!$S$4:$S$1000,M12,'04 Hazards'!$R$4:$R$1000,TRUE,'04 Hazards'!$U$4:$U$1000,TRUE,'04 Hazards'!$K$4:$K$1000,"&gt;=2")&gt;0,2,1)))))))</f>
        <v>9</v>
      </c>
      <c r="H12" s="5" t="str">
        <f t="shared" si="0"/>
        <v>HIGH</v>
      </c>
      <c r="I12" s="5" t="s">
        <v>74</v>
      </c>
      <c r="J12" s="12">
        <v>46085.085416666669</v>
      </c>
      <c r="K12" s="6" t="s">
        <v>75</v>
      </c>
      <c r="L12" s="6" t="s">
        <v>76</v>
      </c>
      <c r="M12" s="6" t="s">
        <v>77</v>
      </c>
      <c r="N12" s="6" t="s">
        <v>23</v>
      </c>
      <c r="O12" s="6" t="s">
        <v>24</v>
      </c>
    </row>
    <row r="13" spans="1:15" ht="30">
      <c r="A13" s="7" t="s">
        <v>78</v>
      </c>
      <c r="B13" s="11">
        <v>46118</v>
      </c>
      <c r="C13" s="4" t="s">
        <v>48</v>
      </c>
      <c r="D13" s="4" t="s">
        <v>79</v>
      </c>
      <c r="E13" s="4"/>
      <c r="F13" s="13">
        <v>18</v>
      </c>
      <c r="G13" s="14">
        <f>IF(M13="","",IF(COUNTIFS('04 Hazards'!$S$4:$S$1000,M13,'04 Hazards'!$R$4:$R$1000,TRUE,'04 Hazards'!$U$4:$U$1000,TRUE,'04 Hazards'!$K$4:$K$1000,"&gt;=1")=0,"",IF(COUNTIFS('04 Hazards'!$S$4:$S$1000,M13,'04 Hazards'!$R$4:$R$1000,TRUE,'04 Hazards'!$U$4:$U$1000,TRUE,'04 Hazards'!$K$4:$K$1000,"&gt;=9")&gt;0,9,IF(COUNTIFS('04 Hazards'!$S$4:$S$1000,M13,'04 Hazards'!$R$4:$R$1000,TRUE,'04 Hazards'!$U$4:$U$1000,TRUE,'04 Hazards'!$K$4:$K$1000,"&gt;=6")&gt;0,6,IF(COUNTIFS('04 Hazards'!$S$4:$S$1000,M13,'04 Hazards'!$R$4:$R$1000,TRUE,'04 Hazards'!$U$4:$U$1000,TRUE,'04 Hazards'!$K$4:$K$1000,"&gt;=4")&gt;0,4,IF(COUNTIFS('04 Hazards'!$S$4:$S$1000,M13,'04 Hazards'!$R$4:$R$1000,TRUE,'04 Hazards'!$U$4:$U$1000,TRUE,'04 Hazards'!$K$4:$K$1000,"&gt;=3")&gt;0,3,IF(COUNTIFS('04 Hazards'!$S$4:$S$1000,M13,'04 Hazards'!$R$4:$R$1000,TRUE,'04 Hazards'!$U$4:$U$1000,TRUE,'04 Hazards'!$K$4:$K$1000,"&gt;=2")&gt;0,2,1)))))))</f>
        <v>9</v>
      </c>
      <c r="H13" s="5" t="str">
        <f t="shared" si="0"/>
        <v>HIGH</v>
      </c>
      <c r="I13" s="5" t="s">
        <v>80</v>
      </c>
      <c r="J13" s="12">
        <v>46119.131944444445</v>
      </c>
      <c r="K13" s="6" t="s">
        <v>81</v>
      </c>
      <c r="L13" s="6" t="s">
        <v>82</v>
      </c>
      <c r="M13" s="6" t="s">
        <v>83</v>
      </c>
      <c r="N13" s="6" t="s">
        <v>23</v>
      </c>
      <c r="O13" s="6" t="s">
        <v>24</v>
      </c>
    </row>
    <row r="14" spans="1:15" ht="30">
      <c r="A14" s="7" t="s">
        <v>84</v>
      </c>
      <c r="B14" s="11">
        <v>46151</v>
      </c>
      <c r="C14" s="4" t="s">
        <v>17</v>
      </c>
      <c r="D14" s="4" t="s">
        <v>85</v>
      </c>
      <c r="E14" s="4"/>
      <c r="F14" s="13">
        <v>25</v>
      </c>
      <c r="G14" s="14">
        <f>IF(M14="","",IF(COUNTIFS('04 Hazards'!$S$4:$S$1000,M14,'04 Hazards'!$R$4:$R$1000,TRUE,'04 Hazards'!$U$4:$U$1000,TRUE,'04 Hazards'!$K$4:$K$1000,"&gt;=1")=0,"",IF(COUNTIFS('04 Hazards'!$S$4:$S$1000,M14,'04 Hazards'!$R$4:$R$1000,TRUE,'04 Hazards'!$U$4:$U$1000,TRUE,'04 Hazards'!$K$4:$K$1000,"&gt;=9")&gt;0,9,IF(COUNTIFS('04 Hazards'!$S$4:$S$1000,M14,'04 Hazards'!$R$4:$R$1000,TRUE,'04 Hazards'!$U$4:$U$1000,TRUE,'04 Hazards'!$K$4:$K$1000,"&gt;=6")&gt;0,6,IF(COUNTIFS('04 Hazards'!$S$4:$S$1000,M14,'04 Hazards'!$R$4:$R$1000,TRUE,'04 Hazards'!$U$4:$U$1000,TRUE,'04 Hazards'!$K$4:$K$1000,"&gt;=4")&gt;0,4,IF(COUNTIFS('04 Hazards'!$S$4:$S$1000,M14,'04 Hazards'!$R$4:$R$1000,TRUE,'04 Hazards'!$U$4:$U$1000,TRUE,'04 Hazards'!$K$4:$K$1000,"&gt;=3")&gt;0,3,IF(COUNTIFS('04 Hazards'!$S$4:$S$1000,M14,'04 Hazards'!$R$4:$R$1000,TRUE,'04 Hazards'!$U$4:$U$1000,TRUE,'04 Hazards'!$K$4:$K$1000,"&gt;=2")&gt;0,2,1)))))))</f>
        <v>4</v>
      </c>
      <c r="H14" s="5" t="str">
        <f t="shared" si="0"/>
        <v>MEDIUM</v>
      </c>
      <c r="I14" s="5" t="s">
        <v>86</v>
      </c>
      <c r="J14" s="12">
        <v>46152.178472222222</v>
      </c>
      <c r="K14" s="6" t="s">
        <v>87</v>
      </c>
      <c r="L14" s="6" t="s">
        <v>88</v>
      </c>
      <c r="M14" s="6" t="s">
        <v>89</v>
      </c>
      <c r="N14" s="6" t="s">
        <v>23</v>
      </c>
      <c r="O14" s="6" t="s">
        <v>24</v>
      </c>
    </row>
    <row r="15" spans="1:15" ht="30">
      <c r="A15" s="7" t="s">
        <v>90</v>
      </c>
      <c r="B15" s="11">
        <v>46185</v>
      </c>
      <c r="C15" s="4" t="s">
        <v>26</v>
      </c>
      <c r="D15" s="4" t="s">
        <v>91</v>
      </c>
      <c r="E15" s="4" t="s">
        <v>42</v>
      </c>
      <c r="F15" s="13">
        <v>32</v>
      </c>
      <c r="G15" s="14">
        <f>IF(M15="","",IF(COUNTIFS('04 Hazards'!$S$4:$S$1000,M15,'04 Hazards'!$R$4:$R$1000,TRUE,'04 Hazards'!$U$4:$U$1000,TRUE,'04 Hazards'!$K$4:$K$1000,"&gt;=1")=0,"",IF(COUNTIFS('04 Hazards'!$S$4:$S$1000,M15,'04 Hazards'!$R$4:$R$1000,TRUE,'04 Hazards'!$U$4:$U$1000,TRUE,'04 Hazards'!$K$4:$K$1000,"&gt;=9")&gt;0,9,IF(COUNTIFS('04 Hazards'!$S$4:$S$1000,M15,'04 Hazards'!$R$4:$R$1000,TRUE,'04 Hazards'!$U$4:$U$1000,TRUE,'04 Hazards'!$K$4:$K$1000,"&gt;=6")&gt;0,6,IF(COUNTIFS('04 Hazards'!$S$4:$S$1000,M15,'04 Hazards'!$R$4:$R$1000,TRUE,'04 Hazards'!$U$4:$U$1000,TRUE,'04 Hazards'!$K$4:$K$1000,"&gt;=4")&gt;0,4,IF(COUNTIFS('04 Hazards'!$S$4:$S$1000,M15,'04 Hazards'!$R$4:$R$1000,TRUE,'04 Hazards'!$U$4:$U$1000,TRUE,'04 Hazards'!$K$4:$K$1000,"&gt;=3")&gt;0,3,IF(COUNTIFS('04 Hazards'!$S$4:$S$1000,M15,'04 Hazards'!$R$4:$R$1000,TRUE,'04 Hazards'!$U$4:$U$1000,TRUE,'04 Hazards'!$K$4:$K$1000,"&gt;=2")&gt;0,2,1)))))))</f>
        <v>9</v>
      </c>
      <c r="H15" s="5" t="str">
        <f t="shared" si="0"/>
        <v>HIGH</v>
      </c>
      <c r="I15" s="5" t="s">
        <v>92</v>
      </c>
      <c r="J15" s="12">
        <v>46186.224999999999</v>
      </c>
      <c r="K15" s="6" t="s">
        <v>93</v>
      </c>
      <c r="L15" s="6" t="s">
        <v>94</v>
      </c>
      <c r="M15" s="6" t="s">
        <v>95</v>
      </c>
      <c r="N15" s="6" t="s">
        <v>23</v>
      </c>
      <c r="O15" s="6" t="s">
        <v>24</v>
      </c>
    </row>
    <row r="16" spans="1:15" ht="30">
      <c r="A16" s="7" t="s">
        <v>96</v>
      </c>
      <c r="B16" s="11">
        <v>46037</v>
      </c>
      <c r="C16" s="4" t="s">
        <v>33</v>
      </c>
      <c r="D16" s="4" t="s">
        <v>97</v>
      </c>
      <c r="E16" s="4"/>
      <c r="F16" s="13">
        <v>39</v>
      </c>
      <c r="G16" s="14">
        <f>IF(M16="","",IF(COUNTIFS('04 Hazards'!$S$4:$S$1000,M16,'04 Hazards'!$R$4:$R$1000,TRUE,'04 Hazards'!$U$4:$U$1000,TRUE,'04 Hazards'!$K$4:$K$1000,"&gt;=1")=0,"",IF(COUNTIFS('04 Hazards'!$S$4:$S$1000,M16,'04 Hazards'!$R$4:$R$1000,TRUE,'04 Hazards'!$U$4:$U$1000,TRUE,'04 Hazards'!$K$4:$K$1000,"&gt;=9")&gt;0,9,IF(COUNTIFS('04 Hazards'!$S$4:$S$1000,M16,'04 Hazards'!$R$4:$R$1000,TRUE,'04 Hazards'!$U$4:$U$1000,TRUE,'04 Hazards'!$K$4:$K$1000,"&gt;=6")&gt;0,6,IF(COUNTIFS('04 Hazards'!$S$4:$S$1000,M16,'04 Hazards'!$R$4:$R$1000,TRUE,'04 Hazards'!$U$4:$U$1000,TRUE,'04 Hazards'!$K$4:$K$1000,"&gt;=4")&gt;0,4,IF(COUNTIFS('04 Hazards'!$S$4:$S$1000,M16,'04 Hazards'!$R$4:$R$1000,TRUE,'04 Hazards'!$U$4:$U$1000,TRUE,'04 Hazards'!$K$4:$K$1000,"&gt;=3")&gt;0,3,IF(COUNTIFS('04 Hazards'!$S$4:$S$1000,M16,'04 Hazards'!$R$4:$R$1000,TRUE,'04 Hazards'!$U$4:$U$1000,TRUE,'04 Hazards'!$K$4:$K$1000,"&gt;=2")&gt;0,2,1)))))))</f>
        <v>4</v>
      </c>
      <c r="H16" s="5" t="str">
        <f t="shared" si="0"/>
        <v>MEDIUM</v>
      </c>
      <c r="I16" s="5" t="s">
        <v>98</v>
      </c>
      <c r="J16" s="12">
        <v>46038.271527777775</v>
      </c>
      <c r="K16" s="6" t="s">
        <v>99</v>
      </c>
      <c r="L16" s="6" t="s">
        <v>100</v>
      </c>
      <c r="M16" s="6" t="s">
        <v>101</v>
      </c>
      <c r="N16" s="6" t="s">
        <v>23</v>
      </c>
      <c r="O16" s="6" t="s">
        <v>24</v>
      </c>
    </row>
    <row r="17" spans="1:15" ht="30">
      <c r="A17" s="7" t="s">
        <v>102</v>
      </c>
      <c r="B17" s="11">
        <v>46071</v>
      </c>
      <c r="C17" s="4" t="s">
        <v>33</v>
      </c>
      <c r="D17" s="4" t="s">
        <v>103</v>
      </c>
      <c r="E17" s="4"/>
      <c r="F17" s="13">
        <v>46</v>
      </c>
      <c r="G17" s="14">
        <f>IF(M17="","",IF(COUNTIFS('04 Hazards'!$S$4:$S$1000,M17,'04 Hazards'!$R$4:$R$1000,TRUE,'04 Hazards'!$U$4:$U$1000,TRUE,'04 Hazards'!$K$4:$K$1000,"&gt;=1")=0,"",IF(COUNTIFS('04 Hazards'!$S$4:$S$1000,M17,'04 Hazards'!$R$4:$R$1000,TRUE,'04 Hazards'!$U$4:$U$1000,TRUE,'04 Hazards'!$K$4:$K$1000,"&gt;=9")&gt;0,9,IF(COUNTIFS('04 Hazards'!$S$4:$S$1000,M17,'04 Hazards'!$R$4:$R$1000,TRUE,'04 Hazards'!$U$4:$U$1000,TRUE,'04 Hazards'!$K$4:$K$1000,"&gt;=6")&gt;0,6,IF(COUNTIFS('04 Hazards'!$S$4:$S$1000,M17,'04 Hazards'!$R$4:$R$1000,TRUE,'04 Hazards'!$U$4:$U$1000,TRUE,'04 Hazards'!$K$4:$K$1000,"&gt;=4")&gt;0,4,IF(COUNTIFS('04 Hazards'!$S$4:$S$1000,M17,'04 Hazards'!$R$4:$R$1000,TRUE,'04 Hazards'!$U$4:$U$1000,TRUE,'04 Hazards'!$K$4:$K$1000,"&gt;=3")&gt;0,3,IF(COUNTIFS('04 Hazards'!$S$4:$S$1000,M17,'04 Hazards'!$R$4:$R$1000,TRUE,'04 Hazards'!$U$4:$U$1000,TRUE,'04 Hazards'!$K$4:$K$1000,"&gt;=2")&gt;0,2,1)))))))</f>
        <v>4</v>
      </c>
      <c r="H17" s="5" t="str">
        <f t="shared" si="0"/>
        <v>MEDIUM</v>
      </c>
      <c r="I17" s="5" t="s">
        <v>104</v>
      </c>
      <c r="J17" s="12">
        <v>46072.318055555559</v>
      </c>
      <c r="K17" s="6" t="s">
        <v>105</v>
      </c>
      <c r="L17" s="6" t="s">
        <v>106</v>
      </c>
      <c r="M17" s="6" t="s">
        <v>107</v>
      </c>
      <c r="N17" s="6" t="s">
        <v>23</v>
      </c>
      <c r="O17" s="6" t="s">
        <v>24</v>
      </c>
    </row>
    <row r="18" spans="1:15" ht="30">
      <c r="A18" s="7" t="s">
        <v>108</v>
      </c>
      <c r="B18" s="11">
        <v>46102</v>
      </c>
      <c r="C18" s="4" t="s">
        <v>48</v>
      </c>
      <c r="D18" s="4" t="s">
        <v>109</v>
      </c>
      <c r="E18" s="4" t="s">
        <v>35</v>
      </c>
      <c r="F18" s="13">
        <v>53</v>
      </c>
      <c r="G18" s="14">
        <f>IF(M18="","",IF(COUNTIFS('04 Hazards'!$S$4:$S$1000,M18,'04 Hazards'!$R$4:$R$1000,TRUE,'04 Hazards'!$U$4:$U$1000,TRUE,'04 Hazards'!$K$4:$K$1000,"&gt;=1")=0,"",IF(COUNTIFS('04 Hazards'!$S$4:$S$1000,M18,'04 Hazards'!$R$4:$R$1000,TRUE,'04 Hazards'!$U$4:$U$1000,TRUE,'04 Hazards'!$K$4:$K$1000,"&gt;=9")&gt;0,9,IF(COUNTIFS('04 Hazards'!$S$4:$S$1000,M18,'04 Hazards'!$R$4:$R$1000,TRUE,'04 Hazards'!$U$4:$U$1000,TRUE,'04 Hazards'!$K$4:$K$1000,"&gt;=6")&gt;0,6,IF(COUNTIFS('04 Hazards'!$S$4:$S$1000,M18,'04 Hazards'!$R$4:$R$1000,TRUE,'04 Hazards'!$U$4:$U$1000,TRUE,'04 Hazards'!$K$4:$K$1000,"&gt;=4")&gt;0,4,IF(COUNTIFS('04 Hazards'!$S$4:$S$1000,M18,'04 Hazards'!$R$4:$R$1000,TRUE,'04 Hazards'!$U$4:$U$1000,TRUE,'04 Hazards'!$K$4:$K$1000,"&gt;=3")&gt;0,3,IF(COUNTIFS('04 Hazards'!$S$4:$S$1000,M18,'04 Hazards'!$R$4:$R$1000,TRUE,'04 Hazards'!$U$4:$U$1000,TRUE,'04 Hazards'!$K$4:$K$1000,"&gt;=2")&gt;0,2,1)))))))</f>
        <v>4</v>
      </c>
      <c r="H18" s="5" t="str">
        <f t="shared" si="0"/>
        <v>MEDIUM</v>
      </c>
      <c r="I18" s="5" t="s">
        <v>110</v>
      </c>
      <c r="J18" s="12">
        <v>46103.364583333336</v>
      </c>
      <c r="K18" s="6" t="s">
        <v>111</v>
      </c>
      <c r="L18" s="6" t="s">
        <v>112</v>
      </c>
      <c r="M18" s="6" t="s">
        <v>113</v>
      </c>
      <c r="N18" s="6" t="s">
        <v>23</v>
      </c>
      <c r="O18" s="6" t="s">
        <v>24</v>
      </c>
    </row>
    <row r="19" spans="1:15" ht="30">
      <c r="A19" s="7" t="s">
        <v>114</v>
      </c>
      <c r="B19" s="11">
        <v>46136</v>
      </c>
      <c r="C19" s="4" t="s">
        <v>17</v>
      </c>
      <c r="D19" s="4" t="s">
        <v>115</v>
      </c>
      <c r="E19" s="4" t="s">
        <v>42</v>
      </c>
      <c r="F19" s="13">
        <v>60</v>
      </c>
      <c r="G19" s="14">
        <f>IF(M19="","",IF(COUNTIFS('04 Hazards'!$S$4:$S$1000,M19,'04 Hazards'!$R$4:$R$1000,TRUE,'04 Hazards'!$U$4:$U$1000,TRUE,'04 Hazards'!$K$4:$K$1000,"&gt;=1")=0,"",IF(COUNTIFS('04 Hazards'!$S$4:$S$1000,M19,'04 Hazards'!$R$4:$R$1000,TRUE,'04 Hazards'!$U$4:$U$1000,TRUE,'04 Hazards'!$K$4:$K$1000,"&gt;=9")&gt;0,9,IF(COUNTIFS('04 Hazards'!$S$4:$S$1000,M19,'04 Hazards'!$R$4:$R$1000,TRUE,'04 Hazards'!$U$4:$U$1000,TRUE,'04 Hazards'!$K$4:$K$1000,"&gt;=6")&gt;0,6,IF(COUNTIFS('04 Hazards'!$S$4:$S$1000,M19,'04 Hazards'!$R$4:$R$1000,TRUE,'04 Hazards'!$U$4:$U$1000,TRUE,'04 Hazards'!$K$4:$K$1000,"&gt;=4")&gt;0,4,IF(COUNTIFS('04 Hazards'!$S$4:$S$1000,M19,'04 Hazards'!$R$4:$R$1000,TRUE,'04 Hazards'!$U$4:$U$1000,TRUE,'04 Hazards'!$K$4:$K$1000,"&gt;=3")&gt;0,3,IF(COUNTIFS('04 Hazards'!$S$4:$S$1000,M19,'04 Hazards'!$R$4:$R$1000,TRUE,'04 Hazards'!$U$4:$U$1000,TRUE,'04 Hazards'!$K$4:$K$1000,"&gt;=2")&gt;0,2,1)))))))</f>
        <v>9</v>
      </c>
      <c r="H19" s="5" t="str">
        <f t="shared" si="0"/>
        <v>HIGH</v>
      </c>
      <c r="I19" s="5" t="s">
        <v>116</v>
      </c>
      <c r="J19" s="12">
        <v>46137.077777777777</v>
      </c>
      <c r="K19" s="6" t="s">
        <v>117</v>
      </c>
      <c r="L19" s="6" t="s">
        <v>118</v>
      </c>
      <c r="M19" s="6" t="s">
        <v>119</v>
      </c>
      <c r="N19" s="6" t="s">
        <v>23</v>
      </c>
      <c r="O19" s="6" t="s">
        <v>24</v>
      </c>
    </row>
    <row r="20" spans="1:15" ht="30">
      <c r="A20" s="7" t="s">
        <v>120</v>
      </c>
      <c r="B20" s="11">
        <v>46144</v>
      </c>
      <c r="C20" s="4" t="s">
        <v>26</v>
      </c>
      <c r="D20" s="4" t="s">
        <v>121</v>
      </c>
      <c r="E20" s="4"/>
      <c r="F20" s="13">
        <v>9</v>
      </c>
      <c r="G20" s="14">
        <f>IF(M20="","",IF(COUNTIFS('04 Hazards'!$S$4:$S$1000,M20,'04 Hazards'!$R$4:$R$1000,TRUE,'04 Hazards'!$U$4:$U$1000,TRUE,'04 Hazards'!$K$4:$K$1000,"&gt;=1")=0,"",IF(COUNTIFS('04 Hazards'!$S$4:$S$1000,M20,'04 Hazards'!$R$4:$R$1000,TRUE,'04 Hazards'!$U$4:$U$1000,TRUE,'04 Hazards'!$K$4:$K$1000,"&gt;=9")&gt;0,9,IF(COUNTIFS('04 Hazards'!$S$4:$S$1000,M20,'04 Hazards'!$R$4:$R$1000,TRUE,'04 Hazards'!$U$4:$U$1000,TRUE,'04 Hazards'!$K$4:$K$1000,"&gt;=6")&gt;0,6,IF(COUNTIFS('04 Hazards'!$S$4:$S$1000,M20,'04 Hazards'!$R$4:$R$1000,TRUE,'04 Hazards'!$U$4:$U$1000,TRUE,'04 Hazards'!$K$4:$K$1000,"&gt;=4")&gt;0,4,IF(COUNTIFS('04 Hazards'!$S$4:$S$1000,M20,'04 Hazards'!$R$4:$R$1000,TRUE,'04 Hazards'!$U$4:$U$1000,TRUE,'04 Hazards'!$K$4:$K$1000,"&gt;=3")&gt;0,3,IF(COUNTIFS('04 Hazards'!$S$4:$S$1000,M20,'04 Hazards'!$R$4:$R$1000,TRUE,'04 Hazards'!$U$4:$U$1000,TRUE,'04 Hazards'!$K$4:$K$1000,"&gt;=2")&gt;0,2,1)))))))</f>
        <v>4</v>
      </c>
      <c r="H20" s="5" t="str">
        <f t="shared" si="0"/>
        <v>MEDIUM</v>
      </c>
      <c r="I20" s="5" t="s">
        <v>122</v>
      </c>
      <c r="J20" s="12">
        <v>46145.124305555553</v>
      </c>
      <c r="K20" s="6" t="s">
        <v>123</v>
      </c>
      <c r="L20" s="6" t="s">
        <v>124</v>
      </c>
      <c r="M20" s="6" t="s">
        <v>125</v>
      </c>
      <c r="N20" s="6" t="s">
        <v>23</v>
      </c>
      <c r="O20" s="6" t="s">
        <v>24</v>
      </c>
    </row>
    <row r="21" spans="1:15" ht="30">
      <c r="A21" s="7" t="s">
        <v>126</v>
      </c>
      <c r="B21" s="11">
        <v>46178</v>
      </c>
      <c r="C21" s="4" t="s">
        <v>33</v>
      </c>
      <c r="D21" s="4" t="s">
        <v>127</v>
      </c>
      <c r="E21" s="4" t="s">
        <v>35</v>
      </c>
      <c r="F21" s="13">
        <v>16</v>
      </c>
      <c r="G21" s="14">
        <f>IF(M21="","",IF(COUNTIFS('04 Hazards'!$S$4:$S$1000,M21,'04 Hazards'!$R$4:$R$1000,TRUE,'04 Hazards'!$U$4:$U$1000,TRUE,'04 Hazards'!$K$4:$K$1000,"&gt;=1")=0,"",IF(COUNTIFS('04 Hazards'!$S$4:$S$1000,M21,'04 Hazards'!$R$4:$R$1000,TRUE,'04 Hazards'!$U$4:$U$1000,TRUE,'04 Hazards'!$K$4:$K$1000,"&gt;=9")&gt;0,9,IF(COUNTIFS('04 Hazards'!$S$4:$S$1000,M21,'04 Hazards'!$R$4:$R$1000,TRUE,'04 Hazards'!$U$4:$U$1000,TRUE,'04 Hazards'!$K$4:$K$1000,"&gt;=6")&gt;0,6,IF(COUNTIFS('04 Hazards'!$S$4:$S$1000,M21,'04 Hazards'!$R$4:$R$1000,TRUE,'04 Hazards'!$U$4:$U$1000,TRUE,'04 Hazards'!$K$4:$K$1000,"&gt;=4")&gt;0,4,IF(COUNTIFS('04 Hazards'!$S$4:$S$1000,M21,'04 Hazards'!$R$4:$R$1000,TRUE,'04 Hazards'!$U$4:$U$1000,TRUE,'04 Hazards'!$K$4:$K$1000,"&gt;=3")&gt;0,3,IF(COUNTIFS('04 Hazards'!$S$4:$S$1000,M21,'04 Hazards'!$R$4:$R$1000,TRUE,'04 Hazards'!$U$4:$U$1000,TRUE,'04 Hazards'!$K$4:$K$1000,"&gt;=2")&gt;0,2,1)))))))</f>
        <v>9</v>
      </c>
      <c r="H21" s="5" t="str">
        <f t="shared" si="0"/>
        <v>HIGH</v>
      </c>
      <c r="I21" s="5" t="s">
        <v>128</v>
      </c>
      <c r="J21" s="12">
        <v>46179.129166666666</v>
      </c>
      <c r="K21" s="6" t="s">
        <v>129</v>
      </c>
      <c r="L21" s="6" t="s">
        <v>130</v>
      </c>
      <c r="M21" s="6" t="s">
        <v>131</v>
      </c>
      <c r="N21" s="6" t="s">
        <v>23</v>
      </c>
      <c r="O21" s="6" t="s">
        <v>24</v>
      </c>
    </row>
    <row r="22" spans="1:15" ht="30">
      <c r="A22" s="7" t="s">
        <v>132</v>
      </c>
      <c r="B22" s="11">
        <v>46030</v>
      </c>
      <c r="C22" s="4" t="s">
        <v>33</v>
      </c>
      <c r="D22" s="4" t="s">
        <v>133</v>
      </c>
      <c r="E22" s="4"/>
      <c r="F22" s="13">
        <v>23</v>
      </c>
      <c r="G22" s="14">
        <f>IF(M22="","",IF(COUNTIFS('04 Hazards'!$S$4:$S$1000,M22,'04 Hazards'!$R$4:$R$1000,TRUE,'04 Hazards'!$U$4:$U$1000,TRUE,'04 Hazards'!$K$4:$K$1000,"&gt;=1")=0,"",IF(COUNTIFS('04 Hazards'!$S$4:$S$1000,M22,'04 Hazards'!$R$4:$R$1000,TRUE,'04 Hazards'!$U$4:$U$1000,TRUE,'04 Hazards'!$K$4:$K$1000,"&gt;=9")&gt;0,9,IF(COUNTIFS('04 Hazards'!$S$4:$S$1000,M22,'04 Hazards'!$R$4:$R$1000,TRUE,'04 Hazards'!$U$4:$U$1000,TRUE,'04 Hazards'!$K$4:$K$1000,"&gt;=6")&gt;0,6,IF(COUNTIFS('04 Hazards'!$S$4:$S$1000,M22,'04 Hazards'!$R$4:$R$1000,TRUE,'04 Hazards'!$U$4:$U$1000,TRUE,'04 Hazards'!$K$4:$K$1000,"&gt;=4")&gt;0,4,IF(COUNTIFS('04 Hazards'!$S$4:$S$1000,M22,'04 Hazards'!$R$4:$R$1000,TRUE,'04 Hazards'!$U$4:$U$1000,TRUE,'04 Hazards'!$K$4:$K$1000,"&gt;=3")&gt;0,3,IF(COUNTIFS('04 Hazards'!$S$4:$S$1000,M22,'04 Hazards'!$R$4:$R$1000,TRUE,'04 Hazards'!$U$4:$U$1000,TRUE,'04 Hazards'!$K$4:$K$1000,"&gt;=2")&gt;0,2,1)))))))</f>
        <v>4</v>
      </c>
      <c r="H22" s="5" t="str">
        <f t="shared" si="0"/>
        <v>MEDIUM</v>
      </c>
      <c r="I22" s="5" t="s">
        <v>134</v>
      </c>
      <c r="J22" s="12">
        <v>46031.175694444442</v>
      </c>
      <c r="K22" s="6" t="s">
        <v>135</v>
      </c>
      <c r="L22" s="6" t="s">
        <v>136</v>
      </c>
      <c r="M22" s="6" t="s">
        <v>137</v>
      </c>
      <c r="N22" s="6" t="s">
        <v>23</v>
      </c>
      <c r="O22" s="6" t="s">
        <v>24</v>
      </c>
    </row>
    <row r="23" spans="1:15" ht="30">
      <c r="A23" s="7" t="s">
        <v>138</v>
      </c>
      <c r="B23" s="11">
        <v>46064</v>
      </c>
      <c r="C23" s="4" t="s">
        <v>48</v>
      </c>
      <c r="D23" s="4" t="s">
        <v>139</v>
      </c>
      <c r="E23" s="4" t="s">
        <v>42</v>
      </c>
      <c r="F23" s="13">
        <v>30</v>
      </c>
      <c r="G23" s="14">
        <f>IF(M23="","",IF(COUNTIFS('04 Hazards'!$S$4:$S$1000,M23,'04 Hazards'!$R$4:$R$1000,TRUE,'04 Hazards'!$U$4:$U$1000,TRUE,'04 Hazards'!$K$4:$K$1000,"&gt;=1")=0,"",IF(COUNTIFS('04 Hazards'!$S$4:$S$1000,M23,'04 Hazards'!$R$4:$R$1000,TRUE,'04 Hazards'!$U$4:$U$1000,TRUE,'04 Hazards'!$K$4:$K$1000,"&gt;=9")&gt;0,9,IF(COUNTIFS('04 Hazards'!$S$4:$S$1000,M23,'04 Hazards'!$R$4:$R$1000,TRUE,'04 Hazards'!$U$4:$U$1000,TRUE,'04 Hazards'!$K$4:$K$1000,"&gt;=6")&gt;0,6,IF(COUNTIFS('04 Hazards'!$S$4:$S$1000,M23,'04 Hazards'!$R$4:$R$1000,TRUE,'04 Hazards'!$U$4:$U$1000,TRUE,'04 Hazards'!$K$4:$K$1000,"&gt;=4")&gt;0,4,IF(COUNTIFS('04 Hazards'!$S$4:$S$1000,M23,'04 Hazards'!$R$4:$R$1000,TRUE,'04 Hazards'!$U$4:$U$1000,TRUE,'04 Hazards'!$K$4:$K$1000,"&gt;=3")&gt;0,3,IF(COUNTIFS('04 Hazards'!$S$4:$S$1000,M23,'04 Hazards'!$R$4:$R$1000,TRUE,'04 Hazards'!$U$4:$U$1000,TRUE,'04 Hazards'!$K$4:$K$1000,"&gt;=2")&gt;0,2,1)))))))</f>
        <v>9</v>
      </c>
      <c r="H23" s="5" t="str">
        <f t="shared" si="0"/>
        <v>HIGH</v>
      </c>
      <c r="I23" s="5" t="s">
        <v>140</v>
      </c>
      <c r="J23" s="12">
        <v>46065.222222222219</v>
      </c>
      <c r="K23" s="6" t="s">
        <v>141</v>
      </c>
      <c r="L23" s="6" t="s">
        <v>142</v>
      </c>
      <c r="M23" s="6" t="s">
        <v>143</v>
      </c>
      <c r="N23" s="6" t="s">
        <v>23</v>
      </c>
      <c r="O23" s="6" t="s">
        <v>24</v>
      </c>
    </row>
    <row r="24" spans="1:15" ht="30">
      <c r="A24" s="7" t="s">
        <v>144</v>
      </c>
      <c r="B24" s="11">
        <v>46095</v>
      </c>
      <c r="C24" s="4" t="s">
        <v>17</v>
      </c>
      <c r="D24" s="4" t="s">
        <v>145</v>
      </c>
      <c r="E24" s="4" t="s">
        <v>35</v>
      </c>
      <c r="F24" s="13">
        <v>37</v>
      </c>
      <c r="G24" s="14">
        <f>IF(M24="","",IF(COUNTIFS('04 Hazards'!$S$4:$S$1000,M24,'04 Hazards'!$R$4:$R$1000,TRUE,'04 Hazards'!$U$4:$U$1000,TRUE,'04 Hazards'!$K$4:$K$1000,"&gt;=1")=0,"",IF(COUNTIFS('04 Hazards'!$S$4:$S$1000,M24,'04 Hazards'!$R$4:$R$1000,TRUE,'04 Hazards'!$U$4:$U$1000,TRUE,'04 Hazards'!$K$4:$K$1000,"&gt;=9")&gt;0,9,IF(COUNTIFS('04 Hazards'!$S$4:$S$1000,M24,'04 Hazards'!$R$4:$R$1000,TRUE,'04 Hazards'!$U$4:$U$1000,TRUE,'04 Hazards'!$K$4:$K$1000,"&gt;=6")&gt;0,6,IF(COUNTIFS('04 Hazards'!$S$4:$S$1000,M24,'04 Hazards'!$R$4:$R$1000,TRUE,'04 Hazards'!$U$4:$U$1000,TRUE,'04 Hazards'!$K$4:$K$1000,"&gt;=4")&gt;0,4,IF(COUNTIFS('04 Hazards'!$S$4:$S$1000,M24,'04 Hazards'!$R$4:$R$1000,TRUE,'04 Hazards'!$U$4:$U$1000,TRUE,'04 Hazards'!$K$4:$K$1000,"&gt;=3")&gt;0,3,IF(COUNTIFS('04 Hazards'!$S$4:$S$1000,M24,'04 Hazards'!$R$4:$R$1000,TRUE,'04 Hazards'!$U$4:$U$1000,TRUE,'04 Hazards'!$K$4:$K$1000,"&gt;=2")&gt;0,2,1)))))))</f>
        <v>4</v>
      </c>
      <c r="H24" s="5" t="str">
        <f t="shared" si="0"/>
        <v>MEDIUM</v>
      </c>
      <c r="I24" s="5" t="s">
        <v>146</v>
      </c>
      <c r="J24" s="12">
        <v>46096.268750000003</v>
      </c>
      <c r="K24" s="6" t="s">
        <v>147</v>
      </c>
      <c r="L24" s="6" t="s">
        <v>148</v>
      </c>
      <c r="M24" s="6" t="s">
        <v>149</v>
      </c>
      <c r="N24" s="6" t="s">
        <v>23</v>
      </c>
      <c r="O24" s="6" t="s">
        <v>24</v>
      </c>
    </row>
    <row r="25" spans="1:15" ht="30">
      <c r="A25" s="7" t="s">
        <v>150</v>
      </c>
      <c r="B25" s="11">
        <v>46129</v>
      </c>
      <c r="C25" s="4" t="s">
        <v>26</v>
      </c>
      <c r="D25" s="4" t="s">
        <v>151</v>
      </c>
      <c r="E25" s="4"/>
      <c r="F25" s="13">
        <v>44</v>
      </c>
      <c r="G25" s="14">
        <f>IF(M25="","",IF(COUNTIFS('04 Hazards'!$S$4:$S$1000,M25,'04 Hazards'!$R$4:$R$1000,TRUE,'04 Hazards'!$U$4:$U$1000,TRUE,'04 Hazards'!$K$4:$K$1000,"&gt;=1")=0,"",IF(COUNTIFS('04 Hazards'!$S$4:$S$1000,M25,'04 Hazards'!$R$4:$R$1000,TRUE,'04 Hazards'!$U$4:$U$1000,TRUE,'04 Hazards'!$K$4:$K$1000,"&gt;=9")&gt;0,9,IF(COUNTIFS('04 Hazards'!$S$4:$S$1000,M25,'04 Hazards'!$R$4:$R$1000,TRUE,'04 Hazards'!$U$4:$U$1000,TRUE,'04 Hazards'!$K$4:$K$1000,"&gt;=6")&gt;0,6,IF(COUNTIFS('04 Hazards'!$S$4:$S$1000,M25,'04 Hazards'!$R$4:$R$1000,TRUE,'04 Hazards'!$U$4:$U$1000,TRUE,'04 Hazards'!$K$4:$K$1000,"&gt;=4")&gt;0,4,IF(COUNTIFS('04 Hazards'!$S$4:$S$1000,M25,'04 Hazards'!$R$4:$R$1000,TRUE,'04 Hazards'!$U$4:$U$1000,TRUE,'04 Hazards'!$K$4:$K$1000,"&gt;=3")&gt;0,3,IF(COUNTIFS('04 Hazards'!$S$4:$S$1000,M25,'04 Hazards'!$R$4:$R$1000,TRUE,'04 Hazards'!$U$4:$U$1000,TRUE,'04 Hazards'!$K$4:$K$1000,"&gt;=2")&gt;0,2,1)))))))</f>
        <v>9</v>
      </c>
      <c r="H25" s="5" t="str">
        <f t="shared" si="0"/>
        <v>HIGH</v>
      </c>
      <c r="I25" s="5" t="s">
        <v>152</v>
      </c>
      <c r="J25" s="12">
        <v>46130.31527777778</v>
      </c>
      <c r="K25" s="6" t="s">
        <v>153</v>
      </c>
      <c r="L25" s="6" t="s">
        <v>154</v>
      </c>
      <c r="M25" s="6" t="s">
        <v>155</v>
      </c>
      <c r="N25" s="6" t="s">
        <v>23</v>
      </c>
      <c r="O25" s="6" t="s">
        <v>24</v>
      </c>
    </row>
    <row r="26" spans="1:15" ht="30">
      <c r="A26" s="7" t="s">
        <v>156</v>
      </c>
      <c r="B26" s="11">
        <v>46162</v>
      </c>
      <c r="C26" s="4" t="s">
        <v>33</v>
      </c>
      <c r="D26" s="4" t="s">
        <v>157</v>
      </c>
      <c r="E26" s="4"/>
      <c r="F26" s="13">
        <v>51</v>
      </c>
      <c r="G26" s="14">
        <f>IF(M26="","",IF(COUNTIFS('04 Hazards'!$S$4:$S$1000,M26,'04 Hazards'!$R$4:$R$1000,TRUE,'04 Hazards'!$U$4:$U$1000,TRUE,'04 Hazards'!$K$4:$K$1000,"&gt;=1")=0,"",IF(COUNTIFS('04 Hazards'!$S$4:$S$1000,M26,'04 Hazards'!$R$4:$R$1000,TRUE,'04 Hazards'!$U$4:$U$1000,TRUE,'04 Hazards'!$K$4:$K$1000,"&gt;=9")&gt;0,9,IF(COUNTIFS('04 Hazards'!$S$4:$S$1000,M26,'04 Hazards'!$R$4:$R$1000,TRUE,'04 Hazards'!$U$4:$U$1000,TRUE,'04 Hazards'!$K$4:$K$1000,"&gt;=6")&gt;0,6,IF(COUNTIFS('04 Hazards'!$S$4:$S$1000,M26,'04 Hazards'!$R$4:$R$1000,TRUE,'04 Hazards'!$U$4:$U$1000,TRUE,'04 Hazards'!$K$4:$K$1000,"&gt;=4")&gt;0,4,IF(COUNTIFS('04 Hazards'!$S$4:$S$1000,M26,'04 Hazards'!$R$4:$R$1000,TRUE,'04 Hazards'!$U$4:$U$1000,TRUE,'04 Hazards'!$K$4:$K$1000,"&gt;=3")&gt;0,3,IF(COUNTIFS('04 Hazards'!$S$4:$S$1000,M26,'04 Hazards'!$R$4:$R$1000,TRUE,'04 Hazards'!$U$4:$U$1000,TRUE,'04 Hazards'!$K$4:$K$1000,"&gt;=2")&gt;0,2,1)))))))</f>
        <v>2</v>
      </c>
      <c r="H26" s="5" t="str">
        <f t="shared" si="0"/>
        <v>LOW</v>
      </c>
      <c r="I26" s="5" t="s">
        <v>158</v>
      </c>
      <c r="J26" s="12">
        <v>46163.361805555556</v>
      </c>
      <c r="K26" s="6" t="s">
        <v>159</v>
      </c>
      <c r="L26" s="6" t="s">
        <v>160</v>
      </c>
      <c r="M26" s="6" t="s">
        <v>161</v>
      </c>
      <c r="N26" s="6" t="s">
        <v>23</v>
      </c>
      <c r="O26" s="6" t="s">
        <v>24</v>
      </c>
    </row>
    <row r="27" spans="1:15" ht="30">
      <c r="A27" s="7" t="s">
        <v>162</v>
      </c>
      <c r="B27" s="11">
        <v>46196</v>
      </c>
      <c r="C27" s="4" t="s">
        <v>33</v>
      </c>
      <c r="D27" s="4" t="s">
        <v>163</v>
      </c>
      <c r="E27" s="4" t="s">
        <v>42</v>
      </c>
      <c r="F27" s="13">
        <v>58</v>
      </c>
      <c r="G27" s="14">
        <f>IF(M27="","",IF(COUNTIFS('04 Hazards'!$S$4:$S$1000,M27,'04 Hazards'!$R$4:$R$1000,TRUE,'04 Hazards'!$U$4:$U$1000,TRUE,'04 Hazards'!$K$4:$K$1000,"&gt;=1")=0,"",IF(COUNTIFS('04 Hazards'!$S$4:$S$1000,M27,'04 Hazards'!$R$4:$R$1000,TRUE,'04 Hazards'!$U$4:$U$1000,TRUE,'04 Hazards'!$K$4:$K$1000,"&gt;=9")&gt;0,9,IF(COUNTIFS('04 Hazards'!$S$4:$S$1000,M27,'04 Hazards'!$R$4:$R$1000,TRUE,'04 Hazards'!$U$4:$U$1000,TRUE,'04 Hazards'!$K$4:$K$1000,"&gt;=6")&gt;0,6,IF(COUNTIFS('04 Hazards'!$S$4:$S$1000,M27,'04 Hazards'!$R$4:$R$1000,TRUE,'04 Hazards'!$U$4:$U$1000,TRUE,'04 Hazards'!$K$4:$K$1000,"&gt;=4")&gt;0,4,IF(COUNTIFS('04 Hazards'!$S$4:$S$1000,M27,'04 Hazards'!$R$4:$R$1000,TRUE,'04 Hazards'!$U$4:$U$1000,TRUE,'04 Hazards'!$K$4:$K$1000,"&gt;=3")&gt;0,3,IF(COUNTIFS('04 Hazards'!$S$4:$S$1000,M27,'04 Hazards'!$R$4:$R$1000,TRUE,'04 Hazards'!$U$4:$U$1000,TRUE,'04 Hazards'!$K$4:$K$1000,"&gt;=2")&gt;0,2,1)))))))</f>
        <v>9</v>
      </c>
      <c r="H27" s="5" t="str">
        <f t="shared" si="0"/>
        <v>HIGH</v>
      </c>
      <c r="I27" s="5" t="s">
        <v>164</v>
      </c>
      <c r="J27" s="12">
        <v>46197.074999999997</v>
      </c>
      <c r="K27" s="6" t="s">
        <v>165</v>
      </c>
      <c r="L27" s="6" t="s">
        <v>166</v>
      </c>
      <c r="M27" s="6" t="s">
        <v>167</v>
      </c>
      <c r="N27" s="6" t="s">
        <v>23</v>
      </c>
      <c r="O27" s="6" t="s">
        <v>24</v>
      </c>
    </row>
    <row r="28" spans="1:15" ht="30">
      <c r="A28" s="7" t="s">
        <v>168</v>
      </c>
      <c r="B28" s="11">
        <v>46023</v>
      </c>
      <c r="C28" s="4" t="s">
        <v>48</v>
      </c>
      <c r="D28" s="4" t="s">
        <v>169</v>
      </c>
      <c r="E28" s="4"/>
      <c r="F28" s="13">
        <v>7</v>
      </c>
      <c r="G28" s="14">
        <f>IF(M28="","",IF(COUNTIFS('04 Hazards'!$S$4:$S$1000,M28,'04 Hazards'!$R$4:$R$1000,TRUE,'04 Hazards'!$U$4:$U$1000,TRUE,'04 Hazards'!$K$4:$K$1000,"&gt;=1")=0,"",IF(COUNTIFS('04 Hazards'!$S$4:$S$1000,M28,'04 Hazards'!$R$4:$R$1000,TRUE,'04 Hazards'!$U$4:$U$1000,TRUE,'04 Hazards'!$K$4:$K$1000,"&gt;=9")&gt;0,9,IF(COUNTIFS('04 Hazards'!$S$4:$S$1000,M28,'04 Hazards'!$R$4:$R$1000,TRUE,'04 Hazards'!$U$4:$U$1000,TRUE,'04 Hazards'!$K$4:$K$1000,"&gt;=6")&gt;0,6,IF(COUNTIFS('04 Hazards'!$S$4:$S$1000,M28,'04 Hazards'!$R$4:$R$1000,TRUE,'04 Hazards'!$U$4:$U$1000,TRUE,'04 Hazards'!$K$4:$K$1000,"&gt;=4")&gt;0,4,IF(COUNTIFS('04 Hazards'!$S$4:$S$1000,M28,'04 Hazards'!$R$4:$R$1000,TRUE,'04 Hazards'!$U$4:$U$1000,TRUE,'04 Hazards'!$K$4:$K$1000,"&gt;=3")&gt;0,3,IF(COUNTIFS('04 Hazards'!$S$4:$S$1000,M28,'04 Hazards'!$R$4:$R$1000,TRUE,'04 Hazards'!$U$4:$U$1000,TRUE,'04 Hazards'!$K$4:$K$1000,"&gt;=2")&gt;0,2,1)))))))</f>
        <v>4</v>
      </c>
      <c r="H28" s="5" t="str">
        <f t="shared" si="0"/>
        <v>MEDIUM</v>
      </c>
      <c r="I28" s="5" t="s">
        <v>170</v>
      </c>
      <c r="J28" s="12">
        <v>46024.121527777781</v>
      </c>
      <c r="K28" s="6" t="s">
        <v>171</v>
      </c>
      <c r="L28" s="6" t="s">
        <v>172</v>
      </c>
      <c r="M28" s="6" t="s">
        <v>173</v>
      </c>
      <c r="N28" s="6" t="s">
        <v>23</v>
      </c>
      <c r="O28" s="6" t="s">
        <v>24</v>
      </c>
    </row>
    <row r="29" spans="1:15" ht="30">
      <c r="A29" s="7" t="s">
        <v>174</v>
      </c>
      <c r="B29" s="11">
        <v>46057</v>
      </c>
      <c r="C29" s="4" t="s">
        <v>17</v>
      </c>
      <c r="D29" s="4" t="s">
        <v>175</v>
      </c>
      <c r="E29" s="4"/>
      <c r="F29" s="13">
        <v>14</v>
      </c>
      <c r="G29" s="14">
        <f>IF(M29="","",IF(COUNTIFS('04 Hazards'!$S$4:$S$1000,M29,'04 Hazards'!$R$4:$R$1000,TRUE,'04 Hazards'!$U$4:$U$1000,TRUE,'04 Hazards'!$K$4:$K$1000,"&gt;=1")=0,"",IF(COUNTIFS('04 Hazards'!$S$4:$S$1000,M29,'04 Hazards'!$R$4:$R$1000,TRUE,'04 Hazards'!$U$4:$U$1000,TRUE,'04 Hazards'!$K$4:$K$1000,"&gt;=9")&gt;0,9,IF(COUNTIFS('04 Hazards'!$S$4:$S$1000,M29,'04 Hazards'!$R$4:$R$1000,TRUE,'04 Hazards'!$U$4:$U$1000,TRUE,'04 Hazards'!$K$4:$K$1000,"&gt;=6")&gt;0,6,IF(COUNTIFS('04 Hazards'!$S$4:$S$1000,M29,'04 Hazards'!$R$4:$R$1000,TRUE,'04 Hazards'!$U$4:$U$1000,TRUE,'04 Hazards'!$K$4:$K$1000,"&gt;=4")&gt;0,4,IF(COUNTIFS('04 Hazards'!$S$4:$S$1000,M29,'04 Hazards'!$R$4:$R$1000,TRUE,'04 Hazards'!$U$4:$U$1000,TRUE,'04 Hazards'!$K$4:$K$1000,"&gt;=3")&gt;0,3,IF(COUNTIFS('04 Hazards'!$S$4:$S$1000,M29,'04 Hazards'!$R$4:$R$1000,TRUE,'04 Hazards'!$U$4:$U$1000,TRUE,'04 Hazards'!$K$4:$K$1000,"&gt;=2")&gt;0,2,1)))))))</f>
        <v>9</v>
      </c>
      <c r="H29" s="5" t="str">
        <f t="shared" si="0"/>
        <v>HIGH</v>
      </c>
      <c r="I29" s="5" t="s">
        <v>176</v>
      </c>
      <c r="J29" s="12">
        <v>46058.126388888886</v>
      </c>
      <c r="K29" s="6" t="s">
        <v>177</v>
      </c>
      <c r="L29" s="6" t="s">
        <v>178</v>
      </c>
      <c r="M29" s="6" t="s">
        <v>179</v>
      </c>
      <c r="N29" s="6" t="s">
        <v>23</v>
      </c>
      <c r="O29" s="6" t="s">
        <v>24</v>
      </c>
    </row>
    <row r="30" spans="1:15" ht="30">
      <c r="A30" s="7" t="s">
        <v>180</v>
      </c>
      <c r="B30" s="11">
        <v>46088</v>
      </c>
      <c r="C30" s="4" t="s">
        <v>26</v>
      </c>
      <c r="D30" s="4" t="s">
        <v>181</v>
      </c>
      <c r="E30" s="4" t="s">
        <v>35</v>
      </c>
      <c r="F30" s="13">
        <v>21</v>
      </c>
      <c r="G30" s="14">
        <f>IF(M30="","",IF(COUNTIFS('04 Hazards'!$S$4:$S$1000,M30,'04 Hazards'!$R$4:$R$1000,TRUE,'04 Hazards'!$U$4:$U$1000,TRUE,'04 Hazards'!$K$4:$K$1000,"&gt;=1")=0,"",IF(COUNTIFS('04 Hazards'!$S$4:$S$1000,M30,'04 Hazards'!$R$4:$R$1000,TRUE,'04 Hazards'!$U$4:$U$1000,TRUE,'04 Hazards'!$K$4:$K$1000,"&gt;=9")&gt;0,9,IF(COUNTIFS('04 Hazards'!$S$4:$S$1000,M30,'04 Hazards'!$R$4:$R$1000,TRUE,'04 Hazards'!$U$4:$U$1000,TRUE,'04 Hazards'!$K$4:$K$1000,"&gt;=6")&gt;0,6,IF(COUNTIFS('04 Hazards'!$S$4:$S$1000,M30,'04 Hazards'!$R$4:$R$1000,TRUE,'04 Hazards'!$U$4:$U$1000,TRUE,'04 Hazards'!$K$4:$K$1000,"&gt;=4")&gt;0,4,IF(COUNTIFS('04 Hazards'!$S$4:$S$1000,M30,'04 Hazards'!$R$4:$R$1000,TRUE,'04 Hazards'!$U$4:$U$1000,TRUE,'04 Hazards'!$K$4:$K$1000,"&gt;=3")&gt;0,3,IF(COUNTIFS('04 Hazards'!$S$4:$S$1000,M30,'04 Hazards'!$R$4:$R$1000,TRUE,'04 Hazards'!$U$4:$U$1000,TRUE,'04 Hazards'!$K$4:$K$1000,"&gt;=2")&gt;0,2,1)))))))</f>
        <v>9</v>
      </c>
      <c r="H30" s="5" t="str">
        <f t="shared" si="0"/>
        <v>HIGH</v>
      </c>
      <c r="I30" s="5" t="s">
        <v>182</v>
      </c>
      <c r="J30" s="12">
        <v>46089.17291666667</v>
      </c>
      <c r="K30" s="6" t="s">
        <v>183</v>
      </c>
      <c r="L30" s="6" t="s">
        <v>184</v>
      </c>
      <c r="M30" s="6" t="s">
        <v>185</v>
      </c>
      <c r="N30" s="6" t="s">
        <v>23</v>
      </c>
      <c r="O30" s="6" t="s">
        <v>24</v>
      </c>
    </row>
    <row r="31" spans="1:15" ht="30">
      <c r="A31" s="7" t="s">
        <v>186</v>
      </c>
      <c r="B31" s="11">
        <v>46122</v>
      </c>
      <c r="C31" s="4" t="s">
        <v>33</v>
      </c>
      <c r="D31" s="4" t="s">
        <v>187</v>
      </c>
      <c r="E31" s="4" t="s">
        <v>42</v>
      </c>
      <c r="F31" s="13">
        <v>28</v>
      </c>
      <c r="G31" s="14">
        <f>IF(M31="","",IF(COUNTIFS('04 Hazards'!$S$4:$S$1000,M31,'04 Hazards'!$R$4:$R$1000,TRUE,'04 Hazards'!$U$4:$U$1000,TRUE,'04 Hazards'!$K$4:$K$1000,"&gt;=1")=0,"",IF(COUNTIFS('04 Hazards'!$S$4:$S$1000,M31,'04 Hazards'!$R$4:$R$1000,TRUE,'04 Hazards'!$U$4:$U$1000,TRUE,'04 Hazards'!$K$4:$K$1000,"&gt;=9")&gt;0,9,IF(COUNTIFS('04 Hazards'!$S$4:$S$1000,M31,'04 Hazards'!$R$4:$R$1000,TRUE,'04 Hazards'!$U$4:$U$1000,TRUE,'04 Hazards'!$K$4:$K$1000,"&gt;=6")&gt;0,6,IF(COUNTIFS('04 Hazards'!$S$4:$S$1000,M31,'04 Hazards'!$R$4:$R$1000,TRUE,'04 Hazards'!$U$4:$U$1000,TRUE,'04 Hazards'!$K$4:$K$1000,"&gt;=4")&gt;0,4,IF(COUNTIFS('04 Hazards'!$S$4:$S$1000,M31,'04 Hazards'!$R$4:$R$1000,TRUE,'04 Hazards'!$U$4:$U$1000,TRUE,'04 Hazards'!$K$4:$K$1000,"&gt;=3")&gt;0,3,IF(COUNTIFS('04 Hazards'!$S$4:$S$1000,M31,'04 Hazards'!$R$4:$R$1000,TRUE,'04 Hazards'!$U$4:$U$1000,TRUE,'04 Hazards'!$K$4:$K$1000,"&gt;=2")&gt;0,2,1)))))))</f>
        <v>9</v>
      </c>
      <c r="H31" s="5" t="str">
        <f t="shared" si="0"/>
        <v>HIGH</v>
      </c>
      <c r="I31" s="5" t="s">
        <v>188</v>
      </c>
      <c r="J31" s="12">
        <v>46123.219444444447</v>
      </c>
      <c r="K31" s="6" t="s">
        <v>189</v>
      </c>
      <c r="L31" s="6" t="s">
        <v>190</v>
      </c>
      <c r="M31" s="6" t="s">
        <v>191</v>
      </c>
      <c r="N31" s="6" t="s">
        <v>23</v>
      </c>
      <c r="O31" s="6" t="s">
        <v>24</v>
      </c>
    </row>
    <row r="32" spans="1:15" ht="30">
      <c r="A32" s="7" t="s">
        <v>192</v>
      </c>
      <c r="B32" s="11">
        <v>46155</v>
      </c>
      <c r="C32" s="4" t="s">
        <v>33</v>
      </c>
      <c r="D32" s="4" t="s">
        <v>193</v>
      </c>
      <c r="E32" s="4"/>
      <c r="F32" s="13">
        <v>35</v>
      </c>
      <c r="G32" s="14">
        <f>IF(M32="","",IF(COUNTIFS('04 Hazards'!$S$4:$S$1000,M32,'04 Hazards'!$R$4:$R$1000,TRUE,'04 Hazards'!$U$4:$U$1000,TRUE,'04 Hazards'!$K$4:$K$1000,"&gt;=1")=0,"",IF(COUNTIFS('04 Hazards'!$S$4:$S$1000,M32,'04 Hazards'!$R$4:$R$1000,TRUE,'04 Hazards'!$U$4:$U$1000,TRUE,'04 Hazards'!$K$4:$K$1000,"&gt;=9")&gt;0,9,IF(COUNTIFS('04 Hazards'!$S$4:$S$1000,M32,'04 Hazards'!$R$4:$R$1000,TRUE,'04 Hazards'!$U$4:$U$1000,TRUE,'04 Hazards'!$K$4:$K$1000,"&gt;=6")&gt;0,6,IF(COUNTIFS('04 Hazards'!$S$4:$S$1000,M32,'04 Hazards'!$R$4:$R$1000,TRUE,'04 Hazards'!$U$4:$U$1000,TRUE,'04 Hazards'!$K$4:$K$1000,"&gt;=4")&gt;0,4,IF(COUNTIFS('04 Hazards'!$S$4:$S$1000,M32,'04 Hazards'!$R$4:$R$1000,TRUE,'04 Hazards'!$U$4:$U$1000,TRUE,'04 Hazards'!$K$4:$K$1000,"&gt;=3")&gt;0,3,IF(COUNTIFS('04 Hazards'!$S$4:$S$1000,M32,'04 Hazards'!$R$4:$R$1000,TRUE,'04 Hazards'!$U$4:$U$1000,TRUE,'04 Hazards'!$K$4:$K$1000,"&gt;=2")&gt;0,2,1)))))))</f>
        <v>2</v>
      </c>
      <c r="H32" s="5" t="str">
        <f t="shared" si="0"/>
        <v>LOW</v>
      </c>
      <c r="I32" s="5" t="s">
        <v>194</v>
      </c>
      <c r="J32" s="12">
        <v>46156.265972222223</v>
      </c>
      <c r="K32" s="6" t="s">
        <v>195</v>
      </c>
      <c r="L32" s="6" t="s">
        <v>196</v>
      </c>
      <c r="M32" s="6" t="s">
        <v>197</v>
      </c>
      <c r="N32" s="6" t="s">
        <v>23</v>
      </c>
      <c r="O32" s="6" t="s">
        <v>24</v>
      </c>
    </row>
    <row r="33" spans="1:15" ht="30">
      <c r="A33" s="7" t="s">
        <v>198</v>
      </c>
      <c r="B33" s="11">
        <v>46189</v>
      </c>
      <c r="C33" s="4" t="s">
        <v>48</v>
      </c>
      <c r="D33" s="4" t="s">
        <v>199</v>
      </c>
      <c r="E33" s="4" t="s">
        <v>35</v>
      </c>
      <c r="F33" s="13">
        <v>42</v>
      </c>
      <c r="G33" s="14">
        <f>IF(M33="","",IF(COUNTIFS('04 Hazards'!$S$4:$S$1000,M33,'04 Hazards'!$R$4:$R$1000,TRUE,'04 Hazards'!$U$4:$U$1000,TRUE,'04 Hazards'!$K$4:$K$1000,"&gt;=1")=0,"",IF(COUNTIFS('04 Hazards'!$S$4:$S$1000,M33,'04 Hazards'!$R$4:$R$1000,TRUE,'04 Hazards'!$U$4:$U$1000,TRUE,'04 Hazards'!$K$4:$K$1000,"&gt;=9")&gt;0,9,IF(COUNTIFS('04 Hazards'!$S$4:$S$1000,M33,'04 Hazards'!$R$4:$R$1000,TRUE,'04 Hazards'!$U$4:$U$1000,TRUE,'04 Hazards'!$K$4:$K$1000,"&gt;=6")&gt;0,6,IF(COUNTIFS('04 Hazards'!$S$4:$S$1000,M33,'04 Hazards'!$R$4:$R$1000,TRUE,'04 Hazards'!$U$4:$U$1000,TRUE,'04 Hazards'!$K$4:$K$1000,"&gt;=4")&gt;0,4,IF(COUNTIFS('04 Hazards'!$S$4:$S$1000,M33,'04 Hazards'!$R$4:$R$1000,TRUE,'04 Hazards'!$U$4:$U$1000,TRUE,'04 Hazards'!$K$4:$K$1000,"&gt;=3")&gt;0,3,IF(COUNTIFS('04 Hazards'!$S$4:$S$1000,M33,'04 Hazards'!$R$4:$R$1000,TRUE,'04 Hazards'!$U$4:$U$1000,TRUE,'04 Hazards'!$K$4:$K$1000,"&gt;=2")&gt;0,2,1)))))))</f>
        <v>4</v>
      </c>
      <c r="H33" s="5" t="str">
        <f t="shared" si="0"/>
        <v>MEDIUM</v>
      </c>
      <c r="I33" s="5" t="s">
        <v>200</v>
      </c>
      <c r="J33" s="12">
        <v>46190.3125</v>
      </c>
      <c r="K33" s="6" t="s">
        <v>201</v>
      </c>
      <c r="L33" s="6" t="s">
        <v>202</v>
      </c>
      <c r="M33" s="6" t="s">
        <v>203</v>
      </c>
      <c r="N33" s="6" t="s">
        <v>23</v>
      </c>
      <c r="O33" s="6" t="s">
        <v>24</v>
      </c>
    </row>
    <row r="34" spans="1:15" ht="30">
      <c r="A34" s="7" t="s">
        <v>204</v>
      </c>
      <c r="B34" s="11">
        <v>46041</v>
      </c>
      <c r="C34" s="4" t="s">
        <v>17</v>
      </c>
      <c r="D34" s="4" t="s">
        <v>205</v>
      </c>
      <c r="E34" s="4"/>
      <c r="F34" s="13">
        <v>49</v>
      </c>
      <c r="G34" s="14">
        <f>IF(M34="","",IF(COUNTIFS('04 Hazards'!$S$4:$S$1000,M34,'04 Hazards'!$R$4:$R$1000,TRUE,'04 Hazards'!$U$4:$U$1000,TRUE,'04 Hazards'!$K$4:$K$1000,"&gt;=1")=0,"",IF(COUNTIFS('04 Hazards'!$S$4:$S$1000,M34,'04 Hazards'!$R$4:$R$1000,TRUE,'04 Hazards'!$U$4:$U$1000,TRUE,'04 Hazards'!$K$4:$K$1000,"&gt;=9")&gt;0,9,IF(COUNTIFS('04 Hazards'!$S$4:$S$1000,M34,'04 Hazards'!$R$4:$R$1000,TRUE,'04 Hazards'!$U$4:$U$1000,TRUE,'04 Hazards'!$K$4:$K$1000,"&gt;=6")&gt;0,6,IF(COUNTIFS('04 Hazards'!$S$4:$S$1000,M34,'04 Hazards'!$R$4:$R$1000,TRUE,'04 Hazards'!$U$4:$U$1000,TRUE,'04 Hazards'!$K$4:$K$1000,"&gt;=4")&gt;0,4,IF(COUNTIFS('04 Hazards'!$S$4:$S$1000,M34,'04 Hazards'!$R$4:$R$1000,TRUE,'04 Hazards'!$U$4:$U$1000,TRUE,'04 Hazards'!$K$4:$K$1000,"&gt;=3")&gt;0,3,IF(COUNTIFS('04 Hazards'!$S$4:$S$1000,M34,'04 Hazards'!$R$4:$R$1000,TRUE,'04 Hazards'!$U$4:$U$1000,TRUE,'04 Hazards'!$K$4:$K$1000,"&gt;=2")&gt;0,2,1)))))))</f>
        <v>2</v>
      </c>
      <c r="H34" s="5" t="str">
        <f t="shared" si="0"/>
        <v>LOW</v>
      </c>
      <c r="I34" s="5" t="s">
        <v>206</v>
      </c>
      <c r="J34" s="12">
        <v>46042.359027777777</v>
      </c>
      <c r="K34" s="6" t="s">
        <v>207</v>
      </c>
      <c r="L34" s="6" t="s">
        <v>208</v>
      </c>
      <c r="M34" s="6" t="s">
        <v>209</v>
      </c>
      <c r="N34" s="6" t="s">
        <v>23</v>
      </c>
      <c r="O34" s="6" t="s">
        <v>24</v>
      </c>
    </row>
    <row r="35" spans="1:15" ht="30">
      <c r="A35" s="7" t="s">
        <v>210</v>
      </c>
      <c r="B35" s="11">
        <v>46075</v>
      </c>
      <c r="C35" s="4" t="s">
        <v>26</v>
      </c>
      <c r="D35" s="4" t="s">
        <v>211</v>
      </c>
      <c r="E35" s="4" t="s">
        <v>42</v>
      </c>
      <c r="F35" s="13">
        <v>56</v>
      </c>
      <c r="G35" s="14">
        <f>IF(M35="","",IF(COUNTIFS('04 Hazards'!$S$4:$S$1000,M35,'04 Hazards'!$R$4:$R$1000,TRUE,'04 Hazards'!$U$4:$U$1000,TRUE,'04 Hazards'!$K$4:$K$1000,"&gt;=1")=0,"",IF(COUNTIFS('04 Hazards'!$S$4:$S$1000,M35,'04 Hazards'!$R$4:$R$1000,TRUE,'04 Hazards'!$U$4:$U$1000,TRUE,'04 Hazards'!$K$4:$K$1000,"&gt;=9")&gt;0,9,IF(COUNTIFS('04 Hazards'!$S$4:$S$1000,M35,'04 Hazards'!$R$4:$R$1000,TRUE,'04 Hazards'!$U$4:$U$1000,TRUE,'04 Hazards'!$K$4:$K$1000,"&gt;=6")&gt;0,6,IF(COUNTIFS('04 Hazards'!$S$4:$S$1000,M35,'04 Hazards'!$R$4:$R$1000,TRUE,'04 Hazards'!$U$4:$U$1000,TRUE,'04 Hazards'!$K$4:$K$1000,"&gt;=4")&gt;0,4,IF(COUNTIFS('04 Hazards'!$S$4:$S$1000,M35,'04 Hazards'!$R$4:$R$1000,TRUE,'04 Hazards'!$U$4:$U$1000,TRUE,'04 Hazards'!$K$4:$K$1000,"&gt;=3")&gt;0,3,IF(COUNTIFS('04 Hazards'!$S$4:$S$1000,M35,'04 Hazards'!$R$4:$R$1000,TRUE,'04 Hazards'!$U$4:$U$1000,TRUE,'04 Hazards'!$K$4:$K$1000,"&gt;=2")&gt;0,2,1)))))))</f>
        <v>2</v>
      </c>
      <c r="H35" s="5" t="str">
        <f t="shared" si="0"/>
        <v>LOW</v>
      </c>
      <c r="I35" s="5" t="s">
        <v>212</v>
      </c>
      <c r="J35" s="12">
        <v>46076.072222222225</v>
      </c>
      <c r="K35" s="6" t="s">
        <v>213</v>
      </c>
      <c r="L35" s="6" t="s">
        <v>214</v>
      </c>
      <c r="M35" s="6" t="s">
        <v>215</v>
      </c>
      <c r="N35" s="6" t="s">
        <v>23</v>
      </c>
      <c r="O35" s="6" t="s">
        <v>24</v>
      </c>
    </row>
    <row r="36" spans="1:15" ht="30">
      <c r="A36" s="7" t="s">
        <v>216</v>
      </c>
      <c r="B36" s="11">
        <v>46106</v>
      </c>
      <c r="C36" s="4" t="s">
        <v>33</v>
      </c>
      <c r="D36" s="4" t="s">
        <v>217</v>
      </c>
      <c r="E36" s="4" t="s">
        <v>35</v>
      </c>
      <c r="F36" s="13">
        <v>63</v>
      </c>
      <c r="G36" s="14">
        <f>IF(M36="","",IF(COUNTIFS('04 Hazards'!$S$4:$S$1000,M36,'04 Hazards'!$R$4:$R$1000,TRUE,'04 Hazards'!$U$4:$U$1000,TRUE,'04 Hazards'!$K$4:$K$1000,"&gt;=1")=0,"",IF(COUNTIFS('04 Hazards'!$S$4:$S$1000,M36,'04 Hazards'!$R$4:$R$1000,TRUE,'04 Hazards'!$U$4:$U$1000,TRUE,'04 Hazards'!$K$4:$K$1000,"&gt;=9")&gt;0,9,IF(COUNTIFS('04 Hazards'!$S$4:$S$1000,M36,'04 Hazards'!$R$4:$R$1000,TRUE,'04 Hazards'!$U$4:$U$1000,TRUE,'04 Hazards'!$K$4:$K$1000,"&gt;=6")&gt;0,6,IF(COUNTIFS('04 Hazards'!$S$4:$S$1000,M36,'04 Hazards'!$R$4:$R$1000,TRUE,'04 Hazards'!$U$4:$U$1000,TRUE,'04 Hazards'!$K$4:$K$1000,"&gt;=4")&gt;0,4,IF(COUNTIFS('04 Hazards'!$S$4:$S$1000,M36,'04 Hazards'!$R$4:$R$1000,TRUE,'04 Hazards'!$U$4:$U$1000,TRUE,'04 Hazards'!$K$4:$K$1000,"&gt;=3")&gt;0,3,IF(COUNTIFS('04 Hazards'!$S$4:$S$1000,M36,'04 Hazards'!$R$4:$R$1000,TRUE,'04 Hazards'!$U$4:$U$1000,TRUE,'04 Hazards'!$K$4:$K$1000,"&gt;=2")&gt;0,2,1)))))))</f>
        <v>4</v>
      </c>
      <c r="H36" s="5" t="str">
        <f t="shared" ref="H36:H67" si="1">IF(G36="","",IF(G36&lt;=2,"LOW",IF(G36&lt;=4,"MEDIUM","HIGH")))</f>
        <v>MEDIUM</v>
      </c>
      <c r="I36" s="5" t="s">
        <v>218</v>
      </c>
      <c r="J36" s="12">
        <v>46107.118750000001</v>
      </c>
      <c r="K36" s="6" t="s">
        <v>219</v>
      </c>
      <c r="L36" s="6" t="s">
        <v>220</v>
      </c>
      <c r="M36" s="6" t="s">
        <v>221</v>
      </c>
      <c r="N36" s="6" t="s">
        <v>23</v>
      </c>
      <c r="O36" s="6" t="s">
        <v>24</v>
      </c>
    </row>
    <row r="37" spans="1:15" ht="30">
      <c r="A37" s="7" t="s">
        <v>222</v>
      </c>
      <c r="B37" s="11">
        <v>46115</v>
      </c>
      <c r="C37" s="4" t="s">
        <v>33</v>
      </c>
      <c r="D37" s="4" t="s">
        <v>223</v>
      </c>
      <c r="E37" s="4"/>
      <c r="F37" s="13">
        <v>12</v>
      </c>
      <c r="G37" s="14">
        <f>IF(M37="","",IF(COUNTIFS('04 Hazards'!$S$4:$S$1000,M37,'04 Hazards'!$R$4:$R$1000,TRUE,'04 Hazards'!$U$4:$U$1000,TRUE,'04 Hazards'!$K$4:$K$1000,"&gt;=1")=0,"",IF(COUNTIFS('04 Hazards'!$S$4:$S$1000,M37,'04 Hazards'!$R$4:$R$1000,TRUE,'04 Hazards'!$U$4:$U$1000,TRUE,'04 Hazards'!$K$4:$K$1000,"&gt;=9")&gt;0,9,IF(COUNTIFS('04 Hazards'!$S$4:$S$1000,M37,'04 Hazards'!$R$4:$R$1000,TRUE,'04 Hazards'!$U$4:$U$1000,TRUE,'04 Hazards'!$K$4:$K$1000,"&gt;=6")&gt;0,6,IF(COUNTIFS('04 Hazards'!$S$4:$S$1000,M37,'04 Hazards'!$R$4:$R$1000,TRUE,'04 Hazards'!$U$4:$U$1000,TRUE,'04 Hazards'!$K$4:$K$1000,"&gt;=4")&gt;0,4,IF(COUNTIFS('04 Hazards'!$S$4:$S$1000,M37,'04 Hazards'!$R$4:$R$1000,TRUE,'04 Hazards'!$U$4:$U$1000,TRUE,'04 Hazards'!$K$4:$K$1000,"&gt;=3")&gt;0,3,IF(COUNTIFS('04 Hazards'!$S$4:$S$1000,M37,'04 Hazards'!$R$4:$R$1000,TRUE,'04 Hazards'!$U$4:$U$1000,TRUE,'04 Hazards'!$K$4:$K$1000,"&gt;=2")&gt;0,2,1)))))))</f>
        <v>2</v>
      </c>
      <c r="H37" s="5" t="str">
        <f t="shared" si="1"/>
        <v>LOW</v>
      </c>
      <c r="I37" s="5" t="s">
        <v>224</v>
      </c>
      <c r="J37" s="12">
        <v>46116.165277777778</v>
      </c>
      <c r="K37" s="6" t="s">
        <v>225</v>
      </c>
      <c r="L37" s="6" t="s">
        <v>226</v>
      </c>
      <c r="M37" s="6" t="s">
        <v>227</v>
      </c>
      <c r="N37" s="6" t="s">
        <v>23</v>
      </c>
      <c r="O37" s="6" t="s">
        <v>24</v>
      </c>
    </row>
    <row r="38" spans="1:15" ht="30">
      <c r="A38" s="7" t="s">
        <v>228</v>
      </c>
      <c r="B38" s="11">
        <v>46148</v>
      </c>
      <c r="C38" s="4" t="s">
        <v>48</v>
      </c>
      <c r="D38" s="4" t="s">
        <v>229</v>
      </c>
      <c r="E38" s="4"/>
      <c r="F38" s="13">
        <v>19</v>
      </c>
      <c r="G38" s="14">
        <f>IF(M38="","",IF(COUNTIFS('04 Hazards'!$S$4:$S$1000,M38,'04 Hazards'!$R$4:$R$1000,TRUE,'04 Hazards'!$U$4:$U$1000,TRUE,'04 Hazards'!$K$4:$K$1000,"&gt;=1")=0,"",IF(COUNTIFS('04 Hazards'!$S$4:$S$1000,M38,'04 Hazards'!$R$4:$R$1000,TRUE,'04 Hazards'!$U$4:$U$1000,TRUE,'04 Hazards'!$K$4:$K$1000,"&gt;=9")&gt;0,9,IF(COUNTIFS('04 Hazards'!$S$4:$S$1000,M38,'04 Hazards'!$R$4:$R$1000,TRUE,'04 Hazards'!$U$4:$U$1000,TRUE,'04 Hazards'!$K$4:$K$1000,"&gt;=6")&gt;0,6,IF(COUNTIFS('04 Hazards'!$S$4:$S$1000,M38,'04 Hazards'!$R$4:$R$1000,TRUE,'04 Hazards'!$U$4:$U$1000,TRUE,'04 Hazards'!$K$4:$K$1000,"&gt;=4")&gt;0,4,IF(COUNTIFS('04 Hazards'!$S$4:$S$1000,M38,'04 Hazards'!$R$4:$R$1000,TRUE,'04 Hazards'!$U$4:$U$1000,TRUE,'04 Hazards'!$K$4:$K$1000,"&gt;=3")&gt;0,3,IF(COUNTIFS('04 Hazards'!$S$4:$S$1000,M38,'04 Hazards'!$R$4:$R$1000,TRUE,'04 Hazards'!$U$4:$U$1000,TRUE,'04 Hazards'!$K$4:$K$1000,"&gt;=2")&gt;0,2,1)))))))</f>
        <v>2</v>
      </c>
      <c r="H38" s="5" t="str">
        <f t="shared" si="1"/>
        <v>LOW</v>
      </c>
      <c r="I38" s="5" t="s">
        <v>230</v>
      </c>
      <c r="J38" s="12">
        <v>46149.170138888891</v>
      </c>
      <c r="K38" s="6" t="s">
        <v>231</v>
      </c>
      <c r="L38" s="6" t="s">
        <v>232</v>
      </c>
      <c r="M38" s="6" t="s">
        <v>233</v>
      </c>
      <c r="N38" s="6" t="s">
        <v>23</v>
      </c>
      <c r="O38" s="6" t="s">
        <v>24</v>
      </c>
    </row>
    <row r="39" spans="1:15" ht="30">
      <c r="A39" s="7" t="s">
        <v>234</v>
      </c>
      <c r="B39" s="11">
        <v>46182</v>
      </c>
      <c r="C39" s="4" t="s">
        <v>17</v>
      </c>
      <c r="D39" s="4" t="s">
        <v>235</v>
      </c>
      <c r="E39" s="4" t="s">
        <v>42</v>
      </c>
      <c r="F39" s="13">
        <v>26</v>
      </c>
      <c r="G39" s="14">
        <f>IF(M39="","",IF(COUNTIFS('04 Hazards'!$S$4:$S$1000,M39,'04 Hazards'!$R$4:$R$1000,TRUE,'04 Hazards'!$U$4:$U$1000,TRUE,'04 Hazards'!$K$4:$K$1000,"&gt;=1")=0,"",IF(COUNTIFS('04 Hazards'!$S$4:$S$1000,M39,'04 Hazards'!$R$4:$R$1000,TRUE,'04 Hazards'!$U$4:$U$1000,TRUE,'04 Hazards'!$K$4:$K$1000,"&gt;=9")&gt;0,9,IF(COUNTIFS('04 Hazards'!$S$4:$S$1000,M39,'04 Hazards'!$R$4:$R$1000,TRUE,'04 Hazards'!$U$4:$U$1000,TRUE,'04 Hazards'!$K$4:$K$1000,"&gt;=6")&gt;0,6,IF(COUNTIFS('04 Hazards'!$S$4:$S$1000,M39,'04 Hazards'!$R$4:$R$1000,TRUE,'04 Hazards'!$U$4:$U$1000,TRUE,'04 Hazards'!$K$4:$K$1000,"&gt;=4")&gt;0,4,IF(COUNTIFS('04 Hazards'!$S$4:$S$1000,M39,'04 Hazards'!$R$4:$R$1000,TRUE,'04 Hazards'!$U$4:$U$1000,TRUE,'04 Hazards'!$K$4:$K$1000,"&gt;=3")&gt;0,3,IF(COUNTIFS('04 Hazards'!$S$4:$S$1000,M39,'04 Hazards'!$R$4:$R$1000,TRUE,'04 Hazards'!$U$4:$U$1000,TRUE,'04 Hazards'!$K$4:$K$1000,"&gt;=2")&gt;0,2,1)))))))</f>
        <v>9</v>
      </c>
      <c r="H39" s="5" t="str">
        <f t="shared" si="1"/>
        <v>HIGH</v>
      </c>
      <c r="I39" s="5" t="s">
        <v>236</v>
      </c>
      <c r="J39" s="12">
        <v>46183.216666666667</v>
      </c>
      <c r="K39" s="6" t="s">
        <v>237</v>
      </c>
      <c r="L39" s="6" t="s">
        <v>238</v>
      </c>
      <c r="M39" s="6" t="s">
        <v>239</v>
      </c>
      <c r="N39" s="6" t="s">
        <v>23</v>
      </c>
      <c r="O39" s="6" t="s">
        <v>24</v>
      </c>
    </row>
    <row r="40" spans="1:15" ht="30">
      <c r="A40" s="7" t="s">
        <v>240</v>
      </c>
      <c r="B40" s="11">
        <v>46034</v>
      </c>
      <c r="C40" s="4" t="s">
        <v>26</v>
      </c>
      <c r="D40" s="4" t="s">
        <v>241</v>
      </c>
      <c r="E40" s="4"/>
      <c r="F40" s="13">
        <v>33</v>
      </c>
      <c r="G40" s="14">
        <f>IF(M40="","",IF(COUNTIFS('04 Hazards'!$S$4:$S$1000,M40,'04 Hazards'!$R$4:$R$1000,TRUE,'04 Hazards'!$U$4:$U$1000,TRUE,'04 Hazards'!$K$4:$K$1000,"&gt;=1")=0,"",IF(COUNTIFS('04 Hazards'!$S$4:$S$1000,M40,'04 Hazards'!$R$4:$R$1000,TRUE,'04 Hazards'!$U$4:$U$1000,TRUE,'04 Hazards'!$K$4:$K$1000,"&gt;=9")&gt;0,9,IF(COUNTIFS('04 Hazards'!$S$4:$S$1000,M40,'04 Hazards'!$R$4:$R$1000,TRUE,'04 Hazards'!$U$4:$U$1000,TRUE,'04 Hazards'!$K$4:$K$1000,"&gt;=6")&gt;0,6,IF(COUNTIFS('04 Hazards'!$S$4:$S$1000,M40,'04 Hazards'!$R$4:$R$1000,TRUE,'04 Hazards'!$U$4:$U$1000,TRUE,'04 Hazards'!$K$4:$K$1000,"&gt;=4")&gt;0,4,IF(COUNTIFS('04 Hazards'!$S$4:$S$1000,M40,'04 Hazards'!$R$4:$R$1000,TRUE,'04 Hazards'!$U$4:$U$1000,TRUE,'04 Hazards'!$K$4:$K$1000,"&gt;=3")&gt;0,3,IF(COUNTIFS('04 Hazards'!$S$4:$S$1000,M40,'04 Hazards'!$R$4:$R$1000,TRUE,'04 Hazards'!$U$4:$U$1000,TRUE,'04 Hazards'!$K$4:$K$1000,"&gt;=2")&gt;0,2,1)))))))</f>
        <v>9</v>
      </c>
      <c r="H40" s="5" t="str">
        <f t="shared" si="1"/>
        <v>HIGH</v>
      </c>
      <c r="I40" s="5" t="s">
        <v>242</v>
      </c>
      <c r="J40" s="12">
        <v>46035.263194444444</v>
      </c>
      <c r="K40" s="6" t="s">
        <v>243</v>
      </c>
      <c r="L40" s="6" t="s">
        <v>244</v>
      </c>
      <c r="M40" s="6" t="s">
        <v>245</v>
      </c>
      <c r="N40" s="6" t="s">
        <v>23</v>
      </c>
      <c r="O40" s="6" t="s">
        <v>24</v>
      </c>
    </row>
    <row r="41" spans="1:15" ht="30">
      <c r="A41" s="7" t="s">
        <v>246</v>
      </c>
      <c r="B41" s="11">
        <v>46068</v>
      </c>
      <c r="C41" s="4" t="s">
        <v>33</v>
      </c>
      <c r="D41" s="4" t="s">
        <v>247</v>
      </c>
      <c r="E41" s="4"/>
      <c r="F41" s="13">
        <v>40</v>
      </c>
      <c r="G41" s="14">
        <f>IF(M41="","",IF(COUNTIFS('04 Hazards'!$S$4:$S$1000,M41,'04 Hazards'!$R$4:$R$1000,TRUE,'04 Hazards'!$U$4:$U$1000,TRUE,'04 Hazards'!$K$4:$K$1000,"&gt;=1")=0,"",IF(COUNTIFS('04 Hazards'!$S$4:$S$1000,M41,'04 Hazards'!$R$4:$R$1000,TRUE,'04 Hazards'!$U$4:$U$1000,TRUE,'04 Hazards'!$K$4:$K$1000,"&gt;=9")&gt;0,9,IF(COUNTIFS('04 Hazards'!$S$4:$S$1000,M41,'04 Hazards'!$R$4:$R$1000,TRUE,'04 Hazards'!$U$4:$U$1000,TRUE,'04 Hazards'!$K$4:$K$1000,"&gt;=6")&gt;0,6,IF(COUNTIFS('04 Hazards'!$S$4:$S$1000,M41,'04 Hazards'!$R$4:$R$1000,TRUE,'04 Hazards'!$U$4:$U$1000,TRUE,'04 Hazards'!$K$4:$K$1000,"&gt;=4")&gt;0,4,IF(COUNTIFS('04 Hazards'!$S$4:$S$1000,M41,'04 Hazards'!$R$4:$R$1000,TRUE,'04 Hazards'!$U$4:$U$1000,TRUE,'04 Hazards'!$K$4:$K$1000,"&gt;=3")&gt;0,3,IF(COUNTIFS('04 Hazards'!$S$4:$S$1000,M41,'04 Hazards'!$R$4:$R$1000,TRUE,'04 Hazards'!$U$4:$U$1000,TRUE,'04 Hazards'!$K$4:$K$1000,"&gt;=2")&gt;0,2,1)))))))</f>
        <v>9</v>
      </c>
      <c r="H41" s="5" t="str">
        <f t="shared" si="1"/>
        <v>HIGH</v>
      </c>
      <c r="I41" s="5" t="s">
        <v>248</v>
      </c>
      <c r="J41" s="12">
        <v>46069.30972222222</v>
      </c>
      <c r="K41" s="6" t="s">
        <v>249</v>
      </c>
      <c r="L41" s="6" t="s">
        <v>250</v>
      </c>
      <c r="M41" s="6" t="s">
        <v>251</v>
      </c>
      <c r="N41" s="6" t="s">
        <v>23</v>
      </c>
      <c r="O41" s="6" t="s">
        <v>24</v>
      </c>
    </row>
    <row r="42" spans="1:15" ht="30">
      <c r="A42" s="7" t="s">
        <v>252</v>
      </c>
      <c r="B42" s="11">
        <v>46099</v>
      </c>
      <c r="C42" s="4" t="s">
        <v>33</v>
      </c>
      <c r="D42" s="4" t="s">
        <v>253</v>
      </c>
      <c r="E42" s="4" t="s">
        <v>35</v>
      </c>
      <c r="F42" s="13">
        <v>47</v>
      </c>
      <c r="G42" s="14">
        <f>IF(M42="","",IF(COUNTIFS('04 Hazards'!$S$4:$S$1000,M42,'04 Hazards'!$R$4:$R$1000,TRUE,'04 Hazards'!$U$4:$U$1000,TRUE,'04 Hazards'!$K$4:$K$1000,"&gt;=1")=0,"",IF(COUNTIFS('04 Hazards'!$S$4:$S$1000,M42,'04 Hazards'!$R$4:$R$1000,TRUE,'04 Hazards'!$U$4:$U$1000,TRUE,'04 Hazards'!$K$4:$K$1000,"&gt;=9")&gt;0,9,IF(COUNTIFS('04 Hazards'!$S$4:$S$1000,M42,'04 Hazards'!$R$4:$R$1000,TRUE,'04 Hazards'!$U$4:$U$1000,TRUE,'04 Hazards'!$K$4:$K$1000,"&gt;=6")&gt;0,6,IF(COUNTIFS('04 Hazards'!$S$4:$S$1000,M42,'04 Hazards'!$R$4:$R$1000,TRUE,'04 Hazards'!$U$4:$U$1000,TRUE,'04 Hazards'!$K$4:$K$1000,"&gt;=4")&gt;0,4,IF(COUNTIFS('04 Hazards'!$S$4:$S$1000,M42,'04 Hazards'!$R$4:$R$1000,TRUE,'04 Hazards'!$U$4:$U$1000,TRUE,'04 Hazards'!$K$4:$K$1000,"&gt;=3")&gt;0,3,IF(COUNTIFS('04 Hazards'!$S$4:$S$1000,M42,'04 Hazards'!$R$4:$R$1000,TRUE,'04 Hazards'!$U$4:$U$1000,TRUE,'04 Hazards'!$K$4:$K$1000,"&gt;=2")&gt;0,2,1)))))))</f>
        <v>9</v>
      </c>
      <c r="H42" s="5" t="str">
        <f t="shared" si="1"/>
        <v>HIGH</v>
      </c>
      <c r="I42" s="5" t="s">
        <v>254</v>
      </c>
      <c r="J42" s="12">
        <v>46100.356249999997</v>
      </c>
      <c r="K42" s="6" t="s">
        <v>255</v>
      </c>
      <c r="L42" s="6" t="s">
        <v>256</v>
      </c>
      <c r="M42" s="6" t="s">
        <v>257</v>
      </c>
      <c r="N42" s="6" t="s">
        <v>23</v>
      </c>
      <c r="O42" s="6" t="s">
        <v>24</v>
      </c>
    </row>
    <row r="43" spans="1:15" ht="30">
      <c r="A43" s="7" t="s">
        <v>258</v>
      </c>
      <c r="B43" s="11">
        <v>46133</v>
      </c>
      <c r="C43" s="4" t="s">
        <v>48</v>
      </c>
      <c r="D43" s="4" t="s">
        <v>259</v>
      </c>
      <c r="E43" s="4" t="s">
        <v>42</v>
      </c>
      <c r="F43" s="13">
        <v>54</v>
      </c>
      <c r="G43" s="14">
        <f>IF(M43="","",IF(COUNTIFS('04 Hazards'!$S$4:$S$1000,M43,'04 Hazards'!$R$4:$R$1000,TRUE,'04 Hazards'!$U$4:$U$1000,TRUE,'04 Hazards'!$K$4:$K$1000,"&gt;=1")=0,"",IF(COUNTIFS('04 Hazards'!$S$4:$S$1000,M43,'04 Hazards'!$R$4:$R$1000,TRUE,'04 Hazards'!$U$4:$U$1000,TRUE,'04 Hazards'!$K$4:$K$1000,"&gt;=9")&gt;0,9,IF(COUNTIFS('04 Hazards'!$S$4:$S$1000,M43,'04 Hazards'!$R$4:$R$1000,TRUE,'04 Hazards'!$U$4:$U$1000,TRUE,'04 Hazards'!$K$4:$K$1000,"&gt;=6")&gt;0,6,IF(COUNTIFS('04 Hazards'!$S$4:$S$1000,M43,'04 Hazards'!$R$4:$R$1000,TRUE,'04 Hazards'!$U$4:$U$1000,TRUE,'04 Hazards'!$K$4:$K$1000,"&gt;=4")&gt;0,4,IF(COUNTIFS('04 Hazards'!$S$4:$S$1000,M43,'04 Hazards'!$R$4:$R$1000,TRUE,'04 Hazards'!$U$4:$U$1000,TRUE,'04 Hazards'!$K$4:$K$1000,"&gt;=3")&gt;0,3,IF(COUNTIFS('04 Hazards'!$S$4:$S$1000,M43,'04 Hazards'!$R$4:$R$1000,TRUE,'04 Hazards'!$U$4:$U$1000,TRUE,'04 Hazards'!$K$4:$K$1000,"&gt;=2")&gt;0,2,1)))))))</f>
        <v>9</v>
      </c>
      <c r="H43" s="5" t="str">
        <f t="shared" si="1"/>
        <v>HIGH</v>
      </c>
      <c r="I43" s="5" t="s">
        <v>260</v>
      </c>
      <c r="J43" s="12">
        <v>46134.069444444445</v>
      </c>
      <c r="K43" s="6" t="s">
        <v>261</v>
      </c>
      <c r="L43" s="6" t="s">
        <v>262</v>
      </c>
      <c r="M43" s="6" t="s">
        <v>263</v>
      </c>
      <c r="N43" s="6" t="s">
        <v>23</v>
      </c>
      <c r="O43" s="6" t="s">
        <v>24</v>
      </c>
    </row>
    <row r="44" spans="1:15" ht="30">
      <c r="A44" s="7" t="s">
        <v>264</v>
      </c>
      <c r="B44" s="11">
        <v>46166</v>
      </c>
      <c r="C44" s="4" t="s">
        <v>17</v>
      </c>
      <c r="D44" s="4" t="s">
        <v>265</v>
      </c>
      <c r="E44" s="4"/>
      <c r="F44" s="13">
        <v>61</v>
      </c>
      <c r="G44" s="14">
        <f>IF(M44="","",IF(COUNTIFS('04 Hazards'!$S$4:$S$1000,M44,'04 Hazards'!$R$4:$R$1000,TRUE,'04 Hazards'!$U$4:$U$1000,TRUE,'04 Hazards'!$K$4:$K$1000,"&gt;=1")=0,"",IF(COUNTIFS('04 Hazards'!$S$4:$S$1000,M44,'04 Hazards'!$R$4:$R$1000,TRUE,'04 Hazards'!$U$4:$U$1000,TRUE,'04 Hazards'!$K$4:$K$1000,"&gt;=9")&gt;0,9,IF(COUNTIFS('04 Hazards'!$S$4:$S$1000,M44,'04 Hazards'!$R$4:$R$1000,TRUE,'04 Hazards'!$U$4:$U$1000,TRUE,'04 Hazards'!$K$4:$K$1000,"&gt;=6")&gt;0,6,IF(COUNTIFS('04 Hazards'!$S$4:$S$1000,M44,'04 Hazards'!$R$4:$R$1000,TRUE,'04 Hazards'!$U$4:$U$1000,TRUE,'04 Hazards'!$K$4:$K$1000,"&gt;=4")&gt;0,4,IF(COUNTIFS('04 Hazards'!$S$4:$S$1000,M44,'04 Hazards'!$R$4:$R$1000,TRUE,'04 Hazards'!$U$4:$U$1000,TRUE,'04 Hazards'!$K$4:$K$1000,"&gt;=3")&gt;0,3,IF(COUNTIFS('04 Hazards'!$S$4:$S$1000,M44,'04 Hazards'!$R$4:$R$1000,TRUE,'04 Hazards'!$U$4:$U$1000,TRUE,'04 Hazards'!$K$4:$K$1000,"&gt;=2")&gt;0,2,1)))))))</f>
        <v>9</v>
      </c>
      <c r="H44" s="5" t="str">
        <f t="shared" si="1"/>
        <v>HIGH</v>
      </c>
      <c r="I44" s="5" t="s">
        <v>266</v>
      </c>
      <c r="J44" s="12">
        <v>46167.115972222222</v>
      </c>
      <c r="K44" s="6" t="s">
        <v>267</v>
      </c>
      <c r="L44" s="6" t="s">
        <v>268</v>
      </c>
      <c r="M44" s="6" t="s">
        <v>269</v>
      </c>
      <c r="N44" s="6" t="s">
        <v>23</v>
      </c>
      <c r="O44" s="6" t="s">
        <v>24</v>
      </c>
    </row>
    <row r="45" spans="1:15" ht="30">
      <c r="A45" s="7" t="s">
        <v>270</v>
      </c>
      <c r="B45" s="11">
        <v>46175</v>
      </c>
      <c r="C45" s="4" t="s">
        <v>26</v>
      </c>
      <c r="D45" s="4" t="s">
        <v>271</v>
      </c>
      <c r="E45" s="4" t="s">
        <v>35</v>
      </c>
      <c r="F45" s="13">
        <v>10</v>
      </c>
      <c r="G45" s="14">
        <f>IF(M45="","",IF(COUNTIFS('04 Hazards'!$S$4:$S$1000,M45,'04 Hazards'!$R$4:$R$1000,TRUE,'04 Hazards'!$U$4:$U$1000,TRUE,'04 Hazards'!$K$4:$K$1000,"&gt;=1")=0,"",IF(COUNTIFS('04 Hazards'!$S$4:$S$1000,M45,'04 Hazards'!$R$4:$R$1000,TRUE,'04 Hazards'!$U$4:$U$1000,TRUE,'04 Hazards'!$K$4:$K$1000,"&gt;=9")&gt;0,9,IF(COUNTIFS('04 Hazards'!$S$4:$S$1000,M45,'04 Hazards'!$R$4:$R$1000,TRUE,'04 Hazards'!$U$4:$U$1000,TRUE,'04 Hazards'!$K$4:$K$1000,"&gt;=6")&gt;0,6,IF(COUNTIFS('04 Hazards'!$S$4:$S$1000,M45,'04 Hazards'!$R$4:$R$1000,TRUE,'04 Hazards'!$U$4:$U$1000,TRUE,'04 Hazards'!$K$4:$K$1000,"&gt;=4")&gt;0,4,IF(COUNTIFS('04 Hazards'!$S$4:$S$1000,M45,'04 Hazards'!$R$4:$R$1000,TRUE,'04 Hazards'!$U$4:$U$1000,TRUE,'04 Hazards'!$K$4:$K$1000,"&gt;=3")&gt;0,3,IF(COUNTIFS('04 Hazards'!$S$4:$S$1000,M45,'04 Hazards'!$R$4:$R$1000,TRUE,'04 Hazards'!$U$4:$U$1000,TRUE,'04 Hazards'!$K$4:$K$1000,"&gt;=2")&gt;0,2,1)))))))</f>
        <v>4</v>
      </c>
      <c r="H45" s="5" t="str">
        <f t="shared" si="1"/>
        <v>MEDIUM</v>
      </c>
      <c r="I45" s="5" t="s">
        <v>272</v>
      </c>
      <c r="J45" s="12">
        <v>46176.162499999999</v>
      </c>
      <c r="K45" s="6" t="s">
        <v>273</v>
      </c>
      <c r="L45" s="6" t="s">
        <v>274</v>
      </c>
      <c r="M45" s="6" t="s">
        <v>275</v>
      </c>
      <c r="N45" s="6" t="s">
        <v>23</v>
      </c>
      <c r="O45" s="6" t="s">
        <v>24</v>
      </c>
    </row>
    <row r="46" spans="1:15" ht="30">
      <c r="A46" s="7" t="s">
        <v>276</v>
      </c>
      <c r="B46" s="11">
        <v>46027</v>
      </c>
      <c r="C46" s="4" t="s">
        <v>33</v>
      </c>
      <c r="D46" s="4" t="s">
        <v>277</v>
      </c>
      <c r="E46" s="4"/>
      <c r="F46" s="13">
        <v>17</v>
      </c>
      <c r="G46" s="14">
        <f>IF(M46="","",IF(COUNTIFS('04 Hazards'!$S$4:$S$1000,M46,'04 Hazards'!$R$4:$R$1000,TRUE,'04 Hazards'!$U$4:$U$1000,TRUE,'04 Hazards'!$K$4:$K$1000,"&gt;=1")=0,"",IF(COUNTIFS('04 Hazards'!$S$4:$S$1000,M46,'04 Hazards'!$R$4:$R$1000,TRUE,'04 Hazards'!$U$4:$U$1000,TRUE,'04 Hazards'!$K$4:$K$1000,"&gt;=9")&gt;0,9,IF(COUNTIFS('04 Hazards'!$S$4:$S$1000,M46,'04 Hazards'!$R$4:$R$1000,TRUE,'04 Hazards'!$U$4:$U$1000,TRUE,'04 Hazards'!$K$4:$K$1000,"&gt;=6")&gt;0,6,IF(COUNTIFS('04 Hazards'!$S$4:$S$1000,M46,'04 Hazards'!$R$4:$R$1000,TRUE,'04 Hazards'!$U$4:$U$1000,TRUE,'04 Hazards'!$K$4:$K$1000,"&gt;=4")&gt;0,4,IF(COUNTIFS('04 Hazards'!$S$4:$S$1000,M46,'04 Hazards'!$R$4:$R$1000,TRUE,'04 Hazards'!$U$4:$U$1000,TRUE,'04 Hazards'!$K$4:$K$1000,"&gt;=3")&gt;0,3,IF(COUNTIFS('04 Hazards'!$S$4:$S$1000,M46,'04 Hazards'!$R$4:$R$1000,TRUE,'04 Hazards'!$U$4:$U$1000,TRUE,'04 Hazards'!$K$4:$K$1000,"&gt;=2")&gt;0,2,1)))))))</f>
        <v>9</v>
      </c>
      <c r="H46" s="5" t="str">
        <f t="shared" si="1"/>
        <v>HIGH</v>
      </c>
      <c r="I46" s="5" t="s">
        <v>278</v>
      </c>
      <c r="J46" s="12">
        <v>46028.167361111111</v>
      </c>
      <c r="K46" s="6" t="s">
        <v>279</v>
      </c>
      <c r="L46" s="6" t="s">
        <v>280</v>
      </c>
      <c r="M46" s="6" t="s">
        <v>281</v>
      </c>
      <c r="N46" s="6" t="s">
        <v>23</v>
      </c>
      <c r="O46" s="6" t="s">
        <v>24</v>
      </c>
    </row>
    <row r="47" spans="1:15" ht="30">
      <c r="A47" s="7" t="s">
        <v>282</v>
      </c>
      <c r="B47" s="11">
        <v>46061</v>
      </c>
      <c r="C47" s="4" t="s">
        <v>33</v>
      </c>
      <c r="D47" s="4" t="s">
        <v>283</v>
      </c>
      <c r="E47" s="4" t="s">
        <v>42</v>
      </c>
      <c r="F47" s="13">
        <v>24</v>
      </c>
      <c r="G47" s="14">
        <f>IF(M47="","",IF(COUNTIFS('04 Hazards'!$S$4:$S$1000,M47,'04 Hazards'!$R$4:$R$1000,TRUE,'04 Hazards'!$U$4:$U$1000,TRUE,'04 Hazards'!$K$4:$K$1000,"&gt;=1")=0,"",IF(COUNTIFS('04 Hazards'!$S$4:$S$1000,M47,'04 Hazards'!$R$4:$R$1000,TRUE,'04 Hazards'!$U$4:$U$1000,TRUE,'04 Hazards'!$K$4:$K$1000,"&gt;=9")&gt;0,9,IF(COUNTIFS('04 Hazards'!$S$4:$S$1000,M47,'04 Hazards'!$R$4:$R$1000,TRUE,'04 Hazards'!$U$4:$U$1000,TRUE,'04 Hazards'!$K$4:$K$1000,"&gt;=6")&gt;0,6,IF(COUNTIFS('04 Hazards'!$S$4:$S$1000,M47,'04 Hazards'!$R$4:$R$1000,TRUE,'04 Hazards'!$U$4:$U$1000,TRUE,'04 Hazards'!$K$4:$K$1000,"&gt;=4")&gt;0,4,IF(COUNTIFS('04 Hazards'!$S$4:$S$1000,M47,'04 Hazards'!$R$4:$R$1000,TRUE,'04 Hazards'!$U$4:$U$1000,TRUE,'04 Hazards'!$K$4:$K$1000,"&gt;=3")&gt;0,3,IF(COUNTIFS('04 Hazards'!$S$4:$S$1000,M47,'04 Hazards'!$R$4:$R$1000,TRUE,'04 Hazards'!$U$4:$U$1000,TRUE,'04 Hazards'!$K$4:$K$1000,"&gt;=2")&gt;0,2,1)))))))</f>
        <v>2</v>
      </c>
      <c r="H47" s="5" t="str">
        <f t="shared" si="1"/>
        <v>LOW</v>
      </c>
      <c r="I47" s="5" t="s">
        <v>284</v>
      </c>
      <c r="J47" s="12">
        <v>46062.213888888888</v>
      </c>
      <c r="K47" s="6" t="s">
        <v>285</v>
      </c>
      <c r="L47" s="6" t="s">
        <v>286</v>
      </c>
      <c r="M47" s="6" t="s">
        <v>287</v>
      </c>
      <c r="N47" s="6" t="s">
        <v>23</v>
      </c>
      <c r="O47" s="6" t="s">
        <v>24</v>
      </c>
    </row>
    <row r="48" spans="1:15" ht="30">
      <c r="A48" s="7" t="s">
        <v>288</v>
      </c>
      <c r="B48" s="11">
        <v>46092</v>
      </c>
      <c r="C48" s="4" t="s">
        <v>48</v>
      </c>
      <c r="D48" s="4" t="s">
        <v>289</v>
      </c>
      <c r="E48" s="4" t="s">
        <v>35</v>
      </c>
      <c r="F48" s="13">
        <v>31</v>
      </c>
      <c r="G48" s="14">
        <f>IF(M48="","",IF(COUNTIFS('04 Hazards'!$S$4:$S$1000,M48,'04 Hazards'!$R$4:$R$1000,TRUE,'04 Hazards'!$U$4:$U$1000,TRUE,'04 Hazards'!$K$4:$K$1000,"&gt;=1")=0,"",IF(COUNTIFS('04 Hazards'!$S$4:$S$1000,M48,'04 Hazards'!$R$4:$R$1000,TRUE,'04 Hazards'!$U$4:$U$1000,TRUE,'04 Hazards'!$K$4:$K$1000,"&gt;=9")&gt;0,9,IF(COUNTIFS('04 Hazards'!$S$4:$S$1000,M48,'04 Hazards'!$R$4:$R$1000,TRUE,'04 Hazards'!$U$4:$U$1000,TRUE,'04 Hazards'!$K$4:$K$1000,"&gt;=6")&gt;0,6,IF(COUNTIFS('04 Hazards'!$S$4:$S$1000,M48,'04 Hazards'!$R$4:$R$1000,TRUE,'04 Hazards'!$U$4:$U$1000,TRUE,'04 Hazards'!$K$4:$K$1000,"&gt;=4")&gt;0,4,IF(COUNTIFS('04 Hazards'!$S$4:$S$1000,M48,'04 Hazards'!$R$4:$R$1000,TRUE,'04 Hazards'!$U$4:$U$1000,TRUE,'04 Hazards'!$K$4:$K$1000,"&gt;=3")&gt;0,3,IF(COUNTIFS('04 Hazards'!$S$4:$S$1000,M48,'04 Hazards'!$R$4:$R$1000,TRUE,'04 Hazards'!$U$4:$U$1000,TRUE,'04 Hazards'!$K$4:$K$1000,"&gt;=2")&gt;0,2,1)))))))</f>
        <v>4</v>
      </c>
      <c r="H48" s="5" t="str">
        <f t="shared" si="1"/>
        <v>MEDIUM</v>
      </c>
      <c r="I48" s="5" t="s">
        <v>290</v>
      </c>
      <c r="J48" s="12">
        <v>46093.260416666664</v>
      </c>
      <c r="K48" s="6" t="s">
        <v>291</v>
      </c>
      <c r="L48" s="6" t="s">
        <v>292</v>
      </c>
      <c r="M48" s="6" t="s">
        <v>293</v>
      </c>
      <c r="N48" s="6" t="s">
        <v>23</v>
      </c>
      <c r="O48" s="6" t="s">
        <v>24</v>
      </c>
    </row>
    <row r="49" spans="1:15" ht="30">
      <c r="A49" s="7" t="s">
        <v>294</v>
      </c>
      <c r="B49" s="11">
        <v>46126</v>
      </c>
      <c r="C49" s="4" t="s">
        <v>17</v>
      </c>
      <c r="D49" s="4" t="s">
        <v>295</v>
      </c>
      <c r="E49" s="4"/>
      <c r="F49" s="13">
        <v>38</v>
      </c>
      <c r="G49" s="14">
        <f>IF(M49="","",IF(COUNTIFS('04 Hazards'!$S$4:$S$1000,M49,'04 Hazards'!$R$4:$R$1000,TRUE,'04 Hazards'!$U$4:$U$1000,TRUE,'04 Hazards'!$K$4:$K$1000,"&gt;=1")=0,"",IF(COUNTIFS('04 Hazards'!$S$4:$S$1000,M49,'04 Hazards'!$R$4:$R$1000,TRUE,'04 Hazards'!$U$4:$U$1000,TRUE,'04 Hazards'!$K$4:$K$1000,"&gt;=9")&gt;0,9,IF(COUNTIFS('04 Hazards'!$S$4:$S$1000,M49,'04 Hazards'!$R$4:$R$1000,TRUE,'04 Hazards'!$U$4:$U$1000,TRUE,'04 Hazards'!$K$4:$K$1000,"&gt;=6")&gt;0,6,IF(COUNTIFS('04 Hazards'!$S$4:$S$1000,M49,'04 Hazards'!$R$4:$R$1000,TRUE,'04 Hazards'!$U$4:$U$1000,TRUE,'04 Hazards'!$K$4:$K$1000,"&gt;=4")&gt;0,4,IF(COUNTIFS('04 Hazards'!$S$4:$S$1000,M49,'04 Hazards'!$R$4:$R$1000,TRUE,'04 Hazards'!$U$4:$U$1000,TRUE,'04 Hazards'!$K$4:$K$1000,"&gt;=3")&gt;0,3,IF(COUNTIFS('04 Hazards'!$S$4:$S$1000,M49,'04 Hazards'!$R$4:$R$1000,TRUE,'04 Hazards'!$U$4:$U$1000,TRUE,'04 Hazards'!$K$4:$K$1000,"&gt;=2")&gt;0,2,1)))))))</f>
        <v>2</v>
      </c>
      <c r="H49" s="5" t="str">
        <f t="shared" si="1"/>
        <v>LOW</v>
      </c>
      <c r="I49" s="5" t="s">
        <v>296</v>
      </c>
      <c r="J49" s="12">
        <v>46127.306944444441</v>
      </c>
      <c r="K49" s="6" t="s">
        <v>297</v>
      </c>
      <c r="L49" s="6" t="s">
        <v>298</v>
      </c>
      <c r="M49" s="6" t="s">
        <v>299</v>
      </c>
      <c r="N49" s="6" t="s">
        <v>23</v>
      </c>
      <c r="O49" s="6" t="s">
        <v>24</v>
      </c>
    </row>
    <row r="50" spans="1:15" ht="30">
      <c r="A50" s="7" t="s">
        <v>300</v>
      </c>
      <c r="B50" s="11">
        <v>46159</v>
      </c>
      <c r="C50" s="4" t="s">
        <v>26</v>
      </c>
      <c r="D50" s="4" t="s">
        <v>301</v>
      </c>
      <c r="E50" s="4"/>
      <c r="F50" s="13">
        <v>45</v>
      </c>
      <c r="G50" s="14">
        <f>IF(M50="","",IF(COUNTIFS('04 Hazards'!$S$4:$S$1000,M50,'04 Hazards'!$R$4:$R$1000,TRUE,'04 Hazards'!$U$4:$U$1000,TRUE,'04 Hazards'!$K$4:$K$1000,"&gt;=1")=0,"",IF(COUNTIFS('04 Hazards'!$S$4:$S$1000,M50,'04 Hazards'!$R$4:$R$1000,TRUE,'04 Hazards'!$U$4:$U$1000,TRUE,'04 Hazards'!$K$4:$K$1000,"&gt;=9")&gt;0,9,IF(COUNTIFS('04 Hazards'!$S$4:$S$1000,M50,'04 Hazards'!$R$4:$R$1000,TRUE,'04 Hazards'!$U$4:$U$1000,TRUE,'04 Hazards'!$K$4:$K$1000,"&gt;=6")&gt;0,6,IF(COUNTIFS('04 Hazards'!$S$4:$S$1000,M50,'04 Hazards'!$R$4:$R$1000,TRUE,'04 Hazards'!$U$4:$U$1000,TRUE,'04 Hazards'!$K$4:$K$1000,"&gt;=4")&gt;0,4,IF(COUNTIFS('04 Hazards'!$S$4:$S$1000,M50,'04 Hazards'!$R$4:$R$1000,TRUE,'04 Hazards'!$U$4:$U$1000,TRUE,'04 Hazards'!$K$4:$K$1000,"&gt;=3")&gt;0,3,IF(COUNTIFS('04 Hazards'!$S$4:$S$1000,M50,'04 Hazards'!$R$4:$R$1000,TRUE,'04 Hazards'!$U$4:$U$1000,TRUE,'04 Hazards'!$K$4:$K$1000,"&gt;=2")&gt;0,2,1)))))))</f>
        <v>2</v>
      </c>
      <c r="H50" s="5" t="str">
        <f t="shared" si="1"/>
        <v>LOW</v>
      </c>
      <c r="I50" s="5" t="s">
        <v>302</v>
      </c>
      <c r="J50" s="12">
        <v>46160.353472222225</v>
      </c>
      <c r="K50" s="6" t="s">
        <v>303</v>
      </c>
      <c r="L50" s="6" t="s">
        <v>304</v>
      </c>
      <c r="M50" s="6" t="s">
        <v>305</v>
      </c>
      <c r="N50" s="6" t="s">
        <v>23</v>
      </c>
      <c r="O50" s="6" t="s">
        <v>24</v>
      </c>
    </row>
    <row r="51" spans="1:15" ht="30">
      <c r="A51" s="7" t="s">
        <v>306</v>
      </c>
      <c r="B51" s="11">
        <v>46193</v>
      </c>
      <c r="C51" s="4" t="s">
        <v>33</v>
      </c>
      <c r="D51" s="4" t="s">
        <v>307</v>
      </c>
      <c r="E51" s="4" t="s">
        <v>42</v>
      </c>
      <c r="F51" s="13">
        <v>52</v>
      </c>
      <c r="G51" s="14">
        <f>IF(M51="","",IF(COUNTIFS('04 Hazards'!$S$4:$S$1000,M51,'04 Hazards'!$R$4:$R$1000,TRUE,'04 Hazards'!$U$4:$U$1000,TRUE,'04 Hazards'!$K$4:$K$1000,"&gt;=1")=0,"",IF(COUNTIFS('04 Hazards'!$S$4:$S$1000,M51,'04 Hazards'!$R$4:$R$1000,TRUE,'04 Hazards'!$U$4:$U$1000,TRUE,'04 Hazards'!$K$4:$K$1000,"&gt;=9")&gt;0,9,IF(COUNTIFS('04 Hazards'!$S$4:$S$1000,M51,'04 Hazards'!$R$4:$R$1000,TRUE,'04 Hazards'!$U$4:$U$1000,TRUE,'04 Hazards'!$K$4:$K$1000,"&gt;=6")&gt;0,6,IF(COUNTIFS('04 Hazards'!$S$4:$S$1000,M51,'04 Hazards'!$R$4:$R$1000,TRUE,'04 Hazards'!$U$4:$U$1000,TRUE,'04 Hazards'!$K$4:$K$1000,"&gt;=4")&gt;0,4,IF(COUNTIFS('04 Hazards'!$S$4:$S$1000,M51,'04 Hazards'!$R$4:$R$1000,TRUE,'04 Hazards'!$U$4:$U$1000,TRUE,'04 Hazards'!$K$4:$K$1000,"&gt;=3")&gt;0,3,IF(COUNTIFS('04 Hazards'!$S$4:$S$1000,M51,'04 Hazards'!$R$4:$R$1000,TRUE,'04 Hazards'!$U$4:$U$1000,TRUE,'04 Hazards'!$K$4:$K$1000,"&gt;=2")&gt;0,2,1)))))))</f>
        <v>4</v>
      </c>
      <c r="H51" s="5" t="str">
        <f t="shared" si="1"/>
        <v>MEDIUM</v>
      </c>
      <c r="I51" s="5" t="s">
        <v>308</v>
      </c>
      <c r="J51" s="12">
        <v>46194.066666666666</v>
      </c>
      <c r="K51" s="6" t="s">
        <v>309</v>
      </c>
      <c r="L51" s="6" t="s">
        <v>310</v>
      </c>
      <c r="M51" s="6" t="s">
        <v>311</v>
      </c>
      <c r="N51" s="6" t="s">
        <v>23</v>
      </c>
      <c r="O51" s="6" t="s">
        <v>24</v>
      </c>
    </row>
    <row r="52" spans="1:15" ht="30">
      <c r="A52" s="7" t="s">
        <v>312</v>
      </c>
      <c r="B52" s="11">
        <v>46045</v>
      </c>
      <c r="C52" s="4" t="s">
        <v>33</v>
      </c>
      <c r="D52" s="4" t="s">
        <v>313</v>
      </c>
      <c r="E52" s="4"/>
      <c r="F52" s="13">
        <v>59</v>
      </c>
      <c r="G52" s="14">
        <f>IF(M52="","",IF(COUNTIFS('04 Hazards'!$S$4:$S$1000,M52,'04 Hazards'!$R$4:$R$1000,TRUE,'04 Hazards'!$U$4:$U$1000,TRUE,'04 Hazards'!$K$4:$K$1000,"&gt;=1")=0,"",IF(COUNTIFS('04 Hazards'!$S$4:$S$1000,M52,'04 Hazards'!$R$4:$R$1000,TRUE,'04 Hazards'!$U$4:$U$1000,TRUE,'04 Hazards'!$K$4:$K$1000,"&gt;=9")&gt;0,9,IF(COUNTIFS('04 Hazards'!$S$4:$S$1000,M52,'04 Hazards'!$R$4:$R$1000,TRUE,'04 Hazards'!$U$4:$U$1000,TRUE,'04 Hazards'!$K$4:$K$1000,"&gt;=6")&gt;0,6,IF(COUNTIFS('04 Hazards'!$S$4:$S$1000,M52,'04 Hazards'!$R$4:$R$1000,TRUE,'04 Hazards'!$U$4:$U$1000,TRUE,'04 Hazards'!$K$4:$K$1000,"&gt;=4")&gt;0,4,IF(COUNTIFS('04 Hazards'!$S$4:$S$1000,M52,'04 Hazards'!$R$4:$R$1000,TRUE,'04 Hazards'!$U$4:$U$1000,TRUE,'04 Hazards'!$K$4:$K$1000,"&gt;=3")&gt;0,3,IF(COUNTIFS('04 Hazards'!$S$4:$S$1000,M52,'04 Hazards'!$R$4:$R$1000,TRUE,'04 Hazards'!$U$4:$U$1000,TRUE,'04 Hazards'!$K$4:$K$1000,"&gt;=2")&gt;0,2,1)))))))</f>
        <v>2</v>
      </c>
      <c r="H52" s="5" t="str">
        <f t="shared" si="1"/>
        <v>LOW</v>
      </c>
      <c r="I52" s="5" t="s">
        <v>314</v>
      </c>
      <c r="J52" s="12">
        <v>46046.113194444442</v>
      </c>
      <c r="K52" s="6" t="s">
        <v>315</v>
      </c>
      <c r="L52" s="6" t="s">
        <v>316</v>
      </c>
      <c r="M52" s="6" t="s">
        <v>317</v>
      </c>
      <c r="N52" s="6" t="s">
        <v>23</v>
      </c>
      <c r="O52" s="6" t="s">
        <v>24</v>
      </c>
    </row>
    <row r="53" spans="1:15" ht="30">
      <c r="A53" s="7" t="s">
        <v>318</v>
      </c>
      <c r="B53" s="11">
        <v>46054</v>
      </c>
      <c r="C53" s="4" t="s">
        <v>48</v>
      </c>
      <c r="D53" s="4" t="s">
        <v>319</v>
      </c>
      <c r="E53" s="4"/>
      <c r="F53" s="13">
        <v>8</v>
      </c>
      <c r="G53" s="14">
        <f>IF(M53="","",IF(COUNTIFS('04 Hazards'!$S$4:$S$1000,M53,'04 Hazards'!$R$4:$R$1000,TRUE,'04 Hazards'!$U$4:$U$1000,TRUE,'04 Hazards'!$K$4:$K$1000,"&gt;=1")=0,"",IF(COUNTIFS('04 Hazards'!$S$4:$S$1000,M53,'04 Hazards'!$R$4:$R$1000,TRUE,'04 Hazards'!$U$4:$U$1000,TRUE,'04 Hazards'!$K$4:$K$1000,"&gt;=9")&gt;0,9,IF(COUNTIFS('04 Hazards'!$S$4:$S$1000,M53,'04 Hazards'!$R$4:$R$1000,TRUE,'04 Hazards'!$U$4:$U$1000,TRUE,'04 Hazards'!$K$4:$K$1000,"&gt;=6")&gt;0,6,IF(COUNTIFS('04 Hazards'!$S$4:$S$1000,M53,'04 Hazards'!$R$4:$R$1000,TRUE,'04 Hazards'!$U$4:$U$1000,TRUE,'04 Hazards'!$K$4:$K$1000,"&gt;=4")&gt;0,4,IF(COUNTIFS('04 Hazards'!$S$4:$S$1000,M53,'04 Hazards'!$R$4:$R$1000,TRUE,'04 Hazards'!$U$4:$U$1000,TRUE,'04 Hazards'!$K$4:$K$1000,"&gt;=3")&gt;0,3,IF(COUNTIFS('04 Hazards'!$S$4:$S$1000,M53,'04 Hazards'!$R$4:$R$1000,TRUE,'04 Hazards'!$U$4:$U$1000,TRUE,'04 Hazards'!$K$4:$K$1000,"&gt;=2")&gt;0,2,1)))))))</f>
        <v>2</v>
      </c>
      <c r="H53" s="5" t="str">
        <f t="shared" si="1"/>
        <v>LOW</v>
      </c>
      <c r="I53" s="5" t="s">
        <v>320</v>
      </c>
      <c r="J53" s="12">
        <v>46055.159722222219</v>
      </c>
      <c r="K53" s="6" t="s">
        <v>321</v>
      </c>
      <c r="L53" s="6" t="s">
        <v>322</v>
      </c>
      <c r="M53" s="6" t="s">
        <v>323</v>
      </c>
      <c r="N53" s="6" t="s">
        <v>23</v>
      </c>
      <c r="O53" s="6" t="s">
        <v>24</v>
      </c>
    </row>
    <row r="54" spans="1:15" ht="30">
      <c r="A54" s="7" t="s">
        <v>324</v>
      </c>
      <c r="B54" s="11">
        <v>46085</v>
      </c>
      <c r="C54" s="4" t="s">
        <v>17</v>
      </c>
      <c r="D54" s="4" t="s">
        <v>325</v>
      </c>
      <c r="E54" s="4" t="s">
        <v>35</v>
      </c>
      <c r="F54" s="13">
        <v>15</v>
      </c>
      <c r="G54" s="14">
        <f>IF(M54="","",IF(COUNTIFS('04 Hazards'!$S$4:$S$1000,M54,'04 Hazards'!$R$4:$R$1000,TRUE,'04 Hazards'!$U$4:$U$1000,TRUE,'04 Hazards'!$K$4:$K$1000,"&gt;=1")=0,"",IF(COUNTIFS('04 Hazards'!$S$4:$S$1000,M54,'04 Hazards'!$R$4:$R$1000,TRUE,'04 Hazards'!$U$4:$U$1000,TRUE,'04 Hazards'!$K$4:$K$1000,"&gt;=9")&gt;0,9,IF(COUNTIFS('04 Hazards'!$S$4:$S$1000,M54,'04 Hazards'!$R$4:$R$1000,TRUE,'04 Hazards'!$U$4:$U$1000,TRUE,'04 Hazards'!$K$4:$K$1000,"&gt;=6")&gt;0,6,IF(COUNTIFS('04 Hazards'!$S$4:$S$1000,M54,'04 Hazards'!$R$4:$R$1000,TRUE,'04 Hazards'!$U$4:$U$1000,TRUE,'04 Hazards'!$K$4:$K$1000,"&gt;=4")&gt;0,4,IF(COUNTIFS('04 Hazards'!$S$4:$S$1000,M54,'04 Hazards'!$R$4:$R$1000,TRUE,'04 Hazards'!$U$4:$U$1000,TRUE,'04 Hazards'!$K$4:$K$1000,"&gt;=3")&gt;0,3,IF(COUNTIFS('04 Hazards'!$S$4:$S$1000,M54,'04 Hazards'!$R$4:$R$1000,TRUE,'04 Hazards'!$U$4:$U$1000,TRUE,'04 Hazards'!$K$4:$K$1000,"&gt;=2")&gt;0,2,1)))))))</f>
        <v>4</v>
      </c>
      <c r="H54" s="5" t="str">
        <f t="shared" si="1"/>
        <v>MEDIUM</v>
      </c>
      <c r="I54" s="5" t="s">
        <v>326</v>
      </c>
      <c r="J54" s="12">
        <v>46086.206250000003</v>
      </c>
      <c r="K54" s="6" t="s">
        <v>327</v>
      </c>
      <c r="L54" s="6" t="s">
        <v>328</v>
      </c>
      <c r="M54" s="6" t="s">
        <v>329</v>
      </c>
      <c r="N54" s="6" t="s">
        <v>23</v>
      </c>
      <c r="O54" s="6" t="s">
        <v>24</v>
      </c>
    </row>
    <row r="55" spans="1:15" ht="30">
      <c r="A55" s="7" t="s">
        <v>330</v>
      </c>
      <c r="B55" s="11">
        <v>46119</v>
      </c>
      <c r="C55" s="4" t="s">
        <v>26</v>
      </c>
      <c r="D55" s="4" t="s">
        <v>331</v>
      </c>
      <c r="E55" s="4" t="s">
        <v>42</v>
      </c>
      <c r="F55" s="13">
        <v>22</v>
      </c>
      <c r="G55" s="14">
        <f>IF(M55="","",IF(COUNTIFS('04 Hazards'!$S$4:$S$1000,M55,'04 Hazards'!$R$4:$R$1000,TRUE,'04 Hazards'!$U$4:$U$1000,TRUE,'04 Hazards'!$K$4:$K$1000,"&gt;=1")=0,"",IF(COUNTIFS('04 Hazards'!$S$4:$S$1000,M55,'04 Hazards'!$R$4:$R$1000,TRUE,'04 Hazards'!$U$4:$U$1000,TRUE,'04 Hazards'!$K$4:$K$1000,"&gt;=9")&gt;0,9,IF(COUNTIFS('04 Hazards'!$S$4:$S$1000,M55,'04 Hazards'!$R$4:$R$1000,TRUE,'04 Hazards'!$U$4:$U$1000,TRUE,'04 Hazards'!$K$4:$K$1000,"&gt;=6")&gt;0,6,IF(COUNTIFS('04 Hazards'!$S$4:$S$1000,M55,'04 Hazards'!$R$4:$R$1000,TRUE,'04 Hazards'!$U$4:$U$1000,TRUE,'04 Hazards'!$K$4:$K$1000,"&gt;=4")&gt;0,4,IF(COUNTIFS('04 Hazards'!$S$4:$S$1000,M55,'04 Hazards'!$R$4:$R$1000,TRUE,'04 Hazards'!$U$4:$U$1000,TRUE,'04 Hazards'!$K$4:$K$1000,"&gt;=3")&gt;0,3,IF(COUNTIFS('04 Hazards'!$S$4:$S$1000,M55,'04 Hazards'!$R$4:$R$1000,TRUE,'04 Hazards'!$U$4:$U$1000,TRUE,'04 Hazards'!$K$4:$K$1000,"&gt;=2")&gt;0,2,1)))))))</f>
        <v>2</v>
      </c>
      <c r="H55" s="5" t="str">
        <f t="shared" si="1"/>
        <v>LOW</v>
      </c>
      <c r="I55" s="5" t="s">
        <v>332</v>
      </c>
      <c r="J55" s="12">
        <v>46120.211111111108</v>
      </c>
      <c r="K55" s="6" t="s">
        <v>333</v>
      </c>
      <c r="L55" s="6" t="s">
        <v>334</v>
      </c>
      <c r="M55" s="6" t="s">
        <v>335</v>
      </c>
      <c r="N55" s="6" t="s">
        <v>23</v>
      </c>
      <c r="O55" s="6" t="s">
        <v>24</v>
      </c>
    </row>
    <row r="56" spans="1:15" ht="30">
      <c r="A56" s="7" t="s">
        <v>336</v>
      </c>
      <c r="B56" s="11">
        <v>46152</v>
      </c>
      <c r="C56" s="4" t="s">
        <v>33</v>
      </c>
      <c r="D56" s="4" t="s">
        <v>337</v>
      </c>
      <c r="E56" s="4"/>
      <c r="F56" s="13">
        <v>29</v>
      </c>
      <c r="G56" s="14">
        <f>IF(M56="","",IF(COUNTIFS('04 Hazards'!$S$4:$S$1000,M56,'04 Hazards'!$R$4:$R$1000,TRUE,'04 Hazards'!$U$4:$U$1000,TRUE,'04 Hazards'!$K$4:$K$1000,"&gt;=1")=0,"",IF(COUNTIFS('04 Hazards'!$S$4:$S$1000,M56,'04 Hazards'!$R$4:$R$1000,TRUE,'04 Hazards'!$U$4:$U$1000,TRUE,'04 Hazards'!$K$4:$K$1000,"&gt;=9")&gt;0,9,IF(COUNTIFS('04 Hazards'!$S$4:$S$1000,M56,'04 Hazards'!$R$4:$R$1000,TRUE,'04 Hazards'!$U$4:$U$1000,TRUE,'04 Hazards'!$K$4:$K$1000,"&gt;=6")&gt;0,6,IF(COUNTIFS('04 Hazards'!$S$4:$S$1000,M56,'04 Hazards'!$R$4:$R$1000,TRUE,'04 Hazards'!$U$4:$U$1000,TRUE,'04 Hazards'!$K$4:$K$1000,"&gt;=4")&gt;0,4,IF(COUNTIFS('04 Hazards'!$S$4:$S$1000,M56,'04 Hazards'!$R$4:$R$1000,TRUE,'04 Hazards'!$U$4:$U$1000,TRUE,'04 Hazards'!$K$4:$K$1000,"&gt;=3")&gt;0,3,IF(COUNTIFS('04 Hazards'!$S$4:$S$1000,M56,'04 Hazards'!$R$4:$R$1000,TRUE,'04 Hazards'!$U$4:$U$1000,TRUE,'04 Hazards'!$K$4:$K$1000,"&gt;=2")&gt;0,2,1)))))))</f>
        <v>2</v>
      </c>
      <c r="H56" s="5" t="str">
        <f t="shared" si="1"/>
        <v>LOW</v>
      </c>
      <c r="I56" s="5" t="s">
        <v>338</v>
      </c>
      <c r="J56" s="12">
        <v>46153.257638888892</v>
      </c>
      <c r="K56" s="6" t="s">
        <v>339</v>
      </c>
      <c r="L56" s="6" t="s">
        <v>340</v>
      </c>
      <c r="M56" s="6" t="s">
        <v>341</v>
      </c>
      <c r="N56" s="6" t="s">
        <v>23</v>
      </c>
      <c r="O56" s="6" t="s">
        <v>24</v>
      </c>
    </row>
    <row r="57" spans="1:15" ht="30">
      <c r="A57" s="7" t="s">
        <v>342</v>
      </c>
      <c r="B57" s="11">
        <v>46186</v>
      </c>
      <c r="C57" s="4" t="s">
        <v>33</v>
      </c>
      <c r="D57" s="4" t="s">
        <v>343</v>
      </c>
      <c r="E57" s="4" t="s">
        <v>35</v>
      </c>
      <c r="F57" s="13">
        <v>36</v>
      </c>
      <c r="G57" s="14">
        <f>IF(M57="","",IF(COUNTIFS('04 Hazards'!$S$4:$S$1000,M57,'04 Hazards'!$R$4:$R$1000,TRUE,'04 Hazards'!$U$4:$U$1000,TRUE,'04 Hazards'!$K$4:$K$1000,"&gt;=1")=0,"",IF(COUNTIFS('04 Hazards'!$S$4:$S$1000,M57,'04 Hazards'!$R$4:$R$1000,TRUE,'04 Hazards'!$U$4:$U$1000,TRUE,'04 Hazards'!$K$4:$K$1000,"&gt;=9")&gt;0,9,IF(COUNTIFS('04 Hazards'!$S$4:$S$1000,M57,'04 Hazards'!$R$4:$R$1000,TRUE,'04 Hazards'!$U$4:$U$1000,TRUE,'04 Hazards'!$K$4:$K$1000,"&gt;=6")&gt;0,6,IF(COUNTIFS('04 Hazards'!$S$4:$S$1000,M57,'04 Hazards'!$R$4:$R$1000,TRUE,'04 Hazards'!$U$4:$U$1000,TRUE,'04 Hazards'!$K$4:$K$1000,"&gt;=4")&gt;0,4,IF(COUNTIFS('04 Hazards'!$S$4:$S$1000,M57,'04 Hazards'!$R$4:$R$1000,TRUE,'04 Hazards'!$U$4:$U$1000,TRUE,'04 Hazards'!$K$4:$K$1000,"&gt;=3")&gt;0,3,IF(COUNTIFS('04 Hazards'!$S$4:$S$1000,M57,'04 Hazards'!$R$4:$R$1000,TRUE,'04 Hazards'!$U$4:$U$1000,TRUE,'04 Hazards'!$K$4:$K$1000,"&gt;=2")&gt;0,2,1)))))))</f>
        <v>4</v>
      </c>
      <c r="H57" s="5" t="str">
        <f t="shared" si="1"/>
        <v>MEDIUM</v>
      </c>
      <c r="I57" s="5" t="s">
        <v>344</v>
      </c>
      <c r="J57" s="12">
        <v>46187.304166666669</v>
      </c>
      <c r="K57" s="6" t="s">
        <v>345</v>
      </c>
      <c r="L57" s="6" t="s">
        <v>346</v>
      </c>
      <c r="M57" s="6" t="s">
        <v>347</v>
      </c>
      <c r="N57" s="6" t="s">
        <v>23</v>
      </c>
      <c r="O57" s="6" t="s">
        <v>24</v>
      </c>
    </row>
    <row r="58" spans="1:15" ht="30">
      <c r="A58" s="7" t="s">
        <v>348</v>
      </c>
      <c r="B58" s="11">
        <v>46038</v>
      </c>
      <c r="C58" s="4" t="s">
        <v>48</v>
      </c>
      <c r="D58" s="4" t="s">
        <v>349</v>
      </c>
      <c r="E58" s="4"/>
      <c r="F58" s="13">
        <v>43</v>
      </c>
      <c r="G58" s="14">
        <f>IF(M58="","",IF(COUNTIFS('04 Hazards'!$S$4:$S$1000,M58,'04 Hazards'!$R$4:$R$1000,TRUE,'04 Hazards'!$U$4:$U$1000,TRUE,'04 Hazards'!$K$4:$K$1000,"&gt;=1")=0,"",IF(COUNTIFS('04 Hazards'!$S$4:$S$1000,M58,'04 Hazards'!$R$4:$R$1000,TRUE,'04 Hazards'!$U$4:$U$1000,TRUE,'04 Hazards'!$K$4:$K$1000,"&gt;=9")&gt;0,9,IF(COUNTIFS('04 Hazards'!$S$4:$S$1000,M58,'04 Hazards'!$R$4:$R$1000,TRUE,'04 Hazards'!$U$4:$U$1000,TRUE,'04 Hazards'!$K$4:$K$1000,"&gt;=6")&gt;0,6,IF(COUNTIFS('04 Hazards'!$S$4:$S$1000,M58,'04 Hazards'!$R$4:$R$1000,TRUE,'04 Hazards'!$U$4:$U$1000,TRUE,'04 Hazards'!$K$4:$K$1000,"&gt;=4")&gt;0,4,IF(COUNTIFS('04 Hazards'!$S$4:$S$1000,M58,'04 Hazards'!$R$4:$R$1000,TRUE,'04 Hazards'!$U$4:$U$1000,TRUE,'04 Hazards'!$K$4:$K$1000,"&gt;=3")&gt;0,3,IF(COUNTIFS('04 Hazards'!$S$4:$S$1000,M58,'04 Hazards'!$R$4:$R$1000,TRUE,'04 Hazards'!$U$4:$U$1000,TRUE,'04 Hazards'!$K$4:$K$1000,"&gt;=2")&gt;0,2,1)))))))</f>
        <v>2</v>
      </c>
      <c r="H58" s="5" t="str">
        <f t="shared" si="1"/>
        <v>LOW</v>
      </c>
      <c r="I58" s="5" t="s">
        <v>350</v>
      </c>
      <c r="J58" s="12">
        <v>46039.350694444445</v>
      </c>
      <c r="K58" s="6" t="s">
        <v>351</v>
      </c>
      <c r="L58" s="6" t="s">
        <v>352</v>
      </c>
      <c r="M58" s="6" t="s">
        <v>353</v>
      </c>
      <c r="N58" s="6" t="s">
        <v>23</v>
      </c>
      <c r="O58" s="6" t="s">
        <v>24</v>
      </c>
    </row>
    <row r="59" spans="1:15" ht="30">
      <c r="A59" s="7" t="s">
        <v>354</v>
      </c>
      <c r="B59" s="11">
        <v>46072</v>
      </c>
      <c r="C59" s="4" t="s">
        <v>17</v>
      </c>
      <c r="D59" s="4" t="s">
        <v>355</v>
      </c>
      <c r="E59" s="4" t="s">
        <v>42</v>
      </c>
      <c r="F59" s="13">
        <v>50</v>
      </c>
      <c r="G59" s="14">
        <f>IF(M59="","",IF(COUNTIFS('04 Hazards'!$S$4:$S$1000,M59,'04 Hazards'!$R$4:$R$1000,TRUE,'04 Hazards'!$U$4:$U$1000,TRUE,'04 Hazards'!$K$4:$K$1000,"&gt;=1")=0,"",IF(COUNTIFS('04 Hazards'!$S$4:$S$1000,M59,'04 Hazards'!$R$4:$R$1000,TRUE,'04 Hazards'!$U$4:$U$1000,TRUE,'04 Hazards'!$K$4:$K$1000,"&gt;=9")&gt;0,9,IF(COUNTIFS('04 Hazards'!$S$4:$S$1000,M59,'04 Hazards'!$R$4:$R$1000,TRUE,'04 Hazards'!$U$4:$U$1000,TRUE,'04 Hazards'!$K$4:$K$1000,"&gt;=6")&gt;0,6,IF(COUNTIFS('04 Hazards'!$S$4:$S$1000,M59,'04 Hazards'!$R$4:$R$1000,TRUE,'04 Hazards'!$U$4:$U$1000,TRUE,'04 Hazards'!$K$4:$K$1000,"&gt;=4")&gt;0,4,IF(COUNTIFS('04 Hazards'!$S$4:$S$1000,M59,'04 Hazards'!$R$4:$R$1000,TRUE,'04 Hazards'!$U$4:$U$1000,TRUE,'04 Hazards'!$K$4:$K$1000,"&gt;=3")&gt;0,3,IF(COUNTIFS('04 Hazards'!$S$4:$S$1000,M59,'04 Hazards'!$R$4:$R$1000,TRUE,'04 Hazards'!$U$4:$U$1000,TRUE,'04 Hazards'!$K$4:$K$1000,"&gt;=2")&gt;0,2,1)))))))</f>
        <v>2</v>
      </c>
      <c r="H59" s="5" t="str">
        <f t="shared" si="1"/>
        <v>LOW</v>
      </c>
      <c r="I59" s="5" t="s">
        <v>356</v>
      </c>
      <c r="J59" s="12">
        <v>46073.063888888886</v>
      </c>
      <c r="K59" s="6" t="s">
        <v>357</v>
      </c>
      <c r="L59" s="6" t="s">
        <v>358</v>
      </c>
      <c r="M59" s="6" t="s">
        <v>359</v>
      </c>
      <c r="N59" s="6" t="s">
        <v>23</v>
      </c>
      <c r="O59" s="6" t="s">
        <v>24</v>
      </c>
    </row>
    <row r="60" spans="1:15" ht="30">
      <c r="A60" s="7" t="s">
        <v>360</v>
      </c>
      <c r="B60" s="11">
        <v>46103</v>
      </c>
      <c r="C60" s="4" t="s">
        <v>26</v>
      </c>
      <c r="D60" s="4" t="s">
        <v>361</v>
      </c>
      <c r="E60" s="4" t="s">
        <v>35</v>
      </c>
      <c r="F60" s="13">
        <v>57</v>
      </c>
      <c r="G60" s="14">
        <f>IF(M60="","",IF(COUNTIFS('04 Hazards'!$S$4:$S$1000,M60,'04 Hazards'!$R$4:$R$1000,TRUE,'04 Hazards'!$U$4:$U$1000,TRUE,'04 Hazards'!$K$4:$K$1000,"&gt;=1")=0,"",IF(COUNTIFS('04 Hazards'!$S$4:$S$1000,M60,'04 Hazards'!$R$4:$R$1000,TRUE,'04 Hazards'!$U$4:$U$1000,TRUE,'04 Hazards'!$K$4:$K$1000,"&gt;=9")&gt;0,9,IF(COUNTIFS('04 Hazards'!$S$4:$S$1000,M60,'04 Hazards'!$R$4:$R$1000,TRUE,'04 Hazards'!$U$4:$U$1000,TRUE,'04 Hazards'!$K$4:$K$1000,"&gt;=6")&gt;0,6,IF(COUNTIFS('04 Hazards'!$S$4:$S$1000,M60,'04 Hazards'!$R$4:$R$1000,TRUE,'04 Hazards'!$U$4:$U$1000,TRUE,'04 Hazards'!$K$4:$K$1000,"&gt;=4")&gt;0,4,IF(COUNTIFS('04 Hazards'!$S$4:$S$1000,M60,'04 Hazards'!$R$4:$R$1000,TRUE,'04 Hazards'!$U$4:$U$1000,TRUE,'04 Hazards'!$K$4:$K$1000,"&gt;=3")&gt;0,3,IF(COUNTIFS('04 Hazards'!$S$4:$S$1000,M60,'04 Hazards'!$R$4:$R$1000,TRUE,'04 Hazards'!$U$4:$U$1000,TRUE,'04 Hazards'!$K$4:$K$1000,"&gt;=2")&gt;0,2,1)))))))</f>
        <v>4</v>
      </c>
      <c r="H60" s="5" t="str">
        <f t="shared" si="1"/>
        <v>MEDIUM</v>
      </c>
      <c r="I60" s="5" t="s">
        <v>362</v>
      </c>
      <c r="J60" s="12">
        <v>46104.11041666667</v>
      </c>
      <c r="K60" s="6" t="s">
        <v>363</v>
      </c>
      <c r="L60" s="6" t="s">
        <v>364</v>
      </c>
      <c r="M60" s="6" t="s">
        <v>365</v>
      </c>
      <c r="N60" s="6" t="s">
        <v>23</v>
      </c>
      <c r="O60" s="6" t="s">
        <v>24</v>
      </c>
    </row>
    <row r="61" spans="1:15" ht="30">
      <c r="A61" s="7" t="s">
        <v>366</v>
      </c>
      <c r="B61" s="11">
        <v>46137</v>
      </c>
      <c r="C61" s="4" t="s">
        <v>33</v>
      </c>
      <c r="D61" s="4" t="s">
        <v>367</v>
      </c>
      <c r="E61" s="4"/>
      <c r="F61" s="13">
        <v>6</v>
      </c>
      <c r="G61" s="14">
        <f>IF(M61="","",IF(COUNTIFS('04 Hazards'!$S$4:$S$1000,M61,'04 Hazards'!$R$4:$R$1000,TRUE,'04 Hazards'!$U$4:$U$1000,TRUE,'04 Hazards'!$K$4:$K$1000,"&gt;=1")=0,"",IF(COUNTIFS('04 Hazards'!$S$4:$S$1000,M61,'04 Hazards'!$R$4:$R$1000,TRUE,'04 Hazards'!$U$4:$U$1000,TRUE,'04 Hazards'!$K$4:$K$1000,"&gt;=9")&gt;0,9,IF(COUNTIFS('04 Hazards'!$S$4:$S$1000,M61,'04 Hazards'!$R$4:$R$1000,TRUE,'04 Hazards'!$U$4:$U$1000,TRUE,'04 Hazards'!$K$4:$K$1000,"&gt;=6")&gt;0,6,IF(COUNTIFS('04 Hazards'!$S$4:$S$1000,M61,'04 Hazards'!$R$4:$R$1000,TRUE,'04 Hazards'!$U$4:$U$1000,TRUE,'04 Hazards'!$K$4:$K$1000,"&gt;=4")&gt;0,4,IF(COUNTIFS('04 Hazards'!$S$4:$S$1000,M61,'04 Hazards'!$R$4:$R$1000,TRUE,'04 Hazards'!$U$4:$U$1000,TRUE,'04 Hazards'!$K$4:$K$1000,"&gt;=3")&gt;0,3,IF(COUNTIFS('04 Hazards'!$S$4:$S$1000,M61,'04 Hazards'!$R$4:$R$1000,TRUE,'04 Hazards'!$U$4:$U$1000,TRUE,'04 Hazards'!$K$4:$K$1000,"&gt;=2")&gt;0,2,1)))))))</f>
        <v>9</v>
      </c>
      <c r="H61" s="5" t="str">
        <f t="shared" si="1"/>
        <v>HIGH</v>
      </c>
      <c r="I61" s="5" t="s">
        <v>368</v>
      </c>
      <c r="J61" s="12">
        <v>46138.156944444447</v>
      </c>
      <c r="K61" s="6" t="s">
        <v>369</v>
      </c>
      <c r="L61" s="6" t="s">
        <v>370</v>
      </c>
      <c r="M61" s="6" t="s">
        <v>371</v>
      </c>
      <c r="N61" s="6" t="s">
        <v>23</v>
      </c>
      <c r="O61" s="6" t="s">
        <v>24</v>
      </c>
    </row>
    <row r="62" spans="1:15" ht="30">
      <c r="A62" s="7" t="s">
        <v>372</v>
      </c>
      <c r="B62" s="11">
        <v>46145</v>
      </c>
      <c r="C62" s="4" t="s">
        <v>33</v>
      </c>
      <c r="D62" s="4" t="s">
        <v>373</v>
      </c>
      <c r="E62" s="4"/>
      <c r="F62" s="13">
        <v>13</v>
      </c>
      <c r="G62" s="14">
        <f>IF(M62="","",IF(COUNTIFS('04 Hazards'!$S$4:$S$1000,M62,'04 Hazards'!$R$4:$R$1000,TRUE,'04 Hazards'!$U$4:$U$1000,TRUE,'04 Hazards'!$K$4:$K$1000,"&gt;=1")=0,"",IF(COUNTIFS('04 Hazards'!$S$4:$S$1000,M62,'04 Hazards'!$R$4:$R$1000,TRUE,'04 Hazards'!$U$4:$U$1000,TRUE,'04 Hazards'!$K$4:$K$1000,"&gt;=9")&gt;0,9,IF(COUNTIFS('04 Hazards'!$S$4:$S$1000,M62,'04 Hazards'!$R$4:$R$1000,TRUE,'04 Hazards'!$U$4:$U$1000,TRUE,'04 Hazards'!$K$4:$K$1000,"&gt;=6")&gt;0,6,IF(COUNTIFS('04 Hazards'!$S$4:$S$1000,M62,'04 Hazards'!$R$4:$R$1000,TRUE,'04 Hazards'!$U$4:$U$1000,TRUE,'04 Hazards'!$K$4:$K$1000,"&gt;=4")&gt;0,4,IF(COUNTIFS('04 Hazards'!$S$4:$S$1000,M62,'04 Hazards'!$R$4:$R$1000,TRUE,'04 Hazards'!$U$4:$U$1000,TRUE,'04 Hazards'!$K$4:$K$1000,"&gt;=3")&gt;0,3,IF(COUNTIFS('04 Hazards'!$S$4:$S$1000,M62,'04 Hazards'!$R$4:$R$1000,TRUE,'04 Hazards'!$U$4:$U$1000,TRUE,'04 Hazards'!$K$4:$K$1000,"&gt;=2")&gt;0,2,1)))))))</f>
        <v>9</v>
      </c>
      <c r="H62" s="5" t="str">
        <f t="shared" si="1"/>
        <v>HIGH</v>
      </c>
      <c r="I62" s="5" t="s">
        <v>374</v>
      </c>
      <c r="J62" s="12">
        <v>46146.203472222223</v>
      </c>
      <c r="K62" s="6" t="s">
        <v>375</v>
      </c>
      <c r="L62" s="6" t="s">
        <v>376</v>
      </c>
      <c r="M62" s="6" t="s">
        <v>377</v>
      </c>
      <c r="N62" s="6" t="s">
        <v>23</v>
      </c>
      <c r="O62" s="6" t="s">
        <v>24</v>
      </c>
    </row>
    <row r="63" spans="1:15" ht="30">
      <c r="A63" s="7" t="s">
        <v>378</v>
      </c>
      <c r="B63" s="11">
        <v>46058</v>
      </c>
      <c r="C63" s="4" t="s">
        <v>33</v>
      </c>
      <c r="D63" s="4" t="s">
        <v>379</v>
      </c>
      <c r="E63" s="4" t="s">
        <v>42</v>
      </c>
      <c r="F63" s="13">
        <v>18</v>
      </c>
      <c r="G63" s="14">
        <f>IF(M63="","",IF(COUNTIFS('04 Hazards'!$S$4:$S$1000,M63,'04 Hazards'!$R$4:$R$1000,TRUE,'04 Hazards'!$U$4:$U$1000,TRUE,'04 Hazards'!$K$4:$K$1000,"&gt;=1")=0,"",IF(COUNTIFS('04 Hazards'!$S$4:$S$1000,M63,'04 Hazards'!$R$4:$R$1000,TRUE,'04 Hazards'!$U$4:$U$1000,TRUE,'04 Hazards'!$K$4:$K$1000,"&gt;=9")&gt;0,9,IF(COUNTIFS('04 Hazards'!$S$4:$S$1000,M63,'04 Hazards'!$R$4:$R$1000,TRUE,'04 Hazards'!$U$4:$U$1000,TRUE,'04 Hazards'!$K$4:$K$1000,"&gt;=6")&gt;0,6,IF(COUNTIFS('04 Hazards'!$S$4:$S$1000,M63,'04 Hazards'!$R$4:$R$1000,TRUE,'04 Hazards'!$U$4:$U$1000,TRUE,'04 Hazards'!$K$4:$K$1000,"&gt;=4")&gt;0,4,IF(COUNTIFS('04 Hazards'!$S$4:$S$1000,M63,'04 Hazards'!$R$4:$R$1000,TRUE,'04 Hazards'!$U$4:$U$1000,TRUE,'04 Hazards'!$K$4:$K$1000,"&gt;=3")&gt;0,3,IF(COUNTIFS('04 Hazards'!$S$4:$S$1000,M63,'04 Hazards'!$R$4:$R$1000,TRUE,'04 Hazards'!$U$4:$U$1000,TRUE,'04 Hazards'!$K$4:$K$1000,"&gt;=2")&gt;0,2,1)))))))</f>
        <v>9</v>
      </c>
      <c r="H63" s="5" t="str">
        <f t="shared" si="1"/>
        <v>HIGH</v>
      </c>
      <c r="I63" s="5" t="s">
        <v>380</v>
      </c>
      <c r="J63" s="12">
        <v>46059.24722222222</v>
      </c>
      <c r="K63" s="6" t="s">
        <v>381</v>
      </c>
      <c r="L63" s="6" t="s">
        <v>382</v>
      </c>
      <c r="M63" s="6" t="s">
        <v>383</v>
      </c>
      <c r="N63" s="6" t="s">
        <v>23</v>
      </c>
      <c r="O63" s="6" t="s">
        <v>24</v>
      </c>
    </row>
    <row r="64" spans="1:15" ht="30">
      <c r="A64" s="7" t="s">
        <v>384</v>
      </c>
      <c r="B64" s="11">
        <v>46179</v>
      </c>
      <c r="C64" s="4" t="s">
        <v>48</v>
      </c>
      <c r="D64" s="4" t="s">
        <v>385</v>
      </c>
      <c r="E64" s="4" t="s">
        <v>42</v>
      </c>
      <c r="F64" s="13">
        <v>20</v>
      </c>
      <c r="G64" s="14">
        <f>IF(M64="","",IF(COUNTIFS('04 Hazards'!$S$4:$S$1000,M64,'04 Hazards'!$R$4:$R$1000,TRUE,'04 Hazards'!$U$4:$U$1000,TRUE,'04 Hazards'!$K$4:$K$1000,"&gt;=1")=0,"",IF(COUNTIFS('04 Hazards'!$S$4:$S$1000,M64,'04 Hazards'!$R$4:$R$1000,TRUE,'04 Hazards'!$U$4:$U$1000,TRUE,'04 Hazards'!$K$4:$K$1000,"&gt;=9")&gt;0,9,IF(COUNTIFS('04 Hazards'!$S$4:$S$1000,M64,'04 Hazards'!$R$4:$R$1000,TRUE,'04 Hazards'!$U$4:$U$1000,TRUE,'04 Hazards'!$K$4:$K$1000,"&gt;=6")&gt;0,6,IF(COUNTIFS('04 Hazards'!$S$4:$S$1000,M64,'04 Hazards'!$R$4:$R$1000,TRUE,'04 Hazards'!$U$4:$U$1000,TRUE,'04 Hazards'!$K$4:$K$1000,"&gt;=4")&gt;0,4,IF(COUNTIFS('04 Hazards'!$S$4:$S$1000,M64,'04 Hazards'!$R$4:$R$1000,TRUE,'04 Hazards'!$U$4:$U$1000,TRUE,'04 Hazards'!$K$4:$K$1000,"&gt;=3")&gt;0,3,IF(COUNTIFS('04 Hazards'!$S$4:$S$1000,M64,'04 Hazards'!$R$4:$R$1000,TRUE,'04 Hazards'!$U$4:$U$1000,TRUE,'04 Hazards'!$K$4:$K$1000,"&gt;=2")&gt;0,2,1)))))))</f>
        <v>9</v>
      </c>
      <c r="H64" s="5" t="str">
        <f t="shared" si="1"/>
        <v>HIGH</v>
      </c>
      <c r="I64" s="5" t="s">
        <v>386</v>
      </c>
      <c r="J64" s="12">
        <v>46180.208333333336</v>
      </c>
      <c r="K64" s="6" t="s">
        <v>387</v>
      </c>
      <c r="L64" s="6" t="s">
        <v>388</v>
      </c>
      <c r="M64" s="6" t="s">
        <v>389</v>
      </c>
      <c r="N64" s="6" t="s">
        <v>23</v>
      </c>
      <c r="O64" s="6" t="s">
        <v>24</v>
      </c>
    </row>
    <row r="65" spans="1:15" ht="30">
      <c r="A65" s="7" t="s">
        <v>390</v>
      </c>
      <c r="B65" s="11">
        <v>46031</v>
      </c>
      <c r="C65" s="4" t="s">
        <v>17</v>
      </c>
      <c r="D65" s="4" t="s">
        <v>391</v>
      </c>
      <c r="E65" s="4"/>
      <c r="F65" s="13">
        <v>27</v>
      </c>
      <c r="G65" s="14">
        <f>IF(M65="","",IF(COUNTIFS('04 Hazards'!$S$4:$S$1000,M65,'04 Hazards'!$R$4:$R$1000,TRUE,'04 Hazards'!$U$4:$U$1000,TRUE,'04 Hazards'!$K$4:$K$1000,"&gt;=1")=0,"",IF(COUNTIFS('04 Hazards'!$S$4:$S$1000,M65,'04 Hazards'!$R$4:$R$1000,TRUE,'04 Hazards'!$U$4:$U$1000,TRUE,'04 Hazards'!$K$4:$K$1000,"&gt;=9")&gt;0,9,IF(COUNTIFS('04 Hazards'!$S$4:$S$1000,M65,'04 Hazards'!$R$4:$R$1000,TRUE,'04 Hazards'!$U$4:$U$1000,TRUE,'04 Hazards'!$K$4:$K$1000,"&gt;=6")&gt;0,6,IF(COUNTIFS('04 Hazards'!$S$4:$S$1000,M65,'04 Hazards'!$R$4:$R$1000,TRUE,'04 Hazards'!$U$4:$U$1000,TRUE,'04 Hazards'!$K$4:$K$1000,"&gt;=4")&gt;0,4,IF(COUNTIFS('04 Hazards'!$S$4:$S$1000,M65,'04 Hazards'!$R$4:$R$1000,TRUE,'04 Hazards'!$U$4:$U$1000,TRUE,'04 Hazards'!$K$4:$K$1000,"&gt;=3")&gt;0,3,IF(COUNTIFS('04 Hazards'!$S$4:$S$1000,M65,'04 Hazards'!$R$4:$R$1000,TRUE,'04 Hazards'!$U$4:$U$1000,TRUE,'04 Hazards'!$K$4:$K$1000,"&gt;=2")&gt;0,2,1)))))))</f>
        <v>9</v>
      </c>
      <c r="H65" s="5" t="str">
        <f t="shared" si="1"/>
        <v>HIGH</v>
      </c>
      <c r="I65" s="5" t="s">
        <v>392</v>
      </c>
      <c r="J65" s="12">
        <v>46032.254861111112</v>
      </c>
      <c r="K65" s="6" t="s">
        <v>393</v>
      </c>
      <c r="L65" s="6" t="s">
        <v>394</v>
      </c>
      <c r="M65" s="6" t="s">
        <v>395</v>
      </c>
      <c r="N65" s="6" t="s">
        <v>23</v>
      </c>
      <c r="O65" s="6" t="s">
        <v>24</v>
      </c>
    </row>
    <row r="66" spans="1:15" ht="30">
      <c r="A66" s="7" t="s">
        <v>396</v>
      </c>
      <c r="B66" s="11">
        <v>46065</v>
      </c>
      <c r="C66" s="4" t="s">
        <v>26</v>
      </c>
      <c r="D66" s="4" t="s">
        <v>397</v>
      </c>
      <c r="E66" s="4"/>
      <c r="F66" s="13">
        <v>34</v>
      </c>
      <c r="G66" s="14">
        <f>IF(M66="","",IF(COUNTIFS('04 Hazards'!$S$4:$S$1000,M66,'04 Hazards'!$R$4:$R$1000,TRUE,'04 Hazards'!$U$4:$U$1000,TRUE,'04 Hazards'!$K$4:$K$1000,"&gt;=1")=0,"",IF(COUNTIFS('04 Hazards'!$S$4:$S$1000,M66,'04 Hazards'!$R$4:$R$1000,TRUE,'04 Hazards'!$U$4:$U$1000,TRUE,'04 Hazards'!$K$4:$K$1000,"&gt;=9")&gt;0,9,IF(COUNTIFS('04 Hazards'!$S$4:$S$1000,M66,'04 Hazards'!$R$4:$R$1000,TRUE,'04 Hazards'!$U$4:$U$1000,TRUE,'04 Hazards'!$K$4:$K$1000,"&gt;=6")&gt;0,6,IF(COUNTIFS('04 Hazards'!$S$4:$S$1000,M66,'04 Hazards'!$R$4:$R$1000,TRUE,'04 Hazards'!$U$4:$U$1000,TRUE,'04 Hazards'!$K$4:$K$1000,"&gt;=4")&gt;0,4,IF(COUNTIFS('04 Hazards'!$S$4:$S$1000,M66,'04 Hazards'!$R$4:$R$1000,TRUE,'04 Hazards'!$U$4:$U$1000,TRUE,'04 Hazards'!$K$4:$K$1000,"&gt;=3")&gt;0,3,IF(COUNTIFS('04 Hazards'!$S$4:$S$1000,M66,'04 Hazards'!$R$4:$R$1000,TRUE,'04 Hazards'!$U$4:$U$1000,TRUE,'04 Hazards'!$K$4:$K$1000,"&gt;=2")&gt;0,2,1)))))))</f>
        <v>9</v>
      </c>
      <c r="H66" s="5" t="str">
        <f t="shared" si="1"/>
        <v>HIGH</v>
      </c>
      <c r="I66" s="5" t="s">
        <v>398</v>
      </c>
      <c r="J66" s="12">
        <v>46066.301388888889</v>
      </c>
      <c r="K66" s="6" t="s">
        <v>399</v>
      </c>
      <c r="L66" s="6" t="s">
        <v>400</v>
      </c>
      <c r="M66" s="6" t="s">
        <v>401</v>
      </c>
      <c r="N66" s="6" t="s">
        <v>23</v>
      </c>
      <c r="O66" s="6" t="s">
        <v>24</v>
      </c>
    </row>
    <row r="67" spans="1:15" ht="30">
      <c r="A67" s="7" t="s">
        <v>402</v>
      </c>
      <c r="B67" s="11">
        <v>46096</v>
      </c>
      <c r="C67" s="4" t="s">
        <v>33</v>
      </c>
      <c r="D67" s="4" t="s">
        <v>403</v>
      </c>
      <c r="E67" s="4" t="s">
        <v>35</v>
      </c>
      <c r="F67" s="13">
        <v>41</v>
      </c>
      <c r="G67" s="14">
        <f>IF(M67="","",IF(COUNTIFS('04 Hazards'!$S$4:$S$1000,M67,'04 Hazards'!$R$4:$R$1000,TRUE,'04 Hazards'!$U$4:$U$1000,TRUE,'04 Hazards'!$K$4:$K$1000,"&gt;=1")=0,"",IF(COUNTIFS('04 Hazards'!$S$4:$S$1000,M67,'04 Hazards'!$R$4:$R$1000,TRUE,'04 Hazards'!$U$4:$U$1000,TRUE,'04 Hazards'!$K$4:$K$1000,"&gt;=9")&gt;0,9,IF(COUNTIFS('04 Hazards'!$S$4:$S$1000,M67,'04 Hazards'!$R$4:$R$1000,TRUE,'04 Hazards'!$U$4:$U$1000,TRUE,'04 Hazards'!$K$4:$K$1000,"&gt;=6")&gt;0,6,IF(COUNTIFS('04 Hazards'!$S$4:$S$1000,M67,'04 Hazards'!$R$4:$R$1000,TRUE,'04 Hazards'!$U$4:$U$1000,TRUE,'04 Hazards'!$K$4:$K$1000,"&gt;=4")&gt;0,4,IF(COUNTIFS('04 Hazards'!$S$4:$S$1000,M67,'04 Hazards'!$R$4:$R$1000,TRUE,'04 Hazards'!$U$4:$U$1000,TRUE,'04 Hazards'!$K$4:$K$1000,"&gt;=3")&gt;0,3,IF(COUNTIFS('04 Hazards'!$S$4:$S$1000,M67,'04 Hazards'!$R$4:$R$1000,TRUE,'04 Hazards'!$U$4:$U$1000,TRUE,'04 Hazards'!$K$4:$K$1000,"&gt;=2")&gt;0,2,1)))))))</f>
        <v>4</v>
      </c>
      <c r="H67" s="5" t="str">
        <f t="shared" si="1"/>
        <v>MEDIUM</v>
      </c>
      <c r="I67" s="5" t="s">
        <v>404</v>
      </c>
      <c r="J67" s="12">
        <v>46097.347916666666</v>
      </c>
      <c r="K67" s="6" t="s">
        <v>405</v>
      </c>
      <c r="L67" s="6" t="s">
        <v>406</v>
      </c>
      <c r="M67" s="6" t="s">
        <v>407</v>
      </c>
      <c r="N67" s="6" t="s">
        <v>23</v>
      </c>
      <c r="O67" s="6" t="s">
        <v>24</v>
      </c>
    </row>
    <row r="68" spans="1:15" ht="30">
      <c r="A68" s="7" t="s">
        <v>408</v>
      </c>
      <c r="B68" s="11">
        <v>46130</v>
      </c>
      <c r="C68" s="4" t="s">
        <v>33</v>
      </c>
      <c r="D68" s="4" t="s">
        <v>409</v>
      </c>
      <c r="E68" s="4" t="s">
        <v>42</v>
      </c>
      <c r="F68" s="13">
        <v>48</v>
      </c>
      <c r="G68" s="14">
        <f>IF(M68="","",IF(COUNTIFS('04 Hazards'!$S$4:$S$1000,M68,'04 Hazards'!$R$4:$R$1000,TRUE,'04 Hazards'!$U$4:$U$1000,TRUE,'04 Hazards'!$K$4:$K$1000,"&gt;=1")=0,"",IF(COUNTIFS('04 Hazards'!$S$4:$S$1000,M68,'04 Hazards'!$R$4:$R$1000,TRUE,'04 Hazards'!$U$4:$U$1000,TRUE,'04 Hazards'!$K$4:$K$1000,"&gt;=9")&gt;0,9,IF(COUNTIFS('04 Hazards'!$S$4:$S$1000,M68,'04 Hazards'!$R$4:$R$1000,TRUE,'04 Hazards'!$U$4:$U$1000,TRUE,'04 Hazards'!$K$4:$K$1000,"&gt;=6")&gt;0,6,IF(COUNTIFS('04 Hazards'!$S$4:$S$1000,M68,'04 Hazards'!$R$4:$R$1000,TRUE,'04 Hazards'!$U$4:$U$1000,TRUE,'04 Hazards'!$K$4:$K$1000,"&gt;=4")&gt;0,4,IF(COUNTIFS('04 Hazards'!$S$4:$S$1000,M68,'04 Hazards'!$R$4:$R$1000,TRUE,'04 Hazards'!$U$4:$U$1000,TRUE,'04 Hazards'!$K$4:$K$1000,"&gt;=3")&gt;0,3,IF(COUNTIFS('04 Hazards'!$S$4:$S$1000,M68,'04 Hazards'!$R$4:$R$1000,TRUE,'04 Hazards'!$U$4:$U$1000,TRUE,'04 Hazards'!$K$4:$K$1000,"&gt;=2")&gt;0,2,1)))))))</f>
        <v>9</v>
      </c>
      <c r="H68" s="5" t="str">
        <f t="shared" ref="H68:H73" si="2">IF(G68="","",IF(G68&lt;=2,"LOW",IF(G68&lt;=4,"MEDIUM","HIGH")))</f>
        <v>HIGH</v>
      </c>
      <c r="I68" s="5" t="s">
        <v>410</v>
      </c>
      <c r="J68" s="12">
        <v>46131.061111111114</v>
      </c>
      <c r="K68" s="6" t="s">
        <v>411</v>
      </c>
      <c r="L68" s="6" t="s">
        <v>412</v>
      </c>
      <c r="M68" s="6" t="s">
        <v>413</v>
      </c>
      <c r="N68" s="6" t="s">
        <v>23</v>
      </c>
      <c r="O68" s="6" t="s">
        <v>24</v>
      </c>
    </row>
    <row r="69" spans="1:15" ht="30">
      <c r="A69" s="7" t="s">
        <v>414</v>
      </c>
      <c r="B69" s="11">
        <v>46163</v>
      </c>
      <c r="C69" s="4" t="s">
        <v>48</v>
      </c>
      <c r="D69" s="4" t="s">
        <v>415</v>
      </c>
      <c r="E69" s="4"/>
      <c r="F69" s="13">
        <v>55</v>
      </c>
      <c r="G69" s="14">
        <f>IF(M69="","",IF(COUNTIFS('04 Hazards'!$S$4:$S$1000,M69,'04 Hazards'!$R$4:$R$1000,TRUE,'04 Hazards'!$U$4:$U$1000,TRUE,'04 Hazards'!$K$4:$K$1000,"&gt;=1")=0,"",IF(COUNTIFS('04 Hazards'!$S$4:$S$1000,M69,'04 Hazards'!$R$4:$R$1000,TRUE,'04 Hazards'!$U$4:$U$1000,TRUE,'04 Hazards'!$K$4:$K$1000,"&gt;=9")&gt;0,9,IF(COUNTIFS('04 Hazards'!$S$4:$S$1000,M69,'04 Hazards'!$R$4:$R$1000,TRUE,'04 Hazards'!$U$4:$U$1000,TRUE,'04 Hazards'!$K$4:$K$1000,"&gt;=6")&gt;0,6,IF(COUNTIFS('04 Hazards'!$S$4:$S$1000,M69,'04 Hazards'!$R$4:$R$1000,TRUE,'04 Hazards'!$U$4:$U$1000,TRUE,'04 Hazards'!$K$4:$K$1000,"&gt;=4")&gt;0,4,IF(COUNTIFS('04 Hazards'!$S$4:$S$1000,M69,'04 Hazards'!$R$4:$R$1000,TRUE,'04 Hazards'!$U$4:$U$1000,TRUE,'04 Hazards'!$K$4:$K$1000,"&gt;=3")&gt;0,3,IF(COUNTIFS('04 Hazards'!$S$4:$S$1000,M69,'04 Hazards'!$R$4:$R$1000,TRUE,'04 Hazards'!$U$4:$U$1000,TRUE,'04 Hazards'!$K$4:$K$1000,"&gt;=2")&gt;0,2,1)))))))</f>
        <v>9</v>
      </c>
      <c r="H69" s="5" t="str">
        <f t="shared" si="2"/>
        <v>HIGH</v>
      </c>
      <c r="I69" s="5" t="s">
        <v>416</v>
      </c>
      <c r="J69" s="12">
        <v>46164.107638888891</v>
      </c>
      <c r="K69" s="6" t="s">
        <v>417</v>
      </c>
      <c r="L69" s="6" t="s">
        <v>418</v>
      </c>
      <c r="M69" s="6" t="s">
        <v>419</v>
      </c>
      <c r="N69" s="6" t="s">
        <v>23</v>
      </c>
      <c r="O69" s="6" t="s">
        <v>24</v>
      </c>
    </row>
    <row r="70" spans="1:15" ht="30">
      <c r="A70" s="7" t="s">
        <v>420</v>
      </c>
      <c r="B70" s="11">
        <v>46197</v>
      </c>
      <c r="C70" s="4" t="s">
        <v>17</v>
      </c>
      <c r="D70" s="4" t="s">
        <v>421</v>
      </c>
      <c r="E70" s="4" t="s">
        <v>35</v>
      </c>
      <c r="F70" s="13">
        <v>62</v>
      </c>
      <c r="G70" s="14">
        <f>IF(M70="","",IF(COUNTIFS('04 Hazards'!$S$4:$S$1000,M70,'04 Hazards'!$R$4:$R$1000,TRUE,'04 Hazards'!$U$4:$U$1000,TRUE,'04 Hazards'!$K$4:$K$1000,"&gt;=1")=0,"",IF(COUNTIFS('04 Hazards'!$S$4:$S$1000,M70,'04 Hazards'!$R$4:$R$1000,TRUE,'04 Hazards'!$U$4:$U$1000,TRUE,'04 Hazards'!$K$4:$K$1000,"&gt;=9")&gt;0,9,IF(COUNTIFS('04 Hazards'!$S$4:$S$1000,M70,'04 Hazards'!$R$4:$R$1000,TRUE,'04 Hazards'!$U$4:$U$1000,TRUE,'04 Hazards'!$K$4:$K$1000,"&gt;=6")&gt;0,6,IF(COUNTIFS('04 Hazards'!$S$4:$S$1000,M70,'04 Hazards'!$R$4:$R$1000,TRUE,'04 Hazards'!$U$4:$U$1000,TRUE,'04 Hazards'!$K$4:$K$1000,"&gt;=4")&gt;0,4,IF(COUNTIFS('04 Hazards'!$S$4:$S$1000,M70,'04 Hazards'!$R$4:$R$1000,TRUE,'04 Hazards'!$U$4:$U$1000,TRUE,'04 Hazards'!$K$4:$K$1000,"&gt;=3")&gt;0,3,IF(COUNTIFS('04 Hazards'!$S$4:$S$1000,M70,'04 Hazards'!$R$4:$R$1000,TRUE,'04 Hazards'!$U$4:$U$1000,TRUE,'04 Hazards'!$K$4:$K$1000,"&gt;=2")&gt;0,2,1)))))))</f>
        <v>9</v>
      </c>
      <c r="H70" s="5" t="str">
        <f t="shared" si="2"/>
        <v>HIGH</v>
      </c>
      <c r="I70" s="5" t="s">
        <v>422</v>
      </c>
      <c r="J70" s="12">
        <v>46198.154166666667</v>
      </c>
      <c r="K70" s="6" t="s">
        <v>423</v>
      </c>
      <c r="L70" s="6" t="s">
        <v>424</v>
      </c>
      <c r="M70" s="6" t="s">
        <v>425</v>
      </c>
      <c r="N70" s="6" t="s">
        <v>23</v>
      </c>
      <c r="O70" s="6" t="s">
        <v>24</v>
      </c>
    </row>
    <row r="71" spans="1:15" ht="30">
      <c r="A71" s="7" t="s">
        <v>426</v>
      </c>
      <c r="B71" s="11">
        <v>46024</v>
      </c>
      <c r="C71" s="4" t="s">
        <v>26</v>
      </c>
      <c r="D71" s="4" t="s">
        <v>427</v>
      </c>
      <c r="E71" s="4"/>
      <c r="F71" s="13">
        <v>11</v>
      </c>
      <c r="G71" s="14">
        <f>IF(M71="","",IF(COUNTIFS('04 Hazards'!$S$4:$S$1000,M71,'04 Hazards'!$R$4:$R$1000,TRUE,'04 Hazards'!$U$4:$U$1000,TRUE,'04 Hazards'!$K$4:$K$1000,"&gt;=1")=0,"",IF(COUNTIFS('04 Hazards'!$S$4:$S$1000,M71,'04 Hazards'!$R$4:$R$1000,TRUE,'04 Hazards'!$U$4:$U$1000,TRUE,'04 Hazards'!$K$4:$K$1000,"&gt;=9")&gt;0,9,IF(COUNTIFS('04 Hazards'!$S$4:$S$1000,M71,'04 Hazards'!$R$4:$R$1000,TRUE,'04 Hazards'!$U$4:$U$1000,TRUE,'04 Hazards'!$K$4:$K$1000,"&gt;=6")&gt;0,6,IF(COUNTIFS('04 Hazards'!$S$4:$S$1000,M71,'04 Hazards'!$R$4:$R$1000,TRUE,'04 Hazards'!$U$4:$U$1000,TRUE,'04 Hazards'!$K$4:$K$1000,"&gt;=4")&gt;0,4,IF(COUNTIFS('04 Hazards'!$S$4:$S$1000,M71,'04 Hazards'!$R$4:$R$1000,TRUE,'04 Hazards'!$U$4:$U$1000,TRUE,'04 Hazards'!$K$4:$K$1000,"&gt;=3")&gt;0,3,IF(COUNTIFS('04 Hazards'!$S$4:$S$1000,M71,'04 Hazards'!$R$4:$R$1000,TRUE,'04 Hazards'!$U$4:$U$1000,TRUE,'04 Hazards'!$K$4:$K$1000,"&gt;=2")&gt;0,2,1)))))))</f>
        <v>9</v>
      </c>
      <c r="H71" s="5" t="str">
        <f t="shared" si="2"/>
        <v>HIGH</v>
      </c>
      <c r="I71" s="5" t="s">
        <v>428</v>
      </c>
      <c r="J71" s="12">
        <v>46025.200694444444</v>
      </c>
      <c r="K71" s="6" t="s">
        <v>429</v>
      </c>
      <c r="L71" s="6" t="s">
        <v>430</v>
      </c>
      <c r="M71" s="6" t="s">
        <v>431</v>
      </c>
      <c r="N71" s="6" t="s">
        <v>23</v>
      </c>
      <c r="O71" s="6" t="s">
        <v>24</v>
      </c>
    </row>
    <row r="72" spans="1:15" ht="30">
      <c r="A72" s="7" t="s">
        <v>432</v>
      </c>
      <c r="B72" s="11">
        <v>46089</v>
      </c>
      <c r="C72" s="4" t="s">
        <v>33</v>
      </c>
      <c r="D72" s="4" t="s">
        <v>433</v>
      </c>
      <c r="E72" s="4" t="s">
        <v>35</v>
      </c>
      <c r="F72" s="13">
        <v>25</v>
      </c>
      <c r="G72" s="14">
        <f>IF(M72="","",IF(COUNTIFS('04 Hazards'!$S$4:$S$1000,M72,'04 Hazards'!$R$4:$R$1000,TRUE,'04 Hazards'!$U$4:$U$1000,TRUE,'04 Hazards'!$K$4:$K$1000,"&gt;=1")=0,"",IF(COUNTIFS('04 Hazards'!$S$4:$S$1000,M72,'04 Hazards'!$R$4:$R$1000,TRUE,'04 Hazards'!$U$4:$U$1000,TRUE,'04 Hazards'!$K$4:$K$1000,"&gt;=9")&gt;0,9,IF(COUNTIFS('04 Hazards'!$S$4:$S$1000,M72,'04 Hazards'!$R$4:$R$1000,TRUE,'04 Hazards'!$U$4:$U$1000,TRUE,'04 Hazards'!$K$4:$K$1000,"&gt;=6")&gt;0,6,IF(COUNTIFS('04 Hazards'!$S$4:$S$1000,M72,'04 Hazards'!$R$4:$R$1000,TRUE,'04 Hazards'!$U$4:$U$1000,TRUE,'04 Hazards'!$K$4:$K$1000,"&gt;=4")&gt;0,4,IF(COUNTIFS('04 Hazards'!$S$4:$S$1000,M72,'04 Hazards'!$R$4:$R$1000,TRUE,'04 Hazards'!$U$4:$U$1000,TRUE,'04 Hazards'!$K$4:$K$1000,"&gt;=3")&gt;0,3,IF(COUNTIFS('04 Hazards'!$S$4:$S$1000,M72,'04 Hazards'!$R$4:$R$1000,TRUE,'04 Hazards'!$U$4:$U$1000,TRUE,'04 Hazards'!$K$4:$K$1000,"&gt;=2")&gt;0,2,1)))))))</f>
        <v>4</v>
      </c>
      <c r="H72" s="5" t="str">
        <f t="shared" si="2"/>
        <v>MEDIUM</v>
      </c>
      <c r="I72" s="5" t="s">
        <v>434</v>
      </c>
      <c r="J72" s="12">
        <v>46090.252083333333</v>
      </c>
      <c r="K72" s="6" t="s">
        <v>435</v>
      </c>
      <c r="L72" s="6" t="s">
        <v>436</v>
      </c>
      <c r="M72" s="6" t="s">
        <v>437</v>
      </c>
      <c r="N72" s="6" t="s">
        <v>23</v>
      </c>
      <c r="O72" s="6" t="s">
        <v>24</v>
      </c>
    </row>
    <row r="73" spans="1:15" ht="30">
      <c r="A73" s="7" t="s">
        <v>438</v>
      </c>
      <c r="B73" s="11">
        <v>46123</v>
      </c>
      <c r="C73" s="4" t="s">
        <v>48</v>
      </c>
      <c r="D73" s="4" t="s">
        <v>439</v>
      </c>
      <c r="E73" s="4"/>
      <c r="F73" s="13">
        <v>32</v>
      </c>
      <c r="G73" s="14">
        <f>IF(M73="","",IF(COUNTIFS('04 Hazards'!$S$4:$S$1000,M73,'04 Hazards'!$R$4:$R$1000,TRUE,'04 Hazards'!$U$4:$U$1000,TRUE,'04 Hazards'!$K$4:$K$1000,"&gt;=1")=0,"",IF(COUNTIFS('04 Hazards'!$S$4:$S$1000,M73,'04 Hazards'!$R$4:$R$1000,TRUE,'04 Hazards'!$U$4:$U$1000,TRUE,'04 Hazards'!$K$4:$K$1000,"&gt;=9")&gt;0,9,IF(COUNTIFS('04 Hazards'!$S$4:$S$1000,M73,'04 Hazards'!$R$4:$R$1000,TRUE,'04 Hazards'!$U$4:$U$1000,TRUE,'04 Hazards'!$K$4:$K$1000,"&gt;=6")&gt;0,6,IF(COUNTIFS('04 Hazards'!$S$4:$S$1000,M73,'04 Hazards'!$R$4:$R$1000,TRUE,'04 Hazards'!$U$4:$U$1000,TRUE,'04 Hazards'!$K$4:$K$1000,"&gt;=4")&gt;0,4,IF(COUNTIFS('04 Hazards'!$S$4:$S$1000,M73,'04 Hazards'!$R$4:$R$1000,TRUE,'04 Hazards'!$U$4:$U$1000,TRUE,'04 Hazards'!$K$4:$K$1000,"&gt;=3")&gt;0,3,IF(COUNTIFS('04 Hazards'!$S$4:$S$1000,M73,'04 Hazards'!$R$4:$R$1000,TRUE,'04 Hazards'!$U$4:$U$1000,TRUE,'04 Hazards'!$K$4:$K$1000,"&gt;=2")&gt;0,2,1)))))))</f>
        <v>4</v>
      </c>
      <c r="H73" s="5" t="str">
        <f t="shared" si="2"/>
        <v>MEDIUM</v>
      </c>
      <c r="I73" s="5" t="s">
        <v>440</v>
      </c>
      <c r="J73" s="12">
        <v>46124.298611111109</v>
      </c>
      <c r="K73" s="6" t="s">
        <v>441</v>
      </c>
      <c r="L73" s="6" t="s">
        <v>442</v>
      </c>
      <c r="M73" s="6" t="s">
        <v>443</v>
      </c>
      <c r="N73" s="6" t="s">
        <v>23</v>
      </c>
      <c r="O73" s="6" t="s">
        <v>24</v>
      </c>
    </row>
  </sheetData>
  <mergeCells count="2">
    <mergeCell ref="A1:O1"/>
    <mergeCell ref="A2:O2"/>
  </mergeCells>
  <conditionalFormatting sqref="H4:H1048576">
    <cfRule type="expression" dxfId="9" priority="1">
      <formula>$H4="LOW"</formula>
    </cfRule>
    <cfRule type="expression" dxfId="8" priority="2">
      <formula>$H4="MEDIUM"</formula>
    </cfRule>
    <cfRule type="expression" dxfId="7" priority="3">
      <formula>$H4="HIGH"</formula>
    </cfRule>
  </conditionalFormatting>
  <dataValidations count="2">
    <dataValidation type="whole" operator="greaterThanOrEqual" sqref="F4:F1048576" xr:uid="{00000000-0002-0000-0000-000000000000}">
      <formula1>1</formula1>
    </dataValidation>
    <dataValidation type="list" sqref="C4:C1048576" xr:uid="{00000000-0002-0000-0000-000001000000}">
      <formula1>"SUBMITTED,IN_REVIEW,RETURNED,CLOSED"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03"/>
  <sheetViews>
    <sheetView showGridLines="0" zoomScale="162" workbookViewId="0">
      <pane xSplit="1" ySplit="3" topLeftCell="B4" activePane="bottomRight" state="frozen"/>
      <selection pane="topRight"/>
      <selection pane="bottomLeft"/>
      <selection pane="bottomRight" activeCell="A7" sqref="A7"/>
    </sheetView>
  </sheetViews>
  <sheetFormatPr baseColWidth="10" defaultColWidth="8.83203125" defaultRowHeight="15"/>
  <cols>
    <col min="1" max="1" width="32" customWidth="1"/>
    <col min="2" max="2" width="16" customWidth="1"/>
    <col min="3" max="3" width="19" customWidth="1"/>
    <col min="4" max="4" width="12" customWidth="1"/>
    <col min="5" max="5" width="38" customWidth="1"/>
    <col min="6" max="6" width="20" customWidth="1"/>
    <col min="7" max="7" width="32" customWidth="1"/>
    <col min="8" max="8" width="20" customWidth="1"/>
    <col min="9" max="9" width="25" customWidth="1"/>
  </cols>
  <sheetData>
    <row r="1" spans="1:9" ht="28" customHeight="1">
      <c r="A1" s="38" t="s">
        <v>444</v>
      </c>
      <c r="B1" s="38"/>
      <c r="C1" s="38"/>
      <c r="D1" s="38"/>
      <c r="E1" s="38"/>
      <c r="F1" s="38"/>
      <c r="G1" s="38"/>
      <c r="H1" s="38"/>
      <c r="I1" s="38"/>
    </row>
    <row r="2" spans="1:9" ht="32" customHeight="1">
      <c r="A2" s="40" t="s">
        <v>3095</v>
      </c>
      <c r="B2" s="40"/>
      <c r="C2" s="40"/>
      <c r="D2" s="40"/>
      <c r="E2" s="40"/>
      <c r="F2" s="40"/>
      <c r="G2" s="40"/>
      <c r="H2" s="40"/>
      <c r="I2" s="40"/>
    </row>
    <row r="3" spans="1:9" ht="34" customHeight="1">
      <c r="A3" s="1" t="s">
        <v>1</v>
      </c>
      <c r="B3" s="2" t="s">
        <v>2</v>
      </c>
      <c r="C3" s="2" t="s">
        <v>9</v>
      </c>
      <c r="D3" s="2" t="s">
        <v>445</v>
      </c>
      <c r="E3" s="2" t="s">
        <v>446</v>
      </c>
      <c r="F3" s="2" t="s">
        <v>3</v>
      </c>
      <c r="G3" s="2" t="s">
        <v>447</v>
      </c>
      <c r="H3" s="2" t="s">
        <v>13</v>
      </c>
      <c r="I3" s="3" t="s">
        <v>448</v>
      </c>
    </row>
    <row r="4" spans="1:9">
      <c r="A4" s="7" t="s">
        <v>16</v>
      </c>
      <c r="B4" s="15">
        <v>46026</v>
      </c>
      <c r="C4" s="5" t="s">
        <v>19</v>
      </c>
      <c r="D4" s="14">
        <v>1</v>
      </c>
      <c r="E4" s="5" t="s">
        <v>449</v>
      </c>
      <c r="F4" s="4" t="s">
        <v>450</v>
      </c>
      <c r="G4" s="6" t="s">
        <v>451</v>
      </c>
      <c r="H4" s="6" t="s">
        <v>22</v>
      </c>
      <c r="I4" s="6" t="s">
        <v>452</v>
      </c>
    </row>
    <row r="5" spans="1:9">
      <c r="A5" s="7" t="s">
        <v>16</v>
      </c>
      <c r="B5" s="15">
        <v>46026</v>
      </c>
      <c r="C5" s="5" t="s">
        <v>19</v>
      </c>
      <c r="D5" s="14">
        <v>2</v>
      </c>
      <c r="E5" s="5" t="s">
        <v>453</v>
      </c>
      <c r="F5" s="4" t="s">
        <v>450</v>
      </c>
      <c r="G5" s="6" t="s">
        <v>454</v>
      </c>
      <c r="H5" s="6" t="s">
        <v>22</v>
      </c>
      <c r="I5" s="6" t="s">
        <v>455</v>
      </c>
    </row>
    <row r="6" spans="1:9">
      <c r="A6" s="7" t="s">
        <v>16</v>
      </c>
      <c r="B6" s="15">
        <v>46026</v>
      </c>
      <c r="C6" s="5" t="s">
        <v>19</v>
      </c>
      <c r="D6" s="14">
        <v>3</v>
      </c>
      <c r="E6" s="5" t="s">
        <v>456</v>
      </c>
      <c r="F6" s="4" t="s">
        <v>450</v>
      </c>
      <c r="G6" s="6" t="s">
        <v>457</v>
      </c>
      <c r="H6" s="6" t="s">
        <v>22</v>
      </c>
      <c r="I6" s="6" t="s">
        <v>458</v>
      </c>
    </row>
    <row r="7" spans="1:9">
      <c r="A7" s="7" t="s">
        <v>16</v>
      </c>
      <c r="B7" s="15">
        <v>46026</v>
      </c>
      <c r="C7" s="5" t="s">
        <v>19</v>
      </c>
      <c r="D7" s="14">
        <v>4</v>
      </c>
      <c r="E7" s="5" t="s">
        <v>459</v>
      </c>
      <c r="F7" s="4" t="s">
        <v>450</v>
      </c>
      <c r="G7" s="6" t="s">
        <v>460</v>
      </c>
      <c r="H7" s="6" t="s">
        <v>22</v>
      </c>
      <c r="I7" s="6" t="s">
        <v>461</v>
      </c>
    </row>
    <row r="8" spans="1:9">
      <c r="A8" s="7" t="s">
        <v>16</v>
      </c>
      <c r="B8" s="15">
        <v>46026</v>
      </c>
      <c r="C8" s="5" t="s">
        <v>19</v>
      </c>
      <c r="D8" s="14">
        <v>5</v>
      </c>
      <c r="E8" s="5" t="s">
        <v>462</v>
      </c>
      <c r="F8" s="4" t="s">
        <v>450</v>
      </c>
      <c r="G8" s="6" t="s">
        <v>463</v>
      </c>
      <c r="H8" s="6" t="s">
        <v>22</v>
      </c>
      <c r="I8" s="6" t="s">
        <v>464</v>
      </c>
    </row>
    <row r="9" spans="1:9">
      <c r="A9" s="7" t="s">
        <v>16</v>
      </c>
      <c r="B9" s="15">
        <v>46026</v>
      </c>
      <c r="C9" s="5" t="s">
        <v>19</v>
      </c>
      <c r="D9" s="14">
        <v>6</v>
      </c>
      <c r="E9" s="5" t="s">
        <v>465</v>
      </c>
      <c r="F9" s="4" t="s">
        <v>450</v>
      </c>
      <c r="G9" s="6" t="s">
        <v>466</v>
      </c>
      <c r="H9" s="6" t="s">
        <v>22</v>
      </c>
      <c r="I9" s="6" t="s">
        <v>467</v>
      </c>
    </row>
    <row r="10" spans="1:9">
      <c r="A10" s="7" t="s">
        <v>16</v>
      </c>
      <c r="B10" s="15">
        <v>46026</v>
      </c>
      <c r="C10" s="5" t="s">
        <v>19</v>
      </c>
      <c r="D10" s="14">
        <v>7</v>
      </c>
      <c r="E10" s="5" t="s">
        <v>468</v>
      </c>
      <c r="F10" s="4" t="s">
        <v>450</v>
      </c>
      <c r="G10" s="6" t="s">
        <v>469</v>
      </c>
      <c r="H10" s="6" t="s">
        <v>22</v>
      </c>
      <c r="I10" s="6" t="s">
        <v>470</v>
      </c>
    </row>
    <row r="11" spans="1:9">
      <c r="A11" s="7" t="s">
        <v>16</v>
      </c>
      <c r="B11" s="15">
        <v>46026</v>
      </c>
      <c r="C11" s="5" t="s">
        <v>19</v>
      </c>
      <c r="D11" s="14">
        <v>8</v>
      </c>
      <c r="E11" s="5" t="s">
        <v>471</v>
      </c>
      <c r="F11" s="4" t="s">
        <v>450</v>
      </c>
      <c r="G11" s="6" t="s">
        <v>472</v>
      </c>
      <c r="H11" s="6" t="s">
        <v>22</v>
      </c>
      <c r="I11" s="6" t="s">
        <v>473</v>
      </c>
    </row>
    <row r="12" spans="1:9">
      <c r="A12" s="7" t="s">
        <v>16</v>
      </c>
      <c r="B12" s="15">
        <v>46026</v>
      </c>
      <c r="C12" s="5" t="s">
        <v>19</v>
      </c>
      <c r="D12" s="14">
        <v>9</v>
      </c>
      <c r="E12" s="5" t="s">
        <v>474</v>
      </c>
      <c r="F12" s="4" t="s">
        <v>450</v>
      </c>
      <c r="G12" s="6" t="s">
        <v>475</v>
      </c>
      <c r="H12" s="6" t="s">
        <v>22</v>
      </c>
      <c r="I12" s="6" t="s">
        <v>476</v>
      </c>
    </row>
    <row r="13" spans="1:9">
      <c r="A13" s="7" t="s">
        <v>16</v>
      </c>
      <c r="B13" s="15">
        <v>46026</v>
      </c>
      <c r="C13" s="5" t="s">
        <v>19</v>
      </c>
      <c r="D13" s="14">
        <v>10</v>
      </c>
      <c r="E13" s="5" t="s">
        <v>477</v>
      </c>
      <c r="F13" s="4" t="s">
        <v>450</v>
      </c>
      <c r="G13" s="6" t="s">
        <v>478</v>
      </c>
      <c r="H13" s="6" t="s">
        <v>22</v>
      </c>
      <c r="I13" s="6" t="s">
        <v>479</v>
      </c>
    </row>
    <row r="14" spans="1:9">
      <c r="A14" s="7" t="s">
        <v>25</v>
      </c>
      <c r="B14" s="15">
        <v>46060</v>
      </c>
      <c r="C14" s="5" t="s">
        <v>28</v>
      </c>
      <c r="D14" s="14">
        <v>1</v>
      </c>
      <c r="E14" s="5" t="s">
        <v>449</v>
      </c>
      <c r="F14" s="4" t="s">
        <v>450</v>
      </c>
      <c r="G14" s="6" t="s">
        <v>451</v>
      </c>
      <c r="H14" s="6" t="s">
        <v>31</v>
      </c>
      <c r="I14" s="6" t="s">
        <v>480</v>
      </c>
    </row>
    <row r="15" spans="1:9">
      <c r="A15" s="7" t="s">
        <v>25</v>
      </c>
      <c r="B15" s="15">
        <v>46060</v>
      </c>
      <c r="C15" s="5" t="s">
        <v>28</v>
      </c>
      <c r="D15" s="14">
        <v>2</v>
      </c>
      <c r="E15" s="5" t="s">
        <v>453</v>
      </c>
      <c r="F15" s="4" t="s">
        <v>450</v>
      </c>
      <c r="G15" s="6" t="s">
        <v>454</v>
      </c>
      <c r="H15" s="6" t="s">
        <v>31</v>
      </c>
      <c r="I15" s="6" t="s">
        <v>481</v>
      </c>
    </row>
    <row r="16" spans="1:9">
      <c r="A16" s="7" t="s">
        <v>25</v>
      </c>
      <c r="B16" s="15">
        <v>46060</v>
      </c>
      <c r="C16" s="5" t="s">
        <v>28</v>
      </c>
      <c r="D16" s="14">
        <v>3</v>
      </c>
      <c r="E16" s="5" t="s">
        <v>456</v>
      </c>
      <c r="F16" s="4" t="s">
        <v>450</v>
      </c>
      <c r="G16" s="6" t="s">
        <v>457</v>
      </c>
      <c r="H16" s="6" t="s">
        <v>31</v>
      </c>
      <c r="I16" s="6" t="s">
        <v>482</v>
      </c>
    </row>
    <row r="17" spans="1:9">
      <c r="A17" s="7" t="s">
        <v>25</v>
      </c>
      <c r="B17" s="15">
        <v>46060</v>
      </c>
      <c r="C17" s="5" t="s">
        <v>28</v>
      </c>
      <c r="D17" s="14">
        <v>4</v>
      </c>
      <c r="E17" s="5" t="s">
        <v>459</v>
      </c>
      <c r="F17" s="4" t="s">
        <v>450</v>
      </c>
      <c r="G17" s="6" t="s">
        <v>460</v>
      </c>
      <c r="H17" s="6" t="s">
        <v>31</v>
      </c>
      <c r="I17" s="6" t="s">
        <v>483</v>
      </c>
    </row>
    <row r="18" spans="1:9">
      <c r="A18" s="7" t="s">
        <v>25</v>
      </c>
      <c r="B18" s="15">
        <v>46060</v>
      </c>
      <c r="C18" s="5" t="s">
        <v>28</v>
      </c>
      <c r="D18" s="14">
        <v>5</v>
      </c>
      <c r="E18" s="5" t="s">
        <v>462</v>
      </c>
      <c r="F18" s="4" t="s">
        <v>450</v>
      </c>
      <c r="G18" s="6" t="s">
        <v>463</v>
      </c>
      <c r="H18" s="6" t="s">
        <v>31</v>
      </c>
      <c r="I18" s="6" t="s">
        <v>484</v>
      </c>
    </row>
    <row r="19" spans="1:9">
      <c r="A19" s="7" t="s">
        <v>25</v>
      </c>
      <c r="B19" s="15">
        <v>46060</v>
      </c>
      <c r="C19" s="5" t="s">
        <v>28</v>
      </c>
      <c r="D19" s="14">
        <v>6</v>
      </c>
      <c r="E19" s="5" t="s">
        <v>465</v>
      </c>
      <c r="F19" s="4" t="s">
        <v>450</v>
      </c>
      <c r="G19" s="6" t="s">
        <v>466</v>
      </c>
      <c r="H19" s="6" t="s">
        <v>31</v>
      </c>
      <c r="I19" s="6" t="s">
        <v>485</v>
      </c>
    </row>
    <row r="20" spans="1:9">
      <c r="A20" s="7" t="s">
        <v>25</v>
      </c>
      <c r="B20" s="15">
        <v>46060</v>
      </c>
      <c r="C20" s="5" t="s">
        <v>28</v>
      </c>
      <c r="D20" s="14">
        <v>7</v>
      </c>
      <c r="E20" s="5" t="s">
        <v>468</v>
      </c>
      <c r="F20" s="4" t="s">
        <v>450</v>
      </c>
      <c r="G20" s="6" t="s">
        <v>469</v>
      </c>
      <c r="H20" s="6" t="s">
        <v>31</v>
      </c>
      <c r="I20" s="6" t="s">
        <v>486</v>
      </c>
    </row>
    <row r="21" spans="1:9">
      <c r="A21" s="7" t="s">
        <v>25</v>
      </c>
      <c r="B21" s="15">
        <v>46060</v>
      </c>
      <c r="C21" s="5" t="s">
        <v>28</v>
      </c>
      <c r="D21" s="14">
        <v>8</v>
      </c>
      <c r="E21" s="5" t="s">
        <v>471</v>
      </c>
      <c r="F21" s="4" t="s">
        <v>450</v>
      </c>
      <c r="G21" s="6" t="s">
        <v>472</v>
      </c>
      <c r="H21" s="6" t="s">
        <v>31</v>
      </c>
      <c r="I21" s="6" t="s">
        <v>487</v>
      </c>
    </row>
    <row r="22" spans="1:9">
      <c r="A22" s="7" t="s">
        <v>25</v>
      </c>
      <c r="B22" s="15">
        <v>46060</v>
      </c>
      <c r="C22" s="5" t="s">
        <v>28</v>
      </c>
      <c r="D22" s="14">
        <v>9</v>
      </c>
      <c r="E22" s="5" t="s">
        <v>474</v>
      </c>
      <c r="F22" s="4" t="s">
        <v>450</v>
      </c>
      <c r="G22" s="6" t="s">
        <v>475</v>
      </c>
      <c r="H22" s="6" t="s">
        <v>31</v>
      </c>
      <c r="I22" s="6" t="s">
        <v>488</v>
      </c>
    </row>
    <row r="23" spans="1:9">
      <c r="A23" s="7" t="s">
        <v>25</v>
      </c>
      <c r="B23" s="15">
        <v>46060</v>
      </c>
      <c r="C23" s="5" t="s">
        <v>28</v>
      </c>
      <c r="D23" s="14">
        <v>10</v>
      </c>
      <c r="E23" s="5" t="s">
        <v>477</v>
      </c>
      <c r="F23" s="4" t="s">
        <v>450</v>
      </c>
      <c r="G23" s="6" t="s">
        <v>478</v>
      </c>
      <c r="H23" s="6" t="s">
        <v>31</v>
      </c>
      <c r="I23" s="6" t="s">
        <v>489</v>
      </c>
    </row>
    <row r="24" spans="1:9">
      <c r="A24" s="7" t="s">
        <v>32</v>
      </c>
      <c r="B24" s="15">
        <v>46091</v>
      </c>
      <c r="C24" s="5" t="s">
        <v>36</v>
      </c>
      <c r="D24" s="14">
        <v>1</v>
      </c>
      <c r="E24" s="5" t="s">
        <v>449</v>
      </c>
      <c r="F24" s="4" t="s">
        <v>450</v>
      </c>
      <c r="G24" s="6" t="s">
        <v>451</v>
      </c>
      <c r="H24" s="6" t="s">
        <v>39</v>
      </c>
      <c r="I24" s="6" t="s">
        <v>490</v>
      </c>
    </row>
    <row r="25" spans="1:9">
      <c r="A25" s="7" t="s">
        <v>32</v>
      </c>
      <c r="B25" s="15">
        <v>46091</v>
      </c>
      <c r="C25" s="5" t="s">
        <v>36</v>
      </c>
      <c r="D25" s="14">
        <v>2</v>
      </c>
      <c r="E25" s="5" t="s">
        <v>453</v>
      </c>
      <c r="F25" s="4" t="s">
        <v>450</v>
      </c>
      <c r="G25" s="6" t="s">
        <v>454</v>
      </c>
      <c r="H25" s="6" t="s">
        <v>39</v>
      </c>
      <c r="I25" s="6" t="s">
        <v>491</v>
      </c>
    </row>
    <row r="26" spans="1:9">
      <c r="A26" s="7" t="s">
        <v>32</v>
      </c>
      <c r="B26" s="15">
        <v>46091</v>
      </c>
      <c r="C26" s="5" t="s">
        <v>36</v>
      </c>
      <c r="D26" s="14">
        <v>3</v>
      </c>
      <c r="E26" s="5" t="s">
        <v>456</v>
      </c>
      <c r="F26" s="4" t="s">
        <v>450</v>
      </c>
      <c r="G26" s="6" t="s">
        <v>457</v>
      </c>
      <c r="H26" s="6" t="s">
        <v>39</v>
      </c>
      <c r="I26" s="6" t="s">
        <v>492</v>
      </c>
    </row>
    <row r="27" spans="1:9">
      <c r="A27" s="7" t="s">
        <v>32</v>
      </c>
      <c r="B27" s="15">
        <v>46091</v>
      </c>
      <c r="C27" s="5" t="s">
        <v>36</v>
      </c>
      <c r="D27" s="14">
        <v>4</v>
      </c>
      <c r="E27" s="5" t="s">
        <v>459</v>
      </c>
      <c r="F27" s="4" t="s">
        <v>450</v>
      </c>
      <c r="G27" s="6" t="s">
        <v>460</v>
      </c>
      <c r="H27" s="6" t="s">
        <v>39</v>
      </c>
      <c r="I27" s="6" t="s">
        <v>493</v>
      </c>
    </row>
    <row r="28" spans="1:9">
      <c r="A28" s="7" t="s">
        <v>32</v>
      </c>
      <c r="B28" s="15">
        <v>46091</v>
      </c>
      <c r="C28" s="5" t="s">
        <v>36</v>
      </c>
      <c r="D28" s="14">
        <v>5</v>
      </c>
      <c r="E28" s="5" t="s">
        <v>462</v>
      </c>
      <c r="F28" s="4" t="s">
        <v>450</v>
      </c>
      <c r="G28" s="6" t="s">
        <v>463</v>
      </c>
      <c r="H28" s="6" t="s">
        <v>39</v>
      </c>
      <c r="I28" s="6" t="s">
        <v>494</v>
      </c>
    </row>
    <row r="29" spans="1:9">
      <c r="A29" s="7" t="s">
        <v>32</v>
      </c>
      <c r="B29" s="15">
        <v>46091</v>
      </c>
      <c r="C29" s="5" t="s">
        <v>36</v>
      </c>
      <c r="D29" s="14">
        <v>6</v>
      </c>
      <c r="E29" s="5" t="s">
        <v>465</v>
      </c>
      <c r="F29" s="4" t="s">
        <v>450</v>
      </c>
      <c r="G29" s="6" t="s">
        <v>466</v>
      </c>
      <c r="H29" s="6" t="s">
        <v>39</v>
      </c>
      <c r="I29" s="6" t="s">
        <v>495</v>
      </c>
    </row>
    <row r="30" spans="1:9">
      <c r="A30" s="7" t="s">
        <v>32</v>
      </c>
      <c r="B30" s="15">
        <v>46091</v>
      </c>
      <c r="C30" s="5" t="s">
        <v>36</v>
      </c>
      <c r="D30" s="14">
        <v>7</v>
      </c>
      <c r="E30" s="5" t="s">
        <v>468</v>
      </c>
      <c r="F30" s="4" t="s">
        <v>450</v>
      </c>
      <c r="G30" s="6" t="s">
        <v>469</v>
      </c>
      <c r="H30" s="6" t="s">
        <v>39</v>
      </c>
      <c r="I30" s="6" t="s">
        <v>496</v>
      </c>
    </row>
    <row r="31" spans="1:9">
      <c r="A31" s="7" t="s">
        <v>32</v>
      </c>
      <c r="B31" s="15">
        <v>46091</v>
      </c>
      <c r="C31" s="5" t="s">
        <v>36</v>
      </c>
      <c r="D31" s="14">
        <v>8</v>
      </c>
      <c r="E31" s="5" t="s">
        <v>471</v>
      </c>
      <c r="F31" s="4" t="s">
        <v>450</v>
      </c>
      <c r="G31" s="6" t="s">
        <v>472</v>
      </c>
      <c r="H31" s="6" t="s">
        <v>39</v>
      </c>
      <c r="I31" s="6" t="s">
        <v>497</v>
      </c>
    </row>
    <row r="32" spans="1:9">
      <c r="A32" s="7" t="s">
        <v>32</v>
      </c>
      <c r="B32" s="15">
        <v>46091</v>
      </c>
      <c r="C32" s="5" t="s">
        <v>36</v>
      </c>
      <c r="D32" s="14">
        <v>9</v>
      </c>
      <c r="E32" s="5" t="s">
        <v>474</v>
      </c>
      <c r="F32" s="4" t="s">
        <v>498</v>
      </c>
      <c r="G32" s="6" t="s">
        <v>475</v>
      </c>
      <c r="H32" s="6" t="s">
        <v>39</v>
      </c>
      <c r="I32" s="6" t="s">
        <v>499</v>
      </c>
    </row>
    <row r="33" spans="1:9">
      <c r="A33" s="7" t="s">
        <v>32</v>
      </c>
      <c r="B33" s="15">
        <v>46091</v>
      </c>
      <c r="C33" s="5" t="s">
        <v>36</v>
      </c>
      <c r="D33" s="14">
        <v>10</v>
      </c>
      <c r="E33" s="5" t="s">
        <v>477</v>
      </c>
      <c r="F33" s="4" t="s">
        <v>450</v>
      </c>
      <c r="G33" s="6" t="s">
        <v>478</v>
      </c>
      <c r="H33" s="6" t="s">
        <v>39</v>
      </c>
      <c r="I33" s="6" t="s">
        <v>500</v>
      </c>
    </row>
    <row r="34" spans="1:9">
      <c r="A34" s="7" t="s">
        <v>40</v>
      </c>
      <c r="B34" s="15">
        <v>46125</v>
      </c>
      <c r="C34" s="5" t="s">
        <v>43</v>
      </c>
      <c r="D34" s="14">
        <v>1</v>
      </c>
      <c r="E34" s="5" t="s">
        <v>449</v>
      </c>
      <c r="F34" s="4" t="s">
        <v>450</v>
      </c>
      <c r="G34" s="6" t="s">
        <v>451</v>
      </c>
      <c r="H34" s="6" t="s">
        <v>46</v>
      </c>
      <c r="I34" s="6" t="s">
        <v>501</v>
      </c>
    </row>
    <row r="35" spans="1:9">
      <c r="A35" s="7" t="s">
        <v>40</v>
      </c>
      <c r="B35" s="15">
        <v>46125</v>
      </c>
      <c r="C35" s="5" t="s">
        <v>43</v>
      </c>
      <c r="D35" s="14">
        <v>2</v>
      </c>
      <c r="E35" s="5" t="s">
        <v>453</v>
      </c>
      <c r="F35" s="4" t="s">
        <v>450</v>
      </c>
      <c r="G35" s="6" t="s">
        <v>454</v>
      </c>
      <c r="H35" s="6" t="s">
        <v>46</v>
      </c>
      <c r="I35" s="6" t="s">
        <v>502</v>
      </c>
    </row>
    <row r="36" spans="1:9">
      <c r="A36" s="7" t="s">
        <v>40</v>
      </c>
      <c r="B36" s="15">
        <v>46125</v>
      </c>
      <c r="C36" s="5" t="s">
        <v>43</v>
      </c>
      <c r="D36" s="14">
        <v>3</v>
      </c>
      <c r="E36" s="5" t="s">
        <v>456</v>
      </c>
      <c r="F36" s="4" t="s">
        <v>450</v>
      </c>
      <c r="G36" s="6" t="s">
        <v>457</v>
      </c>
      <c r="H36" s="6" t="s">
        <v>46</v>
      </c>
      <c r="I36" s="6" t="s">
        <v>503</v>
      </c>
    </row>
    <row r="37" spans="1:9">
      <c r="A37" s="7" t="s">
        <v>40</v>
      </c>
      <c r="B37" s="15">
        <v>46125</v>
      </c>
      <c r="C37" s="5" t="s">
        <v>43</v>
      </c>
      <c r="D37" s="14">
        <v>4</v>
      </c>
      <c r="E37" s="5" t="s">
        <v>459</v>
      </c>
      <c r="F37" s="4" t="s">
        <v>450</v>
      </c>
      <c r="G37" s="6" t="s">
        <v>460</v>
      </c>
      <c r="H37" s="6" t="s">
        <v>46</v>
      </c>
      <c r="I37" s="6" t="s">
        <v>504</v>
      </c>
    </row>
    <row r="38" spans="1:9">
      <c r="A38" s="7" t="s">
        <v>40</v>
      </c>
      <c r="B38" s="15">
        <v>46125</v>
      </c>
      <c r="C38" s="5" t="s">
        <v>43</v>
      </c>
      <c r="D38" s="14">
        <v>5</v>
      </c>
      <c r="E38" s="5" t="s">
        <v>462</v>
      </c>
      <c r="F38" s="4" t="s">
        <v>450</v>
      </c>
      <c r="G38" s="6" t="s">
        <v>463</v>
      </c>
      <c r="H38" s="6" t="s">
        <v>46</v>
      </c>
      <c r="I38" s="6" t="s">
        <v>505</v>
      </c>
    </row>
    <row r="39" spans="1:9">
      <c r="A39" s="7" t="s">
        <v>40</v>
      </c>
      <c r="B39" s="15">
        <v>46125</v>
      </c>
      <c r="C39" s="5" t="s">
        <v>43</v>
      </c>
      <c r="D39" s="14">
        <v>6</v>
      </c>
      <c r="E39" s="5" t="s">
        <v>465</v>
      </c>
      <c r="F39" s="4" t="s">
        <v>498</v>
      </c>
      <c r="G39" s="6" t="s">
        <v>466</v>
      </c>
      <c r="H39" s="6" t="s">
        <v>46</v>
      </c>
      <c r="I39" s="6" t="s">
        <v>506</v>
      </c>
    </row>
    <row r="40" spans="1:9">
      <c r="A40" s="7" t="s">
        <v>40</v>
      </c>
      <c r="B40" s="15">
        <v>46125</v>
      </c>
      <c r="C40" s="5" t="s">
        <v>43</v>
      </c>
      <c r="D40" s="14">
        <v>7</v>
      </c>
      <c r="E40" s="5" t="s">
        <v>468</v>
      </c>
      <c r="F40" s="4" t="s">
        <v>450</v>
      </c>
      <c r="G40" s="6" t="s">
        <v>469</v>
      </c>
      <c r="H40" s="6" t="s">
        <v>46</v>
      </c>
      <c r="I40" s="6" t="s">
        <v>507</v>
      </c>
    </row>
    <row r="41" spans="1:9">
      <c r="A41" s="7" t="s">
        <v>40</v>
      </c>
      <c r="B41" s="15">
        <v>46125</v>
      </c>
      <c r="C41" s="5" t="s">
        <v>43</v>
      </c>
      <c r="D41" s="14">
        <v>8</v>
      </c>
      <c r="E41" s="5" t="s">
        <v>471</v>
      </c>
      <c r="F41" s="4" t="s">
        <v>450</v>
      </c>
      <c r="G41" s="6" t="s">
        <v>472</v>
      </c>
      <c r="H41" s="6" t="s">
        <v>46</v>
      </c>
      <c r="I41" s="6" t="s">
        <v>508</v>
      </c>
    </row>
    <row r="42" spans="1:9">
      <c r="A42" s="7" t="s">
        <v>40</v>
      </c>
      <c r="B42" s="15">
        <v>46125</v>
      </c>
      <c r="C42" s="5" t="s">
        <v>43</v>
      </c>
      <c r="D42" s="14">
        <v>9</v>
      </c>
      <c r="E42" s="5" t="s">
        <v>474</v>
      </c>
      <c r="F42" s="4" t="s">
        <v>450</v>
      </c>
      <c r="G42" s="6" t="s">
        <v>475</v>
      </c>
      <c r="H42" s="6" t="s">
        <v>46</v>
      </c>
      <c r="I42" s="6" t="s">
        <v>509</v>
      </c>
    </row>
    <row r="43" spans="1:9">
      <c r="A43" s="7" t="s">
        <v>40</v>
      </c>
      <c r="B43" s="15">
        <v>46125</v>
      </c>
      <c r="C43" s="5" t="s">
        <v>43</v>
      </c>
      <c r="D43" s="14">
        <v>10</v>
      </c>
      <c r="E43" s="5" t="s">
        <v>477</v>
      </c>
      <c r="F43" s="4" t="s">
        <v>450</v>
      </c>
      <c r="G43" s="6" t="s">
        <v>478</v>
      </c>
      <c r="H43" s="6" t="s">
        <v>46</v>
      </c>
      <c r="I43" s="6" t="s">
        <v>510</v>
      </c>
    </row>
    <row r="44" spans="1:9">
      <c r="A44" s="7" t="s">
        <v>47</v>
      </c>
      <c r="B44" s="15">
        <v>46158</v>
      </c>
      <c r="C44" s="5" t="s">
        <v>50</v>
      </c>
      <c r="D44" s="14">
        <v>1</v>
      </c>
      <c r="E44" s="5" t="s">
        <v>449</v>
      </c>
      <c r="F44" s="4" t="s">
        <v>450</v>
      </c>
      <c r="G44" s="6" t="s">
        <v>451</v>
      </c>
      <c r="H44" s="6" t="s">
        <v>53</v>
      </c>
      <c r="I44" s="6" t="s">
        <v>511</v>
      </c>
    </row>
    <row r="45" spans="1:9">
      <c r="A45" s="7" t="s">
        <v>47</v>
      </c>
      <c r="B45" s="15">
        <v>46158</v>
      </c>
      <c r="C45" s="5" t="s">
        <v>50</v>
      </c>
      <c r="D45" s="14">
        <v>2</v>
      </c>
      <c r="E45" s="5" t="s">
        <v>453</v>
      </c>
      <c r="F45" s="4" t="s">
        <v>450</v>
      </c>
      <c r="G45" s="6" t="s">
        <v>454</v>
      </c>
      <c r="H45" s="6" t="s">
        <v>53</v>
      </c>
      <c r="I45" s="6" t="s">
        <v>512</v>
      </c>
    </row>
    <row r="46" spans="1:9">
      <c r="A46" s="7" t="s">
        <v>47</v>
      </c>
      <c r="B46" s="15">
        <v>46158</v>
      </c>
      <c r="C46" s="5" t="s">
        <v>50</v>
      </c>
      <c r="D46" s="14">
        <v>3</v>
      </c>
      <c r="E46" s="5" t="s">
        <v>456</v>
      </c>
      <c r="F46" s="4" t="s">
        <v>498</v>
      </c>
      <c r="G46" s="6" t="s">
        <v>457</v>
      </c>
      <c r="H46" s="6" t="s">
        <v>53</v>
      </c>
      <c r="I46" s="6" t="s">
        <v>513</v>
      </c>
    </row>
    <row r="47" spans="1:9">
      <c r="A47" s="7" t="s">
        <v>47</v>
      </c>
      <c r="B47" s="15">
        <v>46158</v>
      </c>
      <c r="C47" s="5" t="s">
        <v>50</v>
      </c>
      <c r="D47" s="14">
        <v>4</v>
      </c>
      <c r="E47" s="5" t="s">
        <v>459</v>
      </c>
      <c r="F47" s="4" t="s">
        <v>450</v>
      </c>
      <c r="G47" s="6" t="s">
        <v>460</v>
      </c>
      <c r="H47" s="6" t="s">
        <v>53</v>
      </c>
      <c r="I47" s="6" t="s">
        <v>514</v>
      </c>
    </row>
    <row r="48" spans="1:9">
      <c r="A48" s="7" t="s">
        <v>47</v>
      </c>
      <c r="B48" s="15">
        <v>46158</v>
      </c>
      <c r="C48" s="5" t="s">
        <v>50</v>
      </c>
      <c r="D48" s="14">
        <v>5</v>
      </c>
      <c r="E48" s="5" t="s">
        <v>462</v>
      </c>
      <c r="F48" s="4" t="s">
        <v>450</v>
      </c>
      <c r="G48" s="6" t="s">
        <v>463</v>
      </c>
      <c r="H48" s="6" t="s">
        <v>53</v>
      </c>
      <c r="I48" s="6" t="s">
        <v>515</v>
      </c>
    </row>
    <row r="49" spans="1:9">
      <c r="A49" s="7" t="s">
        <v>47</v>
      </c>
      <c r="B49" s="15">
        <v>46158</v>
      </c>
      <c r="C49" s="5" t="s">
        <v>50</v>
      </c>
      <c r="D49" s="14">
        <v>6</v>
      </c>
      <c r="E49" s="5" t="s">
        <v>465</v>
      </c>
      <c r="F49" s="4" t="s">
        <v>450</v>
      </c>
      <c r="G49" s="6" t="s">
        <v>466</v>
      </c>
      <c r="H49" s="6" t="s">
        <v>53</v>
      </c>
      <c r="I49" s="6" t="s">
        <v>516</v>
      </c>
    </row>
    <row r="50" spans="1:9">
      <c r="A50" s="7" t="s">
        <v>47</v>
      </c>
      <c r="B50" s="15">
        <v>46158</v>
      </c>
      <c r="C50" s="5" t="s">
        <v>50</v>
      </c>
      <c r="D50" s="14">
        <v>7</v>
      </c>
      <c r="E50" s="5" t="s">
        <v>468</v>
      </c>
      <c r="F50" s="4" t="s">
        <v>450</v>
      </c>
      <c r="G50" s="6" t="s">
        <v>469</v>
      </c>
      <c r="H50" s="6" t="s">
        <v>53</v>
      </c>
      <c r="I50" s="6" t="s">
        <v>517</v>
      </c>
    </row>
    <row r="51" spans="1:9">
      <c r="A51" s="7" t="s">
        <v>47</v>
      </c>
      <c r="B51" s="15">
        <v>46158</v>
      </c>
      <c r="C51" s="5" t="s">
        <v>50</v>
      </c>
      <c r="D51" s="14">
        <v>8</v>
      </c>
      <c r="E51" s="5" t="s">
        <v>471</v>
      </c>
      <c r="F51" s="4" t="s">
        <v>450</v>
      </c>
      <c r="G51" s="6" t="s">
        <v>472</v>
      </c>
      <c r="H51" s="6" t="s">
        <v>53</v>
      </c>
      <c r="I51" s="6" t="s">
        <v>518</v>
      </c>
    </row>
    <row r="52" spans="1:9">
      <c r="A52" s="7" t="s">
        <v>47</v>
      </c>
      <c r="B52" s="15">
        <v>46158</v>
      </c>
      <c r="C52" s="5" t="s">
        <v>50</v>
      </c>
      <c r="D52" s="14">
        <v>9</v>
      </c>
      <c r="E52" s="5" t="s">
        <v>474</v>
      </c>
      <c r="F52" s="4" t="s">
        <v>450</v>
      </c>
      <c r="G52" s="6" t="s">
        <v>475</v>
      </c>
      <c r="H52" s="6" t="s">
        <v>53</v>
      </c>
      <c r="I52" s="6" t="s">
        <v>519</v>
      </c>
    </row>
    <row r="53" spans="1:9">
      <c r="A53" s="7" t="s">
        <v>47</v>
      </c>
      <c r="B53" s="15">
        <v>46158</v>
      </c>
      <c r="C53" s="5" t="s">
        <v>50</v>
      </c>
      <c r="D53" s="14">
        <v>10</v>
      </c>
      <c r="E53" s="5" t="s">
        <v>477</v>
      </c>
      <c r="F53" s="4" t="s">
        <v>450</v>
      </c>
      <c r="G53" s="6" t="s">
        <v>478</v>
      </c>
      <c r="H53" s="6" t="s">
        <v>53</v>
      </c>
      <c r="I53" s="6" t="s">
        <v>520</v>
      </c>
    </row>
    <row r="54" spans="1:9">
      <c r="A54" s="7" t="s">
        <v>54</v>
      </c>
      <c r="B54" s="15">
        <v>46192</v>
      </c>
      <c r="C54" s="5" t="s">
        <v>56</v>
      </c>
      <c r="D54" s="14">
        <v>1</v>
      </c>
      <c r="E54" s="5" t="s">
        <v>449</v>
      </c>
      <c r="F54" s="4" t="s">
        <v>450</v>
      </c>
      <c r="G54" s="6" t="s">
        <v>451</v>
      </c>
      <c r="H54" s="6" t="s">
        <v>59</v>
      </c>
      <c r="I54" s="6" t="s">
        <v>521</v>
      </c>
    </row>
    <row r="55" spans="1:9">
      <c r="A55" s="7" t="s">
        <v>54</v>
      </c>
      <c r="B55" s="15">
        <v>46192</v>
      </c>
      <c r="C55" s="5" t="s">
        <v>56</v>
      </c>
      <c r="D55" s="14">
        <v>2</v>
      </c>
      <c r="E55" s="5" t="s">
        <v>453</v>
      </c>
      <c r="F55" s="4" t="s">
        <v>450</v>
      </c>
      <c r="G55" s="6" t="s">
        <v>454</v>
      </c>
      <c r="H55" s="6" t="s">
        <v>59</v>
      </c>
      <c r="I55" s="6" t="s">
        <v>522</v>
      </c>
    </row>
    <row r="56" spans="1:9">
      <c r="A56" s="7" t="s">
        <v>54</v>
      </c>
      <c r="B56" s="15">
        <v>46192</v>
      </c>
      <c r="C56" s="5" t="s">
        <v>56</v>
      </c>
      <c r="D56" s="14">
        <v>3</v>
      </c>
      <c r="E56" s="5" t="s">
        <v>456</v>
      </c>
      <c r="F56" s="4" t="s">
        <v>450</v>
      </c>
      <c r="G56" s="6" t="s">
        <v>457</v>
      </c>
      <c r="H56" s="6" t="s">
        <v>59</v>
      </c>
      <c r="I56" s="6" t="s">
        <v>523</v>
      </c>
    </row>
    <row r="57" spans="1:9">
      <c r="A57" s="7" t="s">
        <v>54</v>
      </c>
      <c r="B57" s="15">
        <v>46192</v>
      </c>
      <c r="C57" s="5" t="s">
        <v>56</v>
      </c>
      <c r="D57" s="14">
        <v>4</v>
      </c>
      <c r="E57" s="5" t="s">
        <v>459</v>
      </c>
      <c r="F57" s="4" t="s">
        <v>450</v>
      </c>
      <c r="G57" s="6" t="s">
        <v>460</v>
      </c>
      <c r="H57" s="6" t="s">
        <v>59</v>
      </c>
      <c r="I57" s="6" t="s">
        <v>524</v>
      </c>
    </row>
    <row r="58" spans="1:9">
      <c r="A58" s="7" t="s">
        <v>54</v>
      </c>
      <c r="B58" s="15">
        <v>46192</v>
      </c>
      <c r="C58" s="5" t="s">
        <v>56</v>
      </c>
      <c r="D58" s="14">
        <v>5</v>
      </c>
      <c r="E58" s="5" t="s">
        <v>462</v>
      </c>
      <c r="F58" s="4" t="s">
        <v>450</v>
      </c>
      <c r="G58" s="6" t="s">
        <v>463</v>
      </c>
      <c r="H58" s="6" t="s">
        <v>59</v>
      </c>
      <c r="I58" s="6" t="s">
        <v>525</v>
      </c>
    </row>
    <row r="59" spans="1:9">
      <c r="A59" s="7" t="s">
        <v>54</v>
      </c>
      <c r="B59" s="15">
        <v>46192</v>
      </c>
      <c r="C59" s="5" t="s">
        <v>56</v>
      </c>
      <c r="D59" s="14">
        <v>6</v>
      </c>
      <c r="E59" s="5" t="s">
        <v>465</v>
      </c>
      <c r="F59" s="4" t="s">
        <v>450</v>
      </c>
      <c r="G59" s="6" t="s">
        <v>466</v>
      </c>
      <c r="H59" s="6" t="s">
        <v>59</v>
      </c>
      <c r="I59" s="6" t="s">
        <v>526</v>
      </c>
    </row>
    <row r="60" spans="1:9">
      <c r="A60" s="7" t="s">
        <v>54</v>
      </c>
      <c r="B60" s="15">
        <v>46192</v>
      </c>
      <c r="C60" s="5" t="s">
        <v>56</v>
      </c>
      <c r="D60" s="14">
        <v>7</v>
      </c>
      <c r="E60" s="5" t="s">
        <v>468</v>
      </c>
      <c r="F60" s="4" t="s">
        <v>450</v>
      </c>
      <c r="G60" s="6" t="s">
        <v>469</v>
      </c>
      <c r="H60" s="6" t="s">
        <v>59</v>
      </c>
      <c r="I60" s="6" t="s">
        <v>527</v>
      </c>
    </row>
    <row r="61" spans="1:9">
      <c r="A61" s="7" t="s">
        <v>54</v>
      </c>
      <c r="B61" s="15">
        <v>46192</v>
      </c>
      <c r="C61" s="5" t="s">
        <v>56</v>
      </c>
      <c r="D61" s="14">
        <v>8</v>
      </c>
      <c r="E61" s="5" t="s">
        <v>471</v>
      </c>
      <c r="F61" s="4" t="s">
        <v>450</v>
      </c>
      <c r="G61" s="6" t="s">
        <v>472</v>
      </c>
      <c r="H61" s="6" t="s">
        <v>59</v>
      </c>
      <c r="I61" s="6" t="s">
        <v>528</v>
      </c>
    </row>
    <row r="62" spans="1:9">
      <c r="A62" s="7" t="s">
        <v>54</v>
      </c>
      <c r="B62" s="15">
        <v>46192</v>
      </c>
      <c r="C62" s="5" t="s">
        <v>56</v>
      </c>
      <c r="D62" s="14">
        <v>9</v>
      </c>
      <c r="E62" s="5" t="s">
        <v>474</v>
      </c>
      <c r="F62" s="4" t="s">
        <v>450</v>
      </c>
      <c r="G62" s="6" t="s">
        <v>475</v>
      </c>
      <c r="H62" s="6" t="s">
        <v>59</v>
      </c>
      <c r="I62" s="6" t="s">
        <v>529</v>
      </c>
    </row>
    <row r="63" spans="1:9">
      <c r="A63" s="7" t="s">
        <v>54</v>
      </c>
      <c r="B63" s="15">
        <v>46192</v>
      </c>
      <c r="C63" s="5" t="s">
        <v>56</v>
      </c>
      <c r="D63" s="14">
        <v>10</v>
      </c>
      <c r="E63" s="5" t="s">
        <v>477</v>
      </c>
      <c r="F63" s="4" t="s">
        <v>450</v>
      </c>
      <c r="G63" s="6" t="s">
        <v>478</v>
      </c>
      <c r="H63" s="6" t="s">
        <v>59</v>
      </c>
      <c r="I63" s="6" t="s">
        <v>530</v>
      </c>
    </row>
    <row r="64" spans="1:9">
      <c r="A64" s="7" t="s">
        <v>60</v>
      </c>
      <c r="B64" s="15">
        <v>46044</v>
      </c>
      <c r="C64" s="5" t="s">
        <v>62</v>
      </c>
      <c r="D64" s="14">
        <v>1</v>
      </c>
      <c r="E64" s="5" t="s">
        <v>449</v>
      </c>
      <c r="F64" s="4" t="s">
        <v>450</v>
      </c>
      <c r="G64" s="6" t="s">
        <v>451</v>
      </c>
      <c r="H64" s="6" t="s">
        <v>65</v>
      </c>
      <c r="I64" s="6" t="s">
        <v>531</v>
      </c>
    </row>
    <row r="65" spans="1:9">
      <c r="A65" s="7" t="s">
        <v>60</v>
      </c>
      <c r="B65" s="15">
        <v>46044</v>
      </c>
      <c r="C65" s="5" t="s">
        <v>62</v>
      </c>
      <c r="D65" s="14">
        <v>2</v>
      </c>
      <c r="E65" s="5" t="s">
        <v>453</v>
      </c>
      <c r="F65" s="4" t="s">
        <v>450</v>
      </c>
      <c r="G65" s="6" t="s">
        <v>454</v>
      </c>
      <c r="H65" s="6" t="s">
        <v>65</v>
      </c>
      <c r="I65" s="6" t="s">
        <v>532</v>
      </c>
    </row>
    <row r="66" spans="1:9">
      <c r="A66" s="7" t="s">
        <v>60</v>
      </c>
      <c r="B66" s="15">
        <v>46044</v>
      </c>
      <c r="C66" s="5" t="s">
        <v>62</v>
      </c>
      <c r="D66" s="14">
        <v>3</v>
      </c>
      <c r="E66" s="5" t="s">
        <v>456</v>
      </c>
      <c r="F66" s="4" t="s">
        <v>450</v>
      </c>
      <c r="G66" s="6" t="s">
        <v>457</v>
      </c>
      <c r="H66" s="6" t="s">
        <v>65</v>
      </c>
      <c r="I66" s="6" t="s">
        <v>533</v>
      </c>
    </row>
    <row r="67" spans="1:9">
      <c r="A67" s="7" t="s">
        <v>60</v>
      </c>
      <c r="B67" s="15">
        <v>46044</v>
      </c>
      <c r="C67" s="5" t="s">
        <v>62</v>
      </c>
      <c r="D67" s="14">
        <v>4</v>
      </c>
      <c r="E67" s="5" t="s">
        <v>459</v>
      </c>
      <c r="F67" s="4" t="s">
        <v>450</v>
      </c>
      <c r="G67" s="6" t="s">
        <v>460</v>
      </c>
      <c r="H67" s="6" t="s">
        <v>65</v>
      </c>
      <c r="I67" s="6" t="s">
        <v>534</v>
      </c>
    </row>
    <row r="68" spans="1:9">
      <c r="A68" s="7" t="s">
        <v>60</v>
      </c>
      <c r="B68" s="15">
        <v>46044</v>
      </c>
      <c r="C68" s="5" t="s">
        <v>62</v>
      </c>
      <c r="D68" s="14">
        <v>5</v>
      </c>
      <c r="E68" s="5" t="s">
        <v>462</v>
      </c>
      <c r="F68" s="4" t="s">
        <v>450</v>
      </c>
      <c r="G68" s="6" t="s">
        <v>463</v>
      </c>
      <c r="H68" s="6" t="s">
        <v>65</v>
      </c>
      <c r="I68" s="6" t="s">
        <v>535</v>
      </c>
    </row>
    <row r="69" spans="1:9">
      <c r="A69" s="7" t="s">
        <v>60</v>
      </c>
      <c r="B69" s="15">
        <v>46044</v>
      </c>
      <c r="C69" s="5" t="s">
        <v>62</v>
      </c>
      <c r="D69" s="14">
        <v>6</v>
      </c>
      <c r="E69" s="5" t="s">
        <v>465</v>
      </c>
      <c r="F69" s="4" t="s">
        <v>450</v>
      </c>
      <c r="G69" s="6" t="s">
        <v>466</v>
      </c>
      <c r="H69" s="6" t="s">
        <v>65</v>
      </c>
      <c r="I69" s="6" t="s">
        <v>536</v>
      </c>
    </row>
    <row r="70" spans="1:9">
      <c r="A70" s="7" t="s">
        <v>60</v>
      </c>
      <c r="B70" s="15">
        <v>46044</v>
      </c>
      <c r="C70" s="5" t="s">
        <v>62</v>
      </c>
      <c r="D70" s="14">
        <v>7</v>
      </c>
      <c r="E70" s="5" t="s">
        <v>468</v>
      </c>
      <c r="F70" s="4" t="s">
        <v>450</v>
      </c>
      <c r="G70" s="6" t="s">
        <v>469</v>
      </c>
      <c r="H70" s="6" t="s">
        <v>65</v>
      </c>
      <c r="I70" s="6" t="s">
        <v>537</v>
      </c>
    </row>
    <row r="71" spans="1:9">
      <c r="A71" s="7" t="s">
        <v>60</v>
      </c>
      <c r="B71" s="15">
        <v>46044</v>
      </c>
      <c r="C71" s="5" t="s">
        <v>62</v>
      </c>
      <c r="D71" s="14">
        <v>8</v>
      </c>
      <c r="E71" s="5" t="s">
        <v>471</v>
      </c>
      <c r="F71" s="4" t="s">
        <v>450</v>
      </c>
      <c r="G71" s="6" t="s">
        <v>472</v>
      </c>
      <c r="H71" s="6" t="s">
        <v>65</v>
      </c>
      <c r="I71" s="6" t="s">
        <v>538</v>
      </c>
    </row>
    <row r="72" spans="1:9">
      <c r="A72" s="7" t="s">
        <v>60</v>
      </c>
      <c r="B72" s="15">
        <v>46044</v>
      </c>
      <c r="C72" s="5" t="s">
        <v>62</v>
      </c>
      <c r="D72" s="14">
        <v>9</v>
      </c>
      <c r="E72" s="5" t="s">
        <v>474</v>
      </c>
      <c r="F72" s="4" t="s">
        <v>450</v>
      </c>
      <c r="G72" s="6" t="s">
        <v>475</v>
      </c>
      <c r="H72" s="6" t="s">
        <v>65</v>
      </c>
      <c r="I72" s="6" t="s">
        <v>539</v>
      </c>
    </row>
    <row r="73" spans="1:9">
      <c r="A73" s="7" t="s">
        <v>60</v>
      </c>
      <c r="B73" s="15">
        <v>46044</v>
      </c>
      <c r="C73" s="5" t="s">
        <v>62</v>
      </c>
      <c r="D73" s="14">
        <v>10</v>
      </c>
      <c r="E73" s="5" t="s">
        <v>477</v>
      </c>
      <c r="F73" s="4" t="s">
        <v>450</v>
      </c>
      <c r="G73" s="6" t="s">
        <v>478</v>
      </c>
      <c r="H73" s="6" t="s">
        <v>65</v>
      </c>
      <c r="I73" s="6" t="s">
        <v>540</v>
      </c>
    </row>
    <row r="74" spans="1:9">
      <c r="A74" s="7" t="s">
        <v>66</v>
      </c>
      <c r="B74" s="15">
        <v>46078</v>
      </c>
      <c r="C74" s="5" t="s">
        <v>68</v>
      </c>
      <c r="D74" s="14">
        <v>1</v>
      </c>
      <c r="E74" s="5" t="s">
        <v>449</v>
      </c>
      <c r="F74" s="4" t="s">
        <v>450</v>
      </c>
      <c r="G74" s="6" t="s">
        <v>451</v>
      </c>
      <c r="H74" s="6" t="s">
        <v>71</v>
      </c>
      <c r="I74" s="6" t="s">
        <v>541</v>
      </c>
    </row>
    <row r="75" spans="1:9">
      <c r="A75" s="7" t="s">
        <v>66</v>
      </c>
      <c r="B75" s="15">
        <v>46078</v>
      </c>
      <c r="C75" s="5" t="s">
        <v>68</v>
      </c>
      <c r="D75" s="14">
        <v>2</v>
      </c>
      <c r="E75" s="5" t="s">
        <v>453</v>
      </c>
      <c r="F75" s="4" t="s">
        <v>450</v>
      </c>
      <c r="G75" s="6" t="s">
        <v>454</v>
      </c>
      <c r="H75" s="6" t="s">
        <v>71</v>
      </c>
      <c r="I75" s="6" t="s">
        <v>542</v>
      </c>
    </row>
    <row r="76" spans="1:9">
      <c r="A76" s="7" t="s">
        <v>66</v>
      </c>
      <c r="B76" s="15">
        <v>46078</v>
      </c>
      <c r="C76" s="5" t="s">
        <v>68</v>
      </c>
      <c r="D76" s="14">
        <v>3</v>
      </c>
      <c r="E76" s="5" t="s">
        <v>456</v>
      </c>
      <c r="F76" s="4" t="s">
        <v>450</v>
      </c>
      <c r="G76" s="6" t="s">
        <v>457</v>
      </c>
      <c r="H76" s="6" t="s">
        <v>71</v>
      </c>
      <c r="I76" s="6" t="s">
        <v>543</v>
      </c>
    </row>
    <row r="77" spans="1:9">
      <c r="A77" s="7" t="s">
        <v>66</v>
      </c>
      <c r="B77" s="15">
        <v>46078</v>
      </c>
      <c r="C77" s="5" t="s">
        <v>68</v>
      </c>
      <c r="D77" s="14">
        <v>4</v>
      </c>
      <c r="E77" s="5" t="s">
        <v>459</v>
      </c>
      <c r="F77" s="4" t="s">
        <v>450</v>
      </c>
      <c r="G77" s="6" t="s">
        <v>460</v>
      </c>
      <c r="H77" s="6" t="s">
        <v>71</v>
      </c>
      <c r="I77" s="6" t="s">
        <v>544</v>
      </c>
    </row>
    <row r="78" spans="1:9">
      <c r="A78" s="7" t="s">
        <v>66</v>
      </c>
      <c r="B78" s="15">
        <v>46078</v>
      </c>
      <c r="C78" s="5" t="s">
        <v>68</v>
      </c>
      <c r="D78" s="14">
        <v>5</v>
      </c>
      <c r="E78" s="5" t="s">
        <v>462</v>
      </c>
      <c r="F78" s="4" t="s">
        <v>450</v>
      </c>
      <c r="G78" s="6" t="s">
        <v>463</v>
      </c>
      <c r="H78" s="6" t="s">
        <v>71</v>
      </c>
      <c r="I78" s="6" t="s">
        <v>545</v>
      </c>
    </row>
    <row r="79" spans="1:9">
      <c r="A79" s="7" t="s">
        <v>66</v>
      </c>
      <c r="B79" s="15">
        <v>46078</v>
      </c>
      <c r="C79" s="5" t="s">
        <v>68</v>
      </c>
      <c r="D79" s="14">
        <v>6</v>
      </c>
      <c r="E79" s="5" t="s">
        <v>465</v>
      </c>
      <c r="F79" s="4" t="s">
        <v>450</v>
      </c>
      <c r="G79" s="6" t="s">
        <v>466</v>
      </c>
      <c r="H79" s="6" t="s">
        <v>71</v>
      </c>
      <c r="I79" s="6" t="s">
        <v>546</v>
      </c>
    </row>
    <row r="80" spans="1:9">
      <c r="A80" s="7" t="s">
        <v>66</v>
      </c>
      <c r="B80" s="15">
        <v>46078</v>
      </c>
      <c r="C80" s="5" t="s">
        <v>68</v>
      </c>
      <c r="D80" s="14">
        <v>7</v>
      </c>
      <c r="E80" s="5" t="s">
        <v>468</v>
      </c>
      <c r="F80" s="4" t="s">
        <v>450</v>
      </c>
      <c r="G80" s="6" t="s">
        <v>469</v>
      </c>
      <c r="H80" s="6" t="s">
        <v>71</v>
      </c>
      <c r="I80" s="6" t="s">
        <v>547</v>
      </c>
    </row>
    <row r="81" spans="1:9">
      <c r="A81" s="7" t="s">
        <v>66</v>
      </c>
      <c r="B81" s="15">
        <v>46078</v>
      </c>
      <c r="C81" s="5" t="s">
        <v>68</v>
      </c>
      <c r="D81" s="14">
        <v>8</v>
      </c>
      <c r="E81" s="5" t="s">
        <v>471</v>
      </c>
      <c r="F81" s="4" t="s">
        <v>450</v>
      </c>
      <c r="G81" s="6" t="s">
        <v>472</v>
      </c>
      <c r="H81" s="6" t="s">
        <v>71</v>
      </c>
      <c r="I81" s="6" t="s">
        <v>548</v>
      </c>
    </row>
    <row r="82" spans="1:9">
      <c r="A82" s="7" t="s">
        <v>66</v>
      </c>
      <c r="B82" s="15">
        <v>46078</v>
      </c>
      <c r="C82" s="5" t="s">
        <v>68</v>
      </c>
      <c r="D82" s="14">
        <v>9</v>
      </c>
      <c r="E82" s="5" t="s">
        <v>474</v>
      </c>
      <c r="F82" s="4" t="s">
        <v>450</v>
      </c>
      <c r="G82" s="6" t="s">
        <v>475</v>
      </c>
      <c r="H82" s="6" t="s">
        <v>71</v>
      </c>
      <c r="I82" s="6" t="s">
        <v>549</v>
      </c>
    </row>
    <row r="83" spans="1:9">
      <c r="A83" s="7" t="s">
        <v>66</v>
      </c>
      <c r="B83" s="15">
        <v>46078</v>
      </c>
      <c r="C83" s="5" t="s">
        <v>68</v>
      </c>
      <c r="D83" s="14">
        <v>10</v>
      </c>
      <c r="E83" s="5" t="s">
        <v>477</v>
      </c>
      <c r="F83" s="4" t="s">
        <v>450</v>
      </c>
      <c r="G83" s="6" t="s">
        <v>478</v>
      </c>
      <c r="H83" s="6" t="s">
        <v>71</v>
      </c>
      <c r="I83" s="6" t="s">
        <v>550</v>
      </c>
    </row>
    <row r="84" spans="1:9">
      <c r="A84" s="7" t="s">
        <v>72</v>
      </c>
      <c r="B84" s="15">
        <v>46084</v>
      </c>
      <c r="C84" s="5" t="s">
        <v>74</v>
      </c>
      <c r="D84" s="14">
        <v>1</v>
      </c>
      <c r="E84" s="5" t="s">
        <v>449</v>
      </c>
      <c r="F84" s="4" t="s">
        <v>450</v>
      </c>
      <c r="G84" s="6" t="s">
        <v>451</v>
      </c>
      <c r="H84" s="6" t="s">
        <v>77</v>
      </c>
      <c r="I84" s="6" t="s">
        <v>551</v>
      </c>
    </row>
    <row r="85" spans="1:9">
      <c r="A85" s="7" t="s">
        <v>72</v>
      </c>
      <c r="B85" s="15">
        <v>46084</v>
      </c>
      <c r="C85" s="5" t="s">
        <v>74</v>
      </c>
      <c r="D85" s="14">
        <v>2</v>
      </c>
      <c r="E85" s="5" t="s">
        <v>453</v>
      </c>
      <c r="F85" s="4" t="s">
        <v>450</v>
      </c>
      <c r="G85" s="6" t="s">
        <v>454</v>
      </c>
      <c r="H85" s="6" t="s">
        <v>77</v>
      </c>
      <c r="I85" s="6" t="s">
        <v>552</v>
      </c>
    </row>
    <row r="86" spans="1:9">
      <c r="A86" s="7" t="s">
        <v>72</v>
      </c>
      <c r="B86" s="15">
        <v>46084</v>
      </c>
      <c r="C86" s="5" t="s">
        <v>74</v>
      </c>
      <c r="D86" s="14">
        <v>3</v>
      </c>
      <c r="E86" s="5" t="s">
        <v>456</v>
      </c>
      <c r="F86" s="4" t="s">
        <v>450</v>
      </c>
      <c r="G86" s="6" t="s">
        <v>457</v>
      </c>
      <c r="H86" s="6" t="s">
        <v>77</v>
      </c>
      <c r="I86" s="6" t="s">
        <v>553</v>
      </c>
    </row>
    <row r="87" spans="1:9">
      <c r="A87" s="7" t="s">
        <v>72</v>
      </c>
      <c r="B87" s="15">
        <v>46084</v>
      </c>
      <c r="C87" s="5" t="s">
        <v>74</v>
      </c>
      <c r="D87" s="14">
        <v>4</v>
      </c>
      <c r="E87" s="5" t="s">
        <v>459</v>
      </c>
      <c r="F87" s="4" t="s">
        <v>450</v>
      </c>
      <c r="G87" s="6" t="s">
        <v>460</v>
      </c>
      <c r="H87" s="6" t="s">
        <v>77</v>
      </c>
      <c r="I87" s="6" t="s">
        <v>554</v>
      </c>
    </row>
    <row r="88" spans="1:9">
      <c r="A88" s="7" t="s">
        <v>72</v>
      </c>
      <c r="B88" s="15">
        <v>46084</v>
      </c>
      <c r="C88" s="5" t="s">
        <v>74</v>
      </c>
      <c r="D88" s="14">
        <v>5</v>
      </c>
      <c r="E88" s="5" t="s">
        <v>462</v>
      </c>
      <c r="F88" s="4" t="s">
        <v>450</v>
      </c>
      <c r="G88" s="6" t="s">
        <v>463</v>
      </c>
      <c r="H88" s="6" t="s">
        <v>77</v>
      </c>
      <c r="I88" s="6" t="s">
        <v>555</v>
      </c>
    </row>
    <row r="89" spans="1:9">
      <c r="A89" s="7" t="s">
        <v>72</v>
      </c>
      <c r="B89" s="15">
        <v>46084</v>
      </c>
      <c r="C89" s="5" t="s">
        <v>74</v>
      </c>
      <c r="D89" s="14">
        <v>6</v>
      </c>
      <c r="E89" s="5" t="s">
        <v>465</v>
      </c>
      <c r="F89" s="4" t="s">
        <v>450</v>
      </c>
      <c r="G89" s="6" t="s">
        <v>466</v>
      </c>
      <c r="H89" s="6" t="s">
        <v>77</v>
      </c>
      <c r="I89" s="6" t="s">
        <v>556</v>
      </c>
    </row>
    <row r="90" spans="1:9">
      <c r="A90" s="7" t="s">
        <v>72</v>
      </c>
      <c r="B90" s="15">
        <v>46084</v>
      </c>
      <c r="C90" s="5" t="s">
        <v>74</v>
      </c>
      <c r="D90" s="14">
        <v>7</v>
      </c>
      <c r="E90" s="5" t="s">
        <v>468</v>
      </c>
      <c r="F90" s="4" t="s">
        <v>450</v>
      </c>
      <c r="G90" s="6" t="s">
        <v>469</v>
      </c>
      <c r="H90" s="6" t="s">
        <v>77</v>
      </c>
      <c r="I90" s="6" t="s">
        <v>557</v>
      </c>
    </row>
    <row r="91" spans="1:9">
      <c r="A91" s="7" t="s">
        <v>72</v>
      </c>
      <c r="B91" s="15">
        <v>46084</v>
      </c>
      <c r="C91" s="5" t="s">
        <v>74</v>
      </c>
      <c r="D91" s="14">
        <v>8</v>
      </c>
      <c r="E91" s="5" t="s">
        <v>471</v>
      </c>
      <c r="F91" s="4" t="s">
        <v>498</v>
      </c>
      <c r="G91" s="6" t="s">
        <v>472</v>
      </c>
      <c r="H91" s="6" t="s">
        <v>77</v>
      </c>
      <c r="I91" s="6" t="s">
        <v>558</v>
      </c>
    </row>
    <row r="92" spans="1:9">
      <c r="A92" s="7" t="s">
        <v>72</v>
      </c>
      <c r="B92" s="15">
        <v>46084</v>
      </c>
      <c r="C92" s="5" t="s">
        <v>74</v>
      </c>
      <c r="D92" s="14">
        <v>9</v>
      </c>
      <c r="E92" s="5" t="s">
        <v>474</v>
      </c>
      <c r="F92" s="4" t="s">
        <v>450</v>
      </c>
      <c r="G92" s="6" t="s">
        <v>475</v>
      </c>
      <c r="H92" s="6" t="s">
        <v>77</v>
      </c>
      <c r="I92" s="6" t="s">
        <v>559</v>
      </c>
    </row>
    <row r="93" spans="1:9">
      <c r="A93" s="7" t="s">
        <v>72</v>
      </c>
      <c r="B93" s="15">
        <v>46084</v>
      </c>
      <c r="C93" s="5" t="s">
        <v>74</v>
      </c>
      <c r="D93" s="14">
        <v>10</v>
      </c>
      <c r="E93" s="5" t="s">
        <v>477</v>
      </c>
      <c r="F93" s="4" t="s">
        <v>450</v>
      </c>
      <c r="G93" s="6" t="s">
        <v>478</v>
      </c>
      <c r="H93" s="6" t="s">
        <v>77</v>
      </c>
      <c r="I93" s="6" t="s">
        <v>560</v>
      </c>
    </row>
    <row r="94" spans="1:9">
      <c r="A94" s="7" t="s">
        <v>78</v>
      </c>
      <c r="B94" s="15">
        <v>46118</v>
      </c>
      <c r="C94" s="5" t="s">
        <v>80</v>
      </c>
      <c r="D94" s="14">
        <v>1</v>
      </c>
      <c r="E94" s="5" t="s">
        <v>449</v>
      </c>
      <c r="F94" s="4" t="s">
        <v>450</v>
      </c>
      <c r="G94" s="6" t="s">
        <v>451</v>
      </c>
      <c r="H94" s="6" t="s">
        <v>83</v>
      </c>
      <c r="I94" s="6" t="s">
        <v>561</v>
      </c>
    </row>
    <row r="95" spans="1:9">
      <c r="A95" s="7" t="s">
        <v>78</v>
      </c>
      <c r="B95" s="15">
        <v>46118</v>
      </c>
      <c r="C95" s="5" t="s">
        <v>80</v>
      </c>
      <c r="D95" s="14">
        <v>2</v>
      </c>
      <c r="E95" s="5" t="s">
        <v>453</v>
      </c>
      <c r="F95" s="4" t="s">
        <v>450</v>
      </c>
      <c r="G95" s="6" t="s">
        <v>454</v>
      </c>
      <c r="H95" s="6" t="s">
        <v>83</v>
      </c>
      <c r="I95" s="6" t="s">
        <v>562</v>
      </c>
    </row>
    <row r="96" spans="1:9">
      <c r="A96" s="7" t="s">
        <v>78</v>
      </c>
      <c r="B96" s="15">
        <v>46118</v>
      </c>
      <c r="C96" s="5" t="s">
        <v>80</v>
      </c>
      <c r="D96" s="14">
        <v>3</v>
      </c>
      <c r="E96" s="5" t="s">
        <v>456</v>
      </c>
      <c r="F96" s="4" t="s">
        <v>450</v>
      </c>
      <c r="G96" s="6" t="s">
        <v>457</v>
      </c>
      <c r="H96" s="6" t="s">
        <v>83</v>
      </c>
      <c r="I96" s="6" t="s">
        <v>563</v>
      </c>
    </row>
    <row r="97" spans="1:9">
      <c r="A97" s="7" t="s">
        <v>78</v>
      </c>
      <c r="B97" s="15">
        <v>46118</v>
      </c>
      <c r="C97" s="5" t="s">
        <v>80</v>
      </c>
      <c r="D97" s="14">
        <v>4</v>
      </c>
      <c r="E97" s="5" t="s">
        <v>459</v>
      </c>
      <c r="F97" s="4" t="s">
        <v>450</v>
      </c>
      <c r="G97" s="6" t="s">
        <v>460</v>
      </c>
      <c r="H97" s="6" t="s">
        <v>83</v>
      </c>
      <c r="I97" s="6" t="s">
        <v>564</v>
      </c>
    </row>
    <row r="98" spans="1:9">
      <c r="A98" s="7" t="s">
        <v>78</v>
      </c>
      <c r="B98" s="15">
        <v>46118</v>
      </c>
      <c r="C98" s="5" t="s">
        <v>80</v>
      </c>
      <c r="D98" s="14">
        <v>5</v>
      </c>
      <c r="E98" s="5" t="s">
        <v>462</v>
      </c>
      <c r="F98" s="4" t="s">
        <v>498</v>
      </c>
      <c r="G98" s="6" t="s">
        <v>463</v>
      </c>
      <c r="H98" s="6" t="s">
        <v>83</v>
      </c>
      <c r="I98" s="6" t="s">
        <v>565</v>
      </c>
    </row>
    <row r="99" spans="1:9">
      <c r="A99" s="7" t="s">
        <v>78</v>
      </c>
      <c r="B99" s="15">
        <v>46118</v>
      </c>
      <c r="C99" s="5" t="s">
        <v>80</v>
      </c>
      <c r="D99" s="14">
        <v>6</v>
      </c>
      <c r="E99" s="5" t="s">
        <v>465</v>
      </c>
      <c r="F99" s="4" t="s">
        <v>450</v>
      </c>
      <c r="G99" s="6" t="s">
        <v>466</v>
      </c>
      <c r="H99" s="6" t="s">
        <v>83</v>
      </c>
      <c r="I99" s="6" t="s">
        <v>566</v>
      </c>
    </row>
    <row r="100" spans="1:9">
      <c r="A100" s="7" t="s">
        <v>78</v>
      </c>
      <c r="B100" s="15">
        <v>46118</v>
      </c>
      <c r="C100" s="5" t="s">
        <v>80</v>
      </c>
      <c r="D100" s="14">
        <v>7</v>
      </c>
      <c r="E100" s="5" t="s">
        <v>468</v>
      </c>
      <c r="F100" s="4" t="s">
        <v>450</v>
      </c>
      <c r="G100" s="6" t="s">
        <v>469</v>
      </c>
      <c r="H100" s="6" t="s">
        <v>83</v>
      </c>
      <c r="I100" s="6" t="s">
        <v>567</v>
      </c>
    </row>
    <row r="101" spans="1:9">
      <c r="A101" s="7" t="s">
        <v>78</v>
      </c>
      <c r="B101" s="15">
        <v>46118</v>
      </c>
      <c r="C101" s="5" t="s">
        <v>80</v>
      </c>
      <c r="D101" s="14">
        <v>8</v>
      </c>
      <c r="E101" s="5" t="s">
        <v>471</v>
      </c>
      <c r="F101" s="4" t="s">
        <v>450</v>
      </c>
      <c r="G101" s="6" t="s">
        <v>472</v>
      </c>
      <c r="H101" s="6" t="s">
        <v>83</v>
      </c>
      <c r="I101" s="6" t="s">
        <v>568</v>
      </c>
    </row>
    <row r="102" spans="1:9">
      <c r="A102" s="7" t="s">
        <v>78</v>
      </c>
      <c r="B102" s="15">
        <v>46118</v>
      </c>
      <c r="C102" s="5" t="s">
        <v>80</v>
      </c>
      <c r="D102" s="14">
        <v>9</v>
      </c>
      <c r="E102" s="5" t="s">
        <v>474</v>
      </c>
      <c r="F102" s="4" t="s">
        <v>450</v>
      </c>
      <c r="G102" s="6" t="s">
        <v>475</v>
      </c>
      <c r="H102" s="6" t="s">
        <v>83</v>
      </c>
      <c r="I102" s="6" t="s">
        <v>569</v>
      </c>
    </row>
    <row r="103" spans="1:9">
      <c r="A103" s="7" t="s">
        <v>78</v>
      </c>
      <c r="B103" s="15">
        <v>46118</v>
      </c>
      <c r="C103" s="5" t="s">
        <v>80</v>
      </c>
      <c r="D103" s="14">
        <v>10</v>
      </c>
      <c r="E103" s="5" t="s">
        <v>477</v>
      </c>
      <c r="F103" s="4" t="s">
        <v>450</v>
      </c>
      <c r="G103" s="6" t="s">
        <v>478</v>
      </c>
      <c r="H103" s="6" t="s">
        <v>83</v>
      </c>
      <c r="I103" s="6" t="s">
        <v>570</v>
      </c>
    </row>
    <row r="104" spans="1:9">
      <c r="A104" s="7" t="s">
        <v>84</v>
      </c>
      <c r="B104" s="15">
        <v>46151</v>
      </c>
      <c r="C104" s="5" t="s">
        <v>86</v>
      </c>
      <c r="D104" s="14">
        <v>1</v>
      </c>
      <c r="E104" s="5" t="s">
        <v>449</v>
      </c>
      <c r="F104" s="4" t="s">
        <v>450</v>
      </c>
      <c r="G104" s="6" t="s">
        <v>451</v>
      </c>
      <c r="H104" s="6" t="s">
        <v>89</v>
      </c>
      <c r="I104" s="6" t="s">
        <v>571</v>
      </c>
    </row>
    <row r="105" spans="1:9">
      <c r="A105" s="7" t="s">
        <v>84</v>
      </c>
      <c r="B105" s="15">
        <v>46151</v>
      </c>
      <c r="C105" s="5" t="s">
        <v>86</v>
      </c>
      <c r="D105" s="14">
        <v>2</v>
      </c>
      <c r="E105" s="5" t="s">
        <v>453</v>
      </c>
      <c r="F105" s="4" t="s">
        <v>498</v>
      </c>
      <c r="G105" s="6" t="s">
        <v>454</v>
      </c>
      <c r="H105" s="6" t="s">
        <v>89</v>
      </c>
      <c r="I105" s="6" t="s">
        <v>572</v>
      </c>
    </row>
    <row r="106" spans="1:9">
      <c r="A106" s="7" t="s">
        <v>84</v>
      </c>
      <c r="B106" s="15">
        <v>46151</v>
      </c>
      <c r="C106" s="5" t="s">
        <v>86</v>
      </c>
      <c r="D106" s="14">
        <v>3</v>
      </c>
      <c r="E106" s="5" t="s">
        <v>456</v>
      </c>
      <c r="F106" s="4" t="s">
        <v>450</v>
      </c>
      <c r="G106" s="6" t="s">
        <v>457</v>
      </c>
      <c r="H106" s="6" t="s">
        <v>89</v>
      </c>
      <c r="I106" s="6" t="s">
        <v>573</v>
      </c>
    </row>
    <row r="107" spans="1:9">
      <c r="A107" s="7" t="s">
        <v>84</v>
      </c>
      <c r="B107" s="15">
        <v>46151</v>
      </c>
      <c r="C107" s="5" t="s">
        <v>86</v>
      </c>
      <c r="D107" s="14">
        <v>4</v>
      </c>
      <c r="E107" s="5" t="s">
        <v>459</v>
      </c>
      <c r="F107" s="4" t="s">
        <v>450</v>
      </c>
      <c r="G107" s="6" t="s">
        <v>460</v>
      </c>
      <c r="H107" s="6" t="s">
        <v>89</v>
      </c>
      <c r="I107" s="6" t="s">
        <v>574</v>
      </c>
    </row>
    <row r="108" spans="1:9">
      <c r="A108" s="7" t="s">
        <v>84</v>
      </c>
      <c r="B108" s="15">
        <v>46151</v>
      </c>
      <c r="C108" s="5" t="s">
        <v>86</v>
      </c>
      <c r="D108" s="14">
        <v>5</v>
      </c>
      <c r="E108" s="5" t="s">
        <v>462</v>
      </c>
      <c r="F108" s="4" t="s">
        <v>450</v>
      </c>
      <c r="G108" s="6" t="s">
        <v>463</v>
      </c>
      <c r="H108" s="6" t="s">
        <v>89</v>
      </c>
      <c r="I108" s="6" t="s">
        <v>575</v>
      </c>
    </row>
    <row r="109" spans="1:9">
      <c r="A109" s="7" t="s">
        <v>84</v>
      </c>
      <c r="B109" s="15">
        <v>46151</v>
      </c>
      <c r="C109" s="5" t="s">
        <v>86</v>
      </c>
      <c r="D109" s="14">
        <v>6</v>
      </c>
      <c r="E109" s="5" t="s">
        <v>465</v>
      </c>
      <c r="F109" s="4" t="s">
        <v>450</v>
      </c>
      <c r="G109" s="6" t="s">
        <v>466</v>
      </c>
      <c r="H109" s="6" t="s">
        <v>89</v>
      </c>
      <c r="I109" s="6" t="s">
        <v>576</v>
      </c>
    </row>
    <row r="110" spans="1:9">
      <c r="A110" s="7" t="s">
        <v>84</v>
      </c>
      <c r="B110" s="15">
        <v>46151</v>
      </c>
      <c r="C110" s="5" t="s">
        <v>86</v>
      </c>
      <c r="D110" s="14">
        <v>7</v>
      </c>
      <c r="E110" s="5" t="s">
        <v>468</v>
      </c>
      <c r="F110" s="4" t="s">
        <v>450</v>
      </c>
      <c r="G110" s="6" t="s">
        <v>469</v>
      </c>
      <c r="H110" s="6" t="s">
        <v>89</v>
      </c>
      <c r="I110" s="6" t="s">
        <v>577</v>
      </c>
    </row>
    <row r="111" spans="1:9">
      <c r="A111" s="7" t="s">
        <v>84</v>
      </c>
      <c r="B111" s="15">
        <v>46151</v>
      </c>
      <c r="C111" s="5" t="s">
        <v>86</v>
      </c>
      <c r="D111" s="14">
        <v>8</v>
      </c>
      <c r="E111" s="5" t="s">
        <v>471</v>
      </c>
      <c r="F111" s="4" t="s">
        <v>450</v>
      </c>
      <c r="G111" s="6" t="s">
        <v>472</v>
      </c>
      <c r="H111" s="6" t="s">
        <v>89</v>
      </c>
      <c r="I111" s="6" t="s">
        <v>578</v>
      </c>
    </row>
    <row r="112" spans="1:9">
      <c r="A112" s="7" t="s">
        <v>84</v>
      </c>
      <c r="B112" s="15">
        <v>46151</v>
      </c>
      <c r="C112" s="5" t="s">
        <v>86</v>
      </c>
      <c r="D112" s="14">
        <v>9</v>
      </c>
      <c r="E112" s="5" t="s">
        <v>474</v>
      </c>
      <c r="F112" s="4" t="s">
        <v>450</v>
      </c>
      <c r="G112" s="6" t="s">
        <v>475</v>
      </c>
      <c r="H112" s="6" t="s">
        <v>89</v>
      </c>
      <c r="I112" s="6" t="s">
        <v>579</v>
      </c>
    </row>
    <row r="113" spans="1:9">
      <c r="A113" s="7" t="s">
        <v>84</v>
      </c>
      <c r="B113" s="15">
        <v>46151</v>
      </c>
      <c r="C113" s="5" t="s">
        <v>86</v>
      </c>
      <c r="D113" s="14">
        <v>10</v>
      </c>
      <c r="E113" s="5" t="s">
        <v>477</v>
      </c>
      <c r="F113" s="4" t="s">
        <v>450</v>
      </c>
      <c r="G113" s="6" t="s">
        <v>478</v>
      </c>
      <c r="H113" s="6" t="s">
        <v>89</v>
      </c>
      <c r="I113" s="6" t="s">
        <v>580</v>
      </c>
    </row>
    <row r="114" spans="1:9">
      <c r="A114" s="7" t="s">
        <v>90</v>
      </c>
      <c r="B114" s="15">
        <v>46185</v>
      </c>
      <c r="C114" s="5" t="s">
        <v>92</v>
      </c>
      <c r="D114" s="14">
        <v>1</v>
      </c>
      <c r="E114" s="5" t="s">
        <v>449</v>
      </c>
      <c r="F114" s="4" t="s">
        <v>450</v>
      </c>
      <c r="G114" s="6" t="s">
        <v>451</v>
      </c>
      <c r="H114" s="6" t="s">
        <v>95</v>
      </c>
      <c r="I114" s="6" t="s">
        <v>581</v>
      </c>
    </row>
    <row r="115" spans="1:9">
      <c r="A115" s="7" t="s">
        <v>90</v>
      </c>
      <c r="B115" s="15">
        <v>46185</v>
      </c>
      <c r="C115" s="5" t="s">
        <v>92</v>
      </c>
      <c r="D115" s="14">
        <v>2</v>
      </c>
      <c r="E115" s="5" t="s">
        <v>453</v>
      </c>
      <c r="F115" s="4" t="s">
        <v>450</v>
      </c>
      <c r="G115" s="6" t="s">
        <v>454</v>
      </c>
      <c r="H115" s="6" t="s">
        <v>95</v>
      </c>
      <c r="I115" s="6" t="s">
        <v>582</v>
      </c>
    </row>
    <row r="116" spans="1:9">
      <c r="A116" s="7" t="s">
        <v>90</v>
      </c>
      <c r="B116" s="15">
        <v>46185</v>
      </c>
      <c r="C116" s="5" t="s">
        <v>92</v>
      </c>
      <c r="D116" s="14">
        <v>3</v>
      </c>
      <c r="E116" s="5" t="s">
        <v>456</v>
      </c>
      <c r="F116" s="4" t="s">
        <v>450</v>
      </c>
      <c r="G116" s="6" t="s">
        <v>457</v>
      </c>
      <c r="H116" s="6" t="s">
        <v>95</v>
      </c>
      <c r="I116" s="6" t="s">
        <v>583</v>
      </c>
    </row>
    <row r="117" spans="1:9">
      <c r="A117" s="7" t="s">
        <v>90</v>
      </c>
      <c r="B117" s="15">
        <v>46185</v>
      </c>
      <c r="C117" s="5" t="s">
        <v>92</v>
      </c>
      <c r="D117" s="14">
        <v>4</v>
      </c>
      <c r="E117" s="5" t="s">
        <v>459</v>
      </c>
      <c r="F117" s="4" t="s">
        <v>450</v>
      </c>
      <c r="G117" s="6" t="s">
        <v>460</v>
      </c>
      <c r="H117" s="6" t="s">
        <v>95</v>
      </c>
      <c r="I117" s="6" t="s">
        <v>584</v>
      </c>
    </row>
    <row r="118" spans="1:9">
      <c r="A118" s="7" t="s">
        <v>90</v>
      </c>
      <c r="B118" s="15">
        <v>46185</v>
      </c>
      <c r="C118" s="5" t="s">
        <v>92</v>
      </c>
      <c r="D118" s="14">
        <v>5</v>
      </c>
      <c r="E118" s="5" t="s">
        <v>462</v>
      </c>
      <c r="F118" s="4" t="s">
        <v>450</v>
      </c>
      <c r="G118" s="6" t="s">
        <v>463</v>
      </c>
      <c r="H118" s="6" t="s">
        <v>95</v>
      </c>
      <c r="I118" s="6" t="s">
        <v>585</v>
      </c>
    </row>
    <row r="119" spans="1:9">
      <c r="A119" s="7" t="s">
        <v>90</v>
      </c>
      <c r="B119" s="15">
        <v>46185</v>
      </c>
      <c r="C119" s="5" t="s">
        <v>92</v>
      </c>
      <c r="D119" s="14">
        <v>6</v>
      </c>
      <c r="E119" s="5" t="s">
        <v>465</v>
      </c>
      <c r="F119" s="4" t="s">
        <v>450</v>
      </c>
      <c r="G119" s="6" t="s">
        <v>466</v>
      </c>
      <c r="H119" s="6" t="s">
        <v>95</v>
      </c>
      <c r="I119" s="6" t="s">
        <v>586</v>
      </c>
    </row>
    <row r="120" spans="1:9">
      <c r="A120" s="7" t="s">
        <v>90</v>
      </c>
      <c r="B120" s="15">
        <v>46185</v>
      </c>
      <c r="C120" s="5" t="s">
        <v>92</v>
      </c>
      <c r="D120" s="14">
        <v>7</v>
      </c>
      <c r="E120" s="5" t="s">
        <v>468</v>
      </c>
      <c r="F120" s="4" t="s">
        <v>450</v>
      </c>
      <c r="G120" s="6" t="s">
        <v>469</v>
      </c>
      <c r="H120" s="6" t="s">
        <v>95</v>
      </c>
      <c r="I120" s="6" t="s">
        <v>587</v>
      </c>
    </row>
    <row r="121" spans="1:9">
      <c r="A121" s="7" t="s">
        <v>90</v>
      </c>
      <c r="B121" s="15">
        <v>46185</v>
      </c>
      <c r="C121" s="5" t="s">
        <v>92</v>
      </c>
      <c r="D121" s="14">
        <v>8</v>
      </c>
      <c r="E121" s="5" t="s">
        <v>471</v>
      </c>
      <c r="F121" s="4" t="s">
        <v>450</v>
      </c>
      <c r="G121" s="6" t="s">
        <v>472</v>
      </c>
      <c r="H121" s="6" t="s">
        <v>95</v>
      </c>
      <c r="I121" s="6" t="s">
        <v>588</v>
      </c>
    </row>
    <row r="122" spans="1:9">
      <c r="A122" s="7" t="s">
        <v>90</v>
      </c>
      <c r="B122" s="15">
        <v>46185</v>
      </c>
      <c r="C122" s="5" t="s">
        <v>92</v>
      </c>
      <c r="D122" s="14">
        <v>9</v>
      </c>
      <c r="E122" s="5" t="s">
        <v>474</v>
      </c>
      <c r="F122" s="4" t="s">
        <v>450</v>
      </c>
      <c r="G122" s="6" t="s">
        <v>475</v>
      </c>
      <c r="H122" s="6" t="s">
        <v>95</v>
      </c>
      <c r="I122" s="6" t="s">
        <v>589</v>
      </c>
    </row>
    <row r="123" spans="1:9">
      <c r="A123" s="7" t="s">
        <v>90</v>
      </c>
      <c r="B123" s="15">
        <v>46185</v>
      </c>
      <c r="C123" s="5" t="s">
        <v>92</v>
      </c>
      <c r="D123" s="14">
        <v>10</v>
      </c>
      <c r="E123" s="5" t="s">
        <v>477</v>
      </c>
      <c r="F123" s="4" t="s">
        <v>450</v>
      </c>
      <c r="G123" s="6" t="s">
        <v>478</v>
      </c>
      <c r="H123" s="6" t="s">
        <v>95</v>
      </c>
      <c r="I123" s="6" t="s">
        <v>590</v>
      </c>
    </row>
    <row r="124" spans="1:9">
      <c r="A124" s="7" t="s">
        <v>96</v>
      </c>
      <c r="B124" s="15">
        <v>46037</v>
      </c>
      <c r="C124" s="5" t="s">
        <v>98</v>
      </c>
      <c r="D124" s="14">
        <v>1</v>
      </c>
      <c r="E124" s="5" t="s">
        <v>449</v>
      </c>
      <c r="F124" s="4" t="s">
        <v>450</v>
      </c>
      <c r="G124" s="6" t="s">
        <v>451</v>
      </c>
      <c r="H124" s="6" t="s">
        <v>101</v>
      </c>
      <c r="I124" s="6" t="s">
        <v>591</v>
      </c>
    </row>
    <row r="125" spans="1:9">
      <c r="A125" s="7" t="s">
        <v>96</v>
      </c>
      <c r="B125" s="15">
        <v>46037</v>
      </c>
      <c r="C125" s="5" t="s">
        <v>98</v>
      </c>
      <c r="D125" s="14">
        <v>2</v>
      </c>
      <c r="E125" s="5" t="s">
        <v>453</v>
      </c>
      <c r="F125" s="4" t="s">
        <v>450</v>
      </c>
      <c r="G125" s="6" t="s">
        <v>454</v>
      </c>
      <c r="H125" s="6" t="s">
        <v>101</v>
      </c>
      <c r="I125" s="6" t="s">
        <v>592</v>
      </c>
    </row>
    <row r="126" spans="1:9">
      <c r="A126" s="7" t="s">
        <v>96</v>
      </c>
      <c r="B126" s="15">
        <v>46037</v>
      </c>
      <c r="C126" s="5" t="s">
        <v>98</v>
      </c>
      <c r="D126" s="14">
        <v>3</v>
      </c>
      <c r="E126" s="5" t="s">
        <v>456</v>
      </c>
      <c r="F126" s="4" t="s">
        <v>450</v>
      </c>
      <c r="G126" s="6" t="s">
        <v>457</v>
      </c>
      <c r="H126" s="6" t="s">
        <v>101</v>
      </c>
      <c r="I126" s="6" t="s">
        <v>593</v>
      </c>
    </row>
    <row r="127" spans="1:9">
      <c r="A127" s="7" t="s">
        <v>96</v>
      </c>
      <c r="B127" s="15">
        <v>46037</v>
      </c>
      <c r="C127" s="5" t="s">
        <v>98</v>
      </c>
      <c r="D127" s="14">
        <v>4</v>
      </c>
      <c r="E127" s="5" t="s">
        <v>459</v>
      </c>
      <c r="F127" s="4" t="s">
        <v>450</v>
      </c>
      <c r="G127" s="6" t="s">
        <v>460</v>
      </c>
      <c r="H127" s="6" t="s">
        <v>101</v>
      </c>
      <c r="I127" s="6" t="s">
        <v>594</v>
      </c>
    </row>
    <row r="128" spans="1:9">
      <c r="A128" s="7" t="s">
        <v>96</v>
      </c>
      <c r="B128" s="15">
        <v>46037</v>
      </c>
      <c r="C128" s="5" t="s">
        <v>98</v>
      </c>
      <c r="D128" s="14">
        <v>5</v>
      </c>
      <c r="E128" s="5" t="s">
        <v>462</v>
      </c>
      <c r="F128" s="4" t="s">
        <v>450</v>
      </c>
      <c r="G128" s="6" t="s">
        <v>463</v>
      </c>
      <c r="H128" s="6" t="s">
        <v>101</v>
      </c>
      <c r="I128" s="6" t="s">
        <v>595</v>
      </c>
    </row>
    <row r="129" spans="1:9">
      <c r="A129" s="7" t="s">
        <v>96</v>
      </c>
      <c r="B129" s="15">
        <v>46037</v>
      </c>
      <c r="C129" s="5" t="s">
        <v>98</v>
      </c>
      <c r="D129" s="14">
        <v>6</v>
      </c>
      <c r="E129" s="5" t="s">
        <v>465</v>
      </c>
      <c r="F129" s="4" t="s">
        <v>450</v>
      </c>
      <c r="G129" s="6" t="s">
        <v>466</v>
      </c>
      <c r="H129" s="6" t="s">
        <v>101</v>
      </c>
      <c r="I129" s="6" t="s">
        <v>596</v>
      </c>
    </row>
    <row r="130" spans="1:9">
      <c r="A130" s="7" t="s">
        <v>96</v>
      </c>
      <c r="B130" s="15">
        <v>46037</v>
      </c>
      <c r="C130" s="5" t="s">
        <v>98</v>
      </c>
      <c r="D130" s="14">
        <v>7</v>
      </c>
      <c r="E130" s="5" t="s">
        <v>468</v>
      </c>
      <c r="F130" s="4" t="s">
        <v>450</v>
      </c>
      <c r="G130" s="6" t="s">
        <v>469</v>
      </c>
      <c r="H130" s="6" t="s">
        <v>101</v>
      </c>
      <c r="I130" s="6" t="s">
        <v>597</v>
      </c>
    </row>
    <row r="131" spans="1:9">
      <c r="A131" s="7" t="s">
        <v>96</v>
      </c>
      <c r="B131" s="15">
        <v>46037</v>
      </c>
      <c r="C131" s="5" t="s">
        <v>98</v>
      </c>
      <c r="D131" s="14">
        <v>8</v>
      </c>
      <c r="E131" s="5" t="s">
        <v>471</v>
      </c>
      <c r="F131" s="4" t="s">
        <v>450</v>
      </c>
      <c r="G131" s="6" t="s">
        <v>472</v>
      </c>
      <c r="H131" s="6" t="s">
        <v>101</v>
      </c>
      <c r="I131" s="6" t="s">
        <v>598</v>
      </c>
    </row>
    <row r="132" spans="1:9">
      <c r="A132" s="7" t="s">
        <v>96</v>
      </c>
      <c r="B132" s="15">
        <v>46037</v>
      </c>
      <c r="C132" s="5" t="s">
        <v>98</v>
      </c>
      <c r="D132" s="14">
        <v>9</v>
      </c>
      <c r="E132" s="5" t="s">
        <v>474</v>
      </c>
      <c r="F132" s="4" t="s">
        <v>450</v>
      </c>
      <c r="G132" s="6" t="s">
        <v>475</v>
      </c>
      <c r="H132" s="6" t="s">
        <v>101</v>
      </c>
      <c r="I132" s="6" t="s">
        <v>599</v>
      </c>
    </row>
    <row r="133" spans="1:9">
      <c r="A133" s="7" t="s">
        <v>96</v>
      </c>
      <c r="B133" s="15">
        <v>46037</v>
      </c>
      <c r="C133" s="5" t="s">
        <v>98</v>
      </c>
      <c r="D133" s="14">
        <v>10</v>
      </c>
      <c r="E133" s="5" t="s">
        <v>477</v>
      </c>
      <c r="F133" s="4" t="s">
        <v>450</v>
      </c>
      <c r="G133" s="6" t="s">
        <v>478</v>
      </c>
      <c r="H133" s="6" t="s">
        <v>101</v>
      </c>
      <c r="I133" s="6" t="s">
        <v>600</v>
      </c>
    </row>
    <row r="134" spans="1:9">
      <c r="A134" s="7" t="s">
        <v>102</v>
      </c>
      <c r="B134" s="15">
        <v>46071</v>
      </c>
      <c r="C134" s="5" t="s">
        <v>104</v>
      </c>
      <c r="D134" s="14">
        <v>1</v>
      </c>
      <c r="E134" s="5" t="s">
        <v>449</v>
      </c>
      <c r="F134" s="4" t="s">
        <v>450</v>
      </c>
      <c r="G134" s="6" t="s">
        <v>451</v>
      </c>
      <c r="H134" s="6" t="s">
        <v>107</v>
      </c>
      <c r="I134" s="6" t="s">
        <v>601</v>
      </c>
    </row>
    <row r="135" spans="1:9">
      <c r="A135" s="7" t="s">
        <v>102</v>
      </c>
      <c r="B135" s="15">
        <v>46071</v>
      </c>
      <c r="C135" s="5" t="s">
        <v>104</v>
      </c>
      <c r="D135" s="14">
        <v>2</v>
      </c>
      <c r="E135" s="5" t="s">
        <v>453</v>
      </c>
      <c r="F135" s="4" t="s">
        <v>450</v>
      </c>
      <c r="G135" s="6" t="s">
        <v>454</v>
      </c>
      <c r="H135" s="6" t="s">
        <v>107</v>
      </c>
      <c r="I135" s="6" t="s">
        <v>602</v>
      </c>
    </row>
    <row r="136" spans="1:9">
      <c r="A136" s="7" t="s">
        <v>102</v>
      </c>
      <c r="B136" s="15">
        <v>46071</v>
      </c>
      <c r="C136" s="5" t="s">
        <v>104</v>
      </c>
      <c r="D136" s="14">
        <v>3</v>
      </c>
      <c r="E136" s="5" t="s">
        <v>456</v>
      </c>
      <c r="F136" s="4" t="s">
        <v>450</v>
      </c>
      <c r="G136" s="6" t="s">
        <v>457</v>
      </c>
      <c r="H136" s="6" t="s">
        <v>107</v>
      </c>
      <c r="I136" s="6" t="s">
        <v>603</v>
      </c>
    </row>
    <row r="137" spans="1:9">
      <c r="A137" s="7" t="s">
        <v>102</v>
      </c>
      <c r="B137" s="15">
        <v>46071</v>
      </c>
      <c r="C137" s="5" t="s">
        <v>104</v>
      </c>
      <c r="D137" s="14">
        <v>4</v>
      </c>
      <c r="E137" s="5" t="s">
        <v>459</v>
      </c>
      <c r="F137" s="4" t="s">
        <v>450</v>
      </c>
      <c r="G137" s="6" t="s">
        <v>460</v>
      </c>
      <c r="H137" s="6" t="s">
        <v>107</v>
      </c>
      <c r="I137" s="6" t="s">
        <v>604</v>
      </c>
    </row>
    <row r="138" spans="1:9">
      <c r="A138" s="7" t="s">
        <v>102</v>
      </c>
      <c r="B138" s="15">
        <v>46071</v>
      </c>
      <c r="C138" s="5" t="s">
        <v>104</v>
      </c>
      <c r="D138" s="14">
        <v>5</v>
      </c>
      <c r="E138" s="5" t="s">
        <v>462</v>
      </c>
      <c r="F138" s="4" t="s">
        <v>450</v>
      </c>
      <c r="G138" s="6" t="s">
        <v>463</v>
      </c>
      <c r="H138" s="6" t="s">
        <v>107</v>
      </c>
      <c r="I138" s="6" t="s">
        <v>605</v>
      </c>
    </row>
    <row r="139" spans="1:9">
      <c r="A139" s="7" t="s">
        <v>102</v>
      </c>
      <c r="B139" s="15">
        <v>46071</v>
      </c>
      <c r="C139" s="5" t="s">
        <v>104</v>
      </c>
      <c r="D139" s="14">
        <v>6</v>
      </c>
      <c r="E139" s="5" t="s">
        <v>465</v>
      </c>
      <c r="F139" s="4" t="s">
        <v>450</v>
      </c>
      <c r="G139" s="6" t="s">
        <v>466</v>
      </c>
      <c r="H139" s="6" t="s">
        <v>107</v>
      </c>
      <c r="I139" s="6" t="s">
        <v>606</v>
      </c>
    </row>
    <row r="140" spans="1:9">
      <c r="A140" s="7" t="s">
        <v>102</v>
      </c>
      <c r="B140" s="15">
        <v>46071</v>
      </c>
      <c r="C140" s="5" t="s">
        <v>104</v>
      </c>
      <c r="D140" s="14">
        <v>7</v>
      </c>
      <c r="E140" s="5" t="s">
        <v>468</v>
      </c>
      <c r="F140" s="4" t="s">
        <v>450</v>
      </c>
      <c r="G140" s="6" t="s">
        <v>469</v>
      </c>
      <c r="H140" s="6" t="s">
        <v>107</v>
      </c>
      <c r="I140" s="6" t="s">
        <v>607</v>
      </c>
    </row>
    <row r="141" spans="1:9">
      <c r="A141" s="7" t="s">
        <v>102</v>
      </c>
      <c r="B141" s="15">
        <v>46071</v>
      </c>
      <c r="C141" s="5" t="s">
        <v>104</v>
      </c>
      <c r="D141" s="14">
        <v>8</v>
      </c>
      <c r="E141" s="5" t="s">
        <v>471</v>
      </c>
      <c r="F141" s="4" t="s">
        <v>450</v>
      </c>
      <c r="G141" s="6" t="s">
        <v>472</v>
      </c>
      <c r="H141" s="6" t="s">
        <v>107</v>
      </c>
      <c r="I141" s="6" t="s">
        <v>608</v>
      </c>
    </row>
    <row r="142" spans="1:9">
      <c r="A142" s="7" t="s">
        <v>102</v>
      </c>
      <c r="B142" s="15">
        <v>46071</v>
      </c>
      <c r="C142" s="5" t="s">
        <v>104</v>
      </c>
      <c r="D142" s="14">
        <v>9</v>
      </c>
      <c r="E142" s="5" t="s">
        <v>474</v>
      </c>
      <c r="F142" s="4" t="s">
        <v>450</v>
      </c>
      <c r="G142" s="6" t="s">
        <v>475</v>
      </c>
      <c r="H142" s="6" t="s">
        <v>107</v>
      </c>
      <c r="I142" s="6" t="s">
        <v>609</v>
      </c>
    </row>
    <row r="143" spans="1:9">
      <c r="A143" s="7" t="s">
        <v>102</v>
      </c>
      <c r="B143" s="15">
        <v>46071</v>
      </c>
      <c r="C143" s="5" t="s">
        <v>104</v>
      </c>
      <c r="D143" s="14">
        <v>10</v>
      </c>
      <c r="E143" s="5" t="s">
        <v>477</v>
      </c>
      <c r="F143" s="4" t="s">
        <v>498</v>
      </c>
      <c r="G143" s="6" t="s">
        <v>478</v>
      </c>
      <c r="H143" s="6" t="s">
        <v>107</v>
      </c>
      <c r="I143" s="6" t="s">
        <v>610</v>
      </c>
    </row>
    <row r="144" spans="1:9">
      <c r="A144" s="7" t="s">
        <v>108</v>
      </c>
      <c r="B144" s="15">
        <v>46102</v>
      </c>
      <c r="C144" s="5" t="s">
        <v>110</v>
      </c>
      <c r="D144" s="14">
        <v>1</v>
      </c>
      <c r="E144" s="5" t="s">
        <v>449</v>
      </c>
      <c r="F144" s="4" t="s">
        <v>450</v>
      </c>
      <c r="G144" s="6" t="s">
        <v>451</v>
      </c>
      <c r="H144" s="6" t="s">
        <v>113</v>
      </c>
      <c r="I144" s="6" t="s">
        <v>611</v>
      </c>
    </row>
    <row r="145" spans="1:9">
      <c r="A145" s="7" t="s">
        <v>108</v>
      </c>
      <c r="B145" s="15">
        <v>46102</v>
      </c>
      <c r="C145" s="5" t="s">
        <v>110</v>
      </c>
      <c r="D145" s="14">
        <v>2</v>
      </c>
      <c r="E145" s="5" t="s">
        <v>453</v>
      </c>
      <c r="F145" s="4" t="s">
        <v>450</v>
      </c>
      <c r="G145" s="6" t="s">
        <v>454</v>
      </c>
      <c r="H145" s="6" t="s">
        <v>113</v>
      </c>
      <c r="I145" s="6" t="s">
        <v>612</v>
      </c>
    </row>
    <row r="146" spans="1:9">
      <c r="A146" s="7" t="s">
        <v>108</v>
      </c>
      <c r="B146" s="15">
        <v>46102</v>
      </c>
      <c r="C146" s="5" t="s">
        <v>110</v>
      </c>
      <c r="D146" s="14">
        <v>3</v>
      </c>
      <c r="E146" s="5" t="s">
        <v>456</v>
      </c>
      <c r="F146" s="4" t="s">
        <v>450</v>
      </c>
      <c r="G146" s="6" t="s">
        <v>457</v>
      </c>
      <c r="H146" s="6" t="s">
        <v>113</v>
      </c>
      <c r="I146" s="6" t="s">
        <v>613</v>
      </c>
    </row>
    <row r="147" spans="1:9">
      <c r="A147" s="7" t="s">
        <v>108</v>
      </c>
      <c r="B147" s="15">
        <v>46102</v>
      </c>
      <c r="C147" s="5" t="s">
        <v>110</v>
      </c>
      <c r="D147" s="14">
        <v>4</v>
      </c>
      <c r="E147" s="5" t="s">
        <v>459</v>
      </c>
      <c r="F147" s="4" t="s">
        <v>450</v>
      </c>
      <c r="G147" s="6" t="s">
        <v>460</v>
      </c>
      <c r="H147" s="6" t="s">
        <v>113</v>
      </c>
      <c r="I147" s="6" t="s">
        <v>614</v>
      </c>
    </row>
    <row r="148" spans="1:9">
      <c r="A148" s="7" t="s">
        <v>108</v>
      </c>
      <c r="B148" s="15">
        <v>46102</v>
      </c>
      <c r="C148" s="5" t="s">
        <v>110</v>
      </c>
      <c r="D148" s="14">
        <v>5</v>
      </c>
      <c r="E148" s="5" t="s">
        <v>462</v>
      </c>
      <c r="F148" s="4" t="s">
        <v>450</v>
      </c>
      <c r="G148" s="6" t="s">
        <v>463</v>
      </c>
      <c r="H148" s="6" t="s">
        <v>113</v>
      </c>
      <c r="I148" s="6" t="s">
        <v>615</v>
      </c>
    </row>
    <row r="149" spans="1:9">
      <c r="A149" s="7" t="s">
        <v>108</v>
      </c>
      <c r="B149" s="15">
        <v>46102</v>
      </c>
      <c r="C149" s="5" t="s">
        <v>110</v>
      </c>
      <c r="D149" s="14">
        <v>6</v>
      </c>
      <c r="E149" s="5" t="s">
        <v>465</v>
      </c>
      <c r="F149" s="4" t="s">
        <v>450</v>
      </c>
      <c r="G149" s="6" t="s">
        <v>466</v>
      </c>
      <c r="H149" s="6" t="s">
        <v>113</v>
      </c>
      <c r="I149" s="6" t="s">
        <v>616</v>
      </c>
    </row>
    <row r="150" spans="1:9">
      <c r="A150" s="7" t="s">
        <v>108</v>
      </c>
      <c r="B150" s="15">
        <v>46102</v>
      </c>
      <c r="C150" s="5" t="s">
        <v>110</v>
      </c>
      <c r="D150" s="14">
        <v>7</v>
      </c>
      <c r="E150" s="5" t="s">
        <v>468</v>
      </c>
      <c r="F150" s="4" t="s">
        <v>498</v>
      </c>
      <c r="G150" s="6" t="s">
        <v>469</v>
      </c>
      <c r="H150" s="6" t="s">
        <v>113</v>
      </c>
      <c r="I150" s="6" t="s">
        <v>617</v>
      </c>
    </row>
    <row r="151" spans="1:9">
      <c r="A151" s="7" t="s">
        <v>108</v>
      </c>
      <c r="B151" s="15">
        <v>46102</v>
      </c>
      <c r="C151" s="5" t="s">
        <v>110</v>
      </c>
      <c r="D151" s="14">
        <v>8</v>
      </c>
      <c r="E151" s="5" t="s">
        <v>471</v>
      </c>
      <c r="F151" s="4" t="s">
        <v>450</v>
      </c>
      <c r="G151" s="6" t="s">
        <v>472</v>
      </c>
      <c r="H151" s="6" t="s">
        <v>113</v>
      </c>
      <c r="I151" s="6" t="s">
        <v>618</v>
      </c>
    </row>
    <row r="152" spans="1:9">
      <c r="A152" s="7" t="s">
        <v>108</v>
      </c>
      <c r="B152" s="15">
        <v>46102</v>
      </c>
      <c r="C152" s="5" t="s">
        <v>110</v>
      </c>
      <c r="D152" s="14">
        <v>9</v>
      </c>
      <c r="E152" s="5" t="s">
        <v>474</v>
      </c>
      <c r="F152" s="4" t="s">
        <v>450</v>
      </c>
      <c r="G152" s="6" t="s">
        <v>475</v>
      </c>
      <c r="H152" s="6" t="s">
        <v>113</v>
      </c>
      <c r="I152" s="6" t="s">
        <v>619</v>
      </c>
    </row>
    <row r="153" spans="1:9">
      <c r="A153" s="7" t="s">
        <v>108</v>
      </c>
      <c r="B153" s="15">
        <v>46102</v>
      </c>
      <c r="C153" s="5" t="s">
        <v>110</v>
      </c>
      <c r="D153" s="14">
        <v>10</v>
      </c>
      <c r="E153" s="5" t="s">
        <v>477</v>
      </c>
      <c r="F153" s="4" t="s">
        <v>450</v>
      </c>
      <c r="G153" s="6" t="s">
        <v>478</v>
      </c>
      <c r="H153" s="6" t="s">
        <v>113</v>
      </c>
      <c r="I153" s="6" t="s">
        <v>620</v>
      </c>
    </row>
    <row r="154" spans="1:9">
      <c r="A154" s="7" t="s">
        <v>114</v>
      </c>
      <c r="B154" s="15">
        <v>46136</v>
      </c>
      <c r="C154" s="5" t="s">
        <v>116</v>
      </c>
      <c r="D154" s="14">
        <v>1</v>
      </c>
      <c r="E154" s="5" t="s">
        <v>449</v>
      </c>
      <c r="F154" s="4" t="s">
        <v>450</v>
      </c>
      <c r="G154" s="6" t="s">
        <v>451</v>
      </c>
      <c r="H154" s="6" t="s">
        <v>119</v>
      </c>
      <c r="I154" s="6" t="s">
        <v>621</v>
      </c>
    </row>
    <row r="155" spans="1:9">
      <c r="A155" s="7" t="s">
        <v>114</v>
      </c>
      <c r="B155" s="15">
        <v>46136</v>
      </c>
      <c r="C155" s="5" t="s">
        <v>116</v>
      </c>
      <c r="D155" s="14">
        <v>2</v>
      </c>
      <c r="E155" s="5" t="s">
        <v>453</v>
      </c>
      <c r="F155" s="4" t="s">
        <v>450</v>
      </c>
      <c r="G155" s="6" t="s">
        <v>454</v>
      </c>
      <c r="H155" s="6" t="s">
        <v>119</v>
      </c>
      <c r="I155" s="6" t="s">
        <v>622</v>
      </c>
    </row>
    <row r="156" spans="1:9">
      <c r="A156" s="7" t="s">
        <v>114</v>
      </c>
      <c r="B156" s="15">
        <v>46136</v>
      </c>
      <c r="C156" s="5" t="s">
        <v>116</v>
      </c>
      <c r="D156" s="14">
        <v>3</v>
      </c>
      <c r="E156" s="5" t="s">
        <v>456</v>
      </c>
      <c r="F156" s="4" t="s">
        <v>450</v>
      </c>
      <c r="G156" s="6" t="s">
        <v>457</v>
      </c>
      <c r="H156" s="6" t="s">
        <v>119</v>
      </c>
      <c r="I156" s="6" t="s">
        <v>623</v>
      </c>
    </row>
    <row r="157" spans="1:9">
      <c r="A157" s="7" t="s">
        <v>114</v>
      </c>
      <c r="B157" s="15">
        <v>46136</v>
      </c>
      <c r="C157" s="5" t="s">
        <v>116</v>
      </c>
      <c r="D157" s="14">
        <v>4</v>
      </c>
      <c r="E157" s="5" t="s">
        <v>459</v>
      </c>
      <c r="F157" s="4" t="s">
        <v>498</v>
      </c>
      <c r="G157" s="6" t="s">
        <v>460</v>
      </c>
      <c r="H157" s="6" t="s">
        <v>119</v>
      </c>
      <c r="I157" s="6" t="s">
        <v>624</v>
      </c>
    </row>
    <row r="158" spans="1:9">
      <c r="A158" s="7" t="s">
        <v>114</v>
      </c>
      <c r="B158" s="15">
        <v>46136</v>
      </c>
      <c r="C158" s="5" t="s">
        <v>116</v>
      </c>
      <c r="D158" s="14">
        <v>5</v>
      </c>
      <c r="E158" s="5" t="s">
        <v>462</v>
      </c>
      <c r="F158" s="4" t="s">
        <v>450</v>
      </c>
      <c r="G158" s="6" t="s">
        <v>463</v>
      </c>
      <c r="H158" s="6" t="s">
        <v>119</v>
      </c>
      <c r="I158" s="6" t="s">
        <v>625</v>
      </c>
    </row>
    <row r="159" spans="1:9">
      <c r="A159" s="7" t="s">
        <v>114</v>
      </c>
      <c r="B159" s="15">
        <v>46136</v>
      </c>
      <c r="C159" s="5" t="s">
        <v>116</v>
      </c>
      <c r="D159" s="14">
        <v>6</v>
      </c>
      <c r="E159" s="5" t="s">
        <v>465</v>
      </c>
      <c r="F159" s="4" t="s">
        <v>450</v>
      </c>
      <c r="G159" s="6" t="s">
        <v>466</v>
      </c>
      <c r="H159" s="6" t="s">
        <v>119</v>
      </c>
      <c r="I159" s="6" t="s">
        <v>626</v>
      </c>
    </row>
    <row r="160" spans="1:9">
      <c r="A160" s="7" t="s">
        <v>114</v>
      </c>
      <c r="B160" s="15">
        <v>46136</v>
      </c>
      <c r="C160" s="5" t="s">
        <v>116</v>
      </c>
      <c r="D160" s="14">
        <v>7</v>
      </c>
      <c r="E160" s="5" t="s">
        <v>468</v>
      </c>
      <c r="F160" s="4" t="s">
        <v>450</v>
      </c>
      <c r="G160" s="6" t="s">
        <v>469</v>
      </c>
      <c r="H160" s="6" t="s">
        <v>119</v>
      </c>
      <c r="I160" s="6" t="s">
        <v>627</v>
      </c>
    </row>
    <row r="161" spans="1:9">
      <c r="A161" s="7" t="s">
        <v>114</v>
      </c>
      <c r="B161" s="15">
        <v>46136</v>
      </c>
      <c r="C161" s="5" t="s">
        <v>116</v>
      </c>
      <c r="D161" s="14">
        <v>8</v>
      </c>
      <c r="E161" s="5" t="s">
        <v>471</v>
      </c>
      <c r="F161" s="4" t="s">
        <v>450</v>
      </c>
      <c r="G161" s="6" t="s">
        <v>472</v>
      </c>
      <c r="H161" s="6" t="s">
        <v>119</v>
      </c>
      <c r="I161" s="6" t="s">
        <v>628</v>
      </c>
    </row>
    <row r="162" spans="1:9">
      <c r="A162" s="7" t="s">
        <v>114</v>
      </c>
      <c r="B162" s="15">
        <v>46136</v>
      </c>
      <c r="C162" s="5" t="s">
        <v>116</v>
      </c>
      <c r="D162" s="14">
        <v>9</v>
      </c>
      <c r="E162" s="5" t="s">
        <v>474</v>
      </c>
      <c r="F162" s="4" t="s">
        <v>450</v>
      </c>
      <c r="G162" s="6" t="s">
        <v>475</v>
      </c>
      <c r="H162" s="6" t="s">
        <v>119</v>
      </c>
      <c r="I162" s="6" t="s">
        <v>629</v>
      </c>
    </row>
    <row r="163" spans="1:9">
      <c r="A163" s="7" t="s">
        <v>114</v>
      </c>
      <c r="B163" s="15">
        <v>46136</v>
      </c>
      <c r="C163" s="5" t="s">
        <v>116</v>
      </c>
      <c r="D163" s="14">
        <v>10</v>
      </c>
      <c r="E163" s="5" t="s">
        <v>477</v>
      </c>
      <c r="F163" s="4" t="s">
        <v>450</v>
      </c>
      <c r="G163" s="6" t="s">
        <v>478</v>
      </c>
      <c r="H163" s="6" t="s">
        <v>119</v>
      </c>
      <c r="I163" s="6" t="s">
        <v>630</v>
      </c>
    </row>
    <row r="164" spans="1:9">
      <c r="A164" s="7" t="s">
        <v>120</v>
      </c>
      <c r="B164" s="15">
        <v>46144</v>
      </c>
      <c r="C164" s="5" t="s">
        <v>122</v>
      </c>
      <c r="D164" s="14">
        <v>1</v>
      </c>
      <c r="E164" s="5" t="s">
        <v>449</v>
      </c>
      <c r="F164" s="4" t="s">
        <v>498</v>
      </c>
      <c r="G164" s="6" t="s">
        <v>451</v>
      </c>
      <c r="H164" s="6" t="s">
        <v>125</v>
      </c>
      <c r="I164" s="6" t="s">
        <v>631</v>
      </c>
    </row>
    <row r="165" spans="1:9">
      <c r="A165" s="7" t="s">
        <v>120</v>
      </c>
      <c r="B165" s="15">
        <v>46144</v>
      </c>
      <c r="C165" s="5" t="s">
        <v>122</v>
      </c>
      <c r="D165" s="14">
        <v>2</v>
      </c>
      <c r="E165" s="5" t="s">
        <v>453</v>
      </c>
      <c r="F165" s="4" t="s">
        <v>450</v>
      </c>
      <c r="G165" s="6" t="s">
        <v>454</v>
      </c>
      <c r="H165" s="6" t="s">
        <v>125</v>
      </c>
      <c r="I165" s="6" t="s">
        <v>632</v>
      </c>
    </row>
    <row r="166" spans="1:9">
      <c r="A166" s="7" t="s">
        <v>120</v>
      </c>
      <c r="B166" s="15">
        <v>46144</v>
      </c>
      <c r="C166" s="5" t="s">
        <v>122</v>
      </c>
      <c r="D166" s="14">
        <v>3</v>
      </c>
      <c r="E166" s="5" t="s">
        <v>456</v>
      </c>
      <c r="F166" s="4" t="s">
        <v>450</v>
      </c>
      <c r="G166" s="6" t="s">
        <v>457</v>
      </c>
      <c r="H166" s="6" t="s">
        <v>125</v>
      </c>
      <c r="I166" s="6" t="s">
        <v>633</v>
      </c>
    </row>
    <row r="167" spans="1:9">
      <c r="A167" s="7" t="s">
        <v>120</v>
      </c>
      <c r="B167" s="15">
        <v>46144</v>
      </c>
      <c r="C167" s="5" t="s">
        <v>122</v>
      </c>
      <c r="D167" s="14">
        <v>4</v>
      </c>
      <c r="E167" s="5" t="s">
        <v>459</v>
      </c>
      <c r="F167" s="4" t="s">
        <v>450</v>
      </c>
      <c r="G167" s="6" t="s">
        <v>460</v>
      </c>
      <c r="H167" s="6" t="s">
        <v>125</v>
      </c>
      <c r="I167" s="6" t="s">
        <v>634</v>
      </c>
    </row>
    <row r="168" spans="1:9">
      <c r="A168" s="7" t="s">
        <v>120</v>
      </c>
      <c r="B168" s="15">
        <v>46144</v>
      </c>
      <c r="C168" s="5" t="s">
        <v>122</v>
      </c>
      <c r="D168" s="14">
        <v>5</v>
      </c>
      <c r="E168" s="5" t="s">
        <v>462</v>
      </c>
      <c r="F168" s="4" t="s">
        <v>450</v>
      </c>
      <c r="G168" s="6" t="s">
        <v>463</v>
      </c>
      <c r="H168" s="6" t="s">
        <v>125</v>
      </c>
      <c r="I168" s="6" t="s">
        <v>635</v>
      </c>
    </row>
    <row r="169" spans="1:9">
      <c r="A169" s="7" t="s">
        <v>120</v>
      </c>
      <c r="B169" s="15">
        <v>46144</v>
      </c>
      <c r="C169" s="5" t="s">
        <v>122</v>
      </c>
      <c r="D169" s="14">
        <v>6</v>
      </c>
      <c r="E169" s="5" t="s">
        <v>465</v>
      </c>
      <c r="F169" s="4" t="s">
        <v>450</v>
      </c>
      <c r="G169" s="6" t="s">
        <v>466</v>
      </c>
      <c r="H169" s="6" t="s">
        <v>125</v>
      </c>
      <c r="I169" s="6" t="s">
        <v>636</v>
      </c>
    </row>
    <row r="170" spans="1:9">
      <c r="A170" s="7" t="s">
        <v>120</v>
      </c>
      <c r="B170" s="15">
        <v>46144</v>
      </c>
      <c r="C170" s="5" t="s">
        <v>122</v>
      </c>
      <c r="D170" s="14">
        <v>7</v>
      </c>
      <c r="E170" s="5" t="s">
        <v>468</v>
      </c>
      <c r="F170" s="4" t="s">
        <v>450</v>
      </c>
      <c r="G170" s="6" t="s">
        <v>469</v>
      </c>
      <c r="H170" s="6" t="s">
        <v>125</v>
      </c>
      <c r="I170" s="6" t="s">
        <v>637</v>
      </c>
    </row>
    <row r="171" spans="1:9">
      <c r="A171" s="7" t="s">
        <v>120</v>
      </c>
      <c r="B171" s="15">
        <v>46144</v>
      </c>
      <c r="C171" s="5" t="s">
        <v>122</v>
      </c>
      <c r="D171" s="14">
        <v>8</v>
      </c>
      <c r="E171" s="5" t="s">
        <v>471</v>
      </c>
      <c r="F171" s="4" t="s">
        <v>450</v>
      </c>
      <c r="G171" s="6" t="s">
        <v>472</v>
      </c>
      <c r="H171" s="6" t="s">
        <v>125</v>
      </c>
      <c r="I171" s="6" t="s">
        <v>638</v>
      </c>
    </row>
    <row r="172" spans="1:9">
      <c r="A172" s="7" t="s">
        <v>120</v>
      </c>
      <c r="B172" s="15">
        <v>46144</v>
      </c>
      <c r="C172" s="5" t="s">
        <v>122</v>
      </c>
      <c r="D172" s="14">
        <v>9</v>
      </c>
      <c r="E172" s="5" t="s">
        <v>474</v>
      </c>
      <c r="F172" s="4" t="s">
        <v>450</v>
      </c>
      <c r="G172" s="6" t="s">
        <v>475</v>
      </c>
      <c r="H172" s="6" t="s">
        <v>125</v>
      </c>
      <c r="I172" s="6" t="s">
        <v>639</v>
      </c>
    </row>
    <row r="173" spans="1:9">
      <c r="A173" s="7" t="s">
        <v>120</v>
      </c>
      <c r="B173" s="15">
        <v>46144</v>
      </c>
      <c r="C173" s="5" t="s">
        <v>122</v>
      </c>
      <c r="D173" s="14">
        <v>10</v>
      </c>
      <c r="E173" s="5" t="s">
        <v>477</v>
      </c>
      <c r="F173" s="4" t="s">
        <v>450</v>
      </c>
      <c r="G173" s="6" t="s">
        <v>478</v>
      </c>
      <c r="H173" s="6" t="s">
        <v>125</v>
      </c>
      <c r="I173" s="6" t="s">
        <v>640</v>
      </c>
    </row>
    <row r="174" spans="1:9">
      <c r="A174" s="7" t="s">
        <v>126</v>
      </c>
      <c r="B174" s="15">
        <v>46178</v>
      </c>
      <c r="C174" s="5" t="s">
        <v>128</v>
      </c>
      <c r="D174" s="14">
        <v>1</v>
      </c>
      <c r="E174" s="5" t="s">
        <v>449</v>
      </c>
      <c r="F174" s="4" t="s">
        <v>450</v>
      </c>
      <c r="G174" s="6" t="s">
        <v>451</v>
      </c>
      <c r="H174" s="6" t="s">
        <v>131</v>
      </c>
      <c r="I174" s="6" t="s">
        <v>641</v>
      </c>
    </row>
    <row r="175" spans="1:9">
      <c r="A175" s="7" t="s">
        <v>126</v>
      </c>
      <c r="B175" s="15">
        <v>46178</v>
      </c>
      <c r="C175" s="5" t="s">
        <v>128</v>
      </c>
      <c r="D175" s="14">
        <v>2</v>
      </c>
      <c r="E175" s="5" t="s">
        <v>453</v>
      </c>
      <c r="F175" s="4" t="s">
        <v>450</v>
      </c>
      <c r="G175" s="6" t="s">
        <v>454</v>
      </c>
      <c r="H175" s="6" t="s">
        <v>131</v>
      </c>
      <c r="I175" s="6" t="s">
        <v>642</v>
      </c>
    </row>
    <row r="176" spans="1:9">
      <c r="A176" s="7" t="s">
        <v>126</v>
      </c>
      <c r="B176" s="15">
        <v>46178</v>
      </c>
      <c r="C176" s="5" t="s">
        <v>128</v>
      </c>
      <c r="D176" s="14">
        <v>3</v>
      </c>
      <c r="E176" s="5" t="s">
        <v>456</v>
      </c>
      <c r="F176" s="4" t="s">
        <v>450</v>
      </c>
      <c r="G176" s="6" t="s">
        <v>457</v>
      </c>
      <c r="H176" s="6" t="s">
        <v>131</v>
      </c>
      <c r="I176" s="6" t="s">
        <v>643</v>
      </c>
    </row>
    <row r="177" spans="1:9">
      <c r="A177" s="7" t="s">
        <v>126</v>
      </c>
      <c r="B177" s="15">
        <v>46178</v>
      </c>
      <c r="C177" s="5" t="s">
        <v>128</v>
      </c>
      <c r="D177" s="14">
        <v>4</v>
      </c>
      <c r="E177" s="5" t="s">
        <v>459</v>
      </c>
      <c r="F177" s="4" t="s">
        <v>450</v>
      </c>
      <c r="G177" s="6" t="s">
        <v>460</v>
      </c>
      <c r="H177" s="6" t="s">
        <v>131</v>
      </c>
      <c r="I177" s="6" t="s">
        <v>644</v>
      </c>
    </row>
    <row r="178" spans="1:9">
      <c r="A178" s="7" t="s">
        <v>126</v>
      </c>
      <c r="B178" s="15">
        <v>46178</v>
      </c>
      <c r="C178" s="5" t="s">
        <v>128</v>
      </c>
      <c r="D178" s="14">
        <v>5</v>
      </c>
      <c r="E178" s="5" t="s">
        <v>462</v>
      </c>
      <c r="F178" s="4" t="s">
        <v>450</v>
      </c>
      <c r="G178" s="6" t="s">
        <v>463</v>
      </c>
      <c r="H178" s="6" t="s">
        <v>131</v>
      </c>
      <c r="I178" s="6" t="s">
        <v>645</v>
      </c>
    </row>
    <row r="179" spans="1:9">
      <c r="A179" s="7" t="s">
        <v>126</v>
      </c>
      <c r="B179" s="15">
        <v>46178</v>
      </c>
      <c r="C179" s="5" t="s">
        <v>128</v>
      </c>
      <c r="D179" s="14">
        <v>6</v>
      </c>
      <c r="E179" s="5" t="s">
        <v>465</v>
      </c>
      <c r="F179" s="4" t="s">
        <v>450</v>
      </c>
      <c r="G179" s="6" t="s">
        <v>466</v>
      </c>
      <c r="H179" s="6" t="s">
        <v>131</v>
      </c>
      <c r="I179" s="6" t="s">
        <v>646</v>
      </c>
    </row>
    <row r="180" spans="1:9">
      <c r="A180" s="7" t="s">
        <v>126</v>
      </c>
      <c r="B180" s="15">
        <v>46178</v>
      </c>
      <c r="C180" s="5" t="s">
        <v>128</v>
      </c>
      <c r="D180" s="14">
        <v>7</v>
      </c>
      <c r="E180" s="5" t="s">
        <v>468</v>
      </c>
      <c r="F180" s="4" t="s">
        <v>450</v>
      </c>
      <c r="G180" s="6" t="s">
        <v>469</v>
      </c>
      <c r="H180" s="6" t="s">
        <v>131</v>
      </c>
      <c r="I180" s="6" t="s">
        <v>647</v>
      </c>
    </row>
    <row r="181" spans="1:9">
      <c r="A181" s="7" t="s">
        <v>126</v>
      </c>
      <c r="B181" s="15">
        <v>46178</v>
      </c>
      <c r="C181" s="5" t="s">
        <v>128</v>
      </c>
      <c r="D181" s="14">
        <v>8</v>
      </c>
      <c r="E181" s="5" t="s">
        <v>471</v>
      </c>
      <c r="F181" s="4" t="s">
        <v>450</v>
      </c>
      <c r="G181" s="6" t="s">
        <v>472</v>
      </c>
      <c r="H181" s="6" t="s">
        <v>131</v>
      </c>
      <c r="I181" s="6" t="s">
        <v>648</v>
      </c>
    </row>
    <row r="182" spans="1:9">
      <c r="A182" s="7" t="s">
        <v>126</v>
      </c>
      <c r="B182" s="15">
        <v>46178</v>
      </c>
      <c r="C182" s="5" t="s">
        <v>128</v>
      </c>
      <c r="D182" s="14">
        <v>9</v>
      </c>
      <c r="E182" s="5" t="s">
        <v>474</v>
      </c>
      <c r="F182" s="4" t="s">
        <v>450</v>
      </c>
      <c r="G182" s="6" t="s">
        <v>475</v>
      </c>
      <c r="H182" s="6" t="s">
        <v>131</v>
      </c>
      <c r="I182" s="6" t="s">
        <v>649</v>
      </c>
    </row>
    <row r="183" spans="1:9">
      <c r="A183" s="7" t="s">
        <v>126</v>
      </c>
      <c r="B183" s="15">
        <v>46178</v>
      </c>
      <c r="C183" s="5" t="s">
        <v>128</v>
      </c>
      <c r="D183" s="14">
        <v>10</v>
      </c>
      <c r="E183" s="5" t="s">
        <v>477</v>
      </c>
      <c r="F183" s="4" t="s">
        <v>450</v>
      </c>
      <c r="G183" s="6" t="s">
        <v>478</v>
      </c>
      <c r="H183" s="6" t="s">
        <v>131</v>
      </c>
      <c r="I183" s="6" t="s">
        <v>650</v>
      </c>
    </row>
    <row r="184" spans="1:9">
      <c r="A184" s="7" t="s">
        <v>132</v>
      </c>
      <c r="B184" s="15">
        <v>46030</v>
      </c>
      <c r="C184" s="5" t="s">
        <v>134</v>
      </c>
      <c r="D184" s="14">
        <v>1</v>
      </c>
      <c r="E184" s="5" t="s">
        <v>449</v>
      </c>
      <c r="F184" s="4" t="s">
        <v>450</v>
      </c>
      <c r="G184" s="6" t="s">
        <v>451</v>
      </c>
      <c r="H184" s="6" t="s">
        <v>137</v>
      </c>
      <c r="I184" s="6" t="s">
        <v>651</v>
      </c>
    </row>
    <row r="185" spans="1:9">
      <c r="A185" s="7" t="s">
        <v>132</v>
      </c>
      <c r="B185" s="15">
        <v>46030</v>
      </c>
      <c r="C185" s="5" t="s">
        <v>134</v>
      </c>
      <c r="D185" s="14">
        <v>2</v>
      </c>
      <c r="E185" s="5" t="s">
        <v>453</v>
      </c>
      <c r="F185" s="4" t="s">
        <v>450</v>
      </c>
      <c r="G185" s="6" t="s">
        <v>454</v>
      </c>
      <c r="H185" s="6" t="s">
        <v>137</v>
      </c>
      <c r="I185" s="6" t="s">
        <v>652</v>
      </c>
    </row>
    <row r="186" spans="1:9">
      <c r="A186" s="7" t="s">
        <v>132</v>
      </c>
      <c r="B186" s="15">
        <v>46030</v>
      </c>
      <c r="C186" s="5" t="s">
        <v>134</v>
      </c>
      <c r="D186" s="14">
        <v>3</v>
      </c>
      <c r="E186" s="5" t="s">
        <v>456</v>
      </c>
      <c r="F186" s="4" t="s">
        <v>450</v>
      </c>
      <c r="G186" s="6" t="s">
        <v>457</v>
      </c>
      <c r="H186" s="6" t="s">
        <v>137</v>
      </c>
      <c r="I186" s="6" t="s">
        <v>653</v>
      </c>
    </row>
    <row r="187" spans="1:9">
      <c r="A187" s="7" t="s">
        <v>132</v>
      </c>
      <c r="B187" s="15">
        <v>46030</v>
      </c>
      <c r="C187" s="5" t="s">
        <v>134</v>
      </c>
      <c r="D187" s="14">
        <v>4</v>
      </c>
      <c r="E187" s="5" t="s">
        <v>459</v>
      </c>
      <c r="F187" s="4" t="s">
        <v>450</v>
      </c>
      <c r="G187" s="6" t="s">
        <v>460</v>
      </c>
      <c r="H187" s="6" t="s">
        <v>137</v>
      </c>
      <c r="I187" s="6" t="s">
        <v>654</v>
      </c>
    </row>
    <row r="188" spans="1:9">
      <c r="A188" s="7" t="s">
        <v>132</v>
      </c>
      <c r="B188" s="15">
        <v>46030</v>
      </c>
      <c r="C188" s="5" t="s">
        <v>134</v>
      </c>
      <c r="D188" s="14">
        <v>5</v>
      </c>
      <c r="E188" s="5" t="s">
        <v>462</v>
      </c>
      <c r="F188" s="4" t="s">
        <v>450</v>
      </c>
      <c r="G188" s="6" t="s">
        <v>463</v>
      </c>
      <c r="H188" s="6" t="s">
        <v>137</v>
      </c>
      <c r="I188" s="6" t="s">
        <v>655</v>
      </c>
    </row>
    <row r="189" spans="1:9">
      <c r="A189" s="7" t="s">
        <v>132</v>
      </c>
      <c r="B189" s="15">
        <v>46030</v>
      </c>
      <c r="C189" s="5" t="s">
        <v>134</v>
      </c>
      <c r="D189" s="14">
        <v>6</v>
      </c>
      <c r="E189" s="5" t="s">
        <v>465</v>
      </c>
      <c r="F189" s="4" t="s">
        <v>450</v>
      </c>
      <c r="G189" s="6" t="s">
        <v>466</v>
      </c>
      <c r="H189" s="6" t="s">
        <v>137</v>
      </c>
      <c r="I189" s="6" t="s">
        <v>656</v>
      </c>
    </row>
    <row r="190" spans="1:9">
      <c r="A190" s="7" t="s">
        <v>132</v>
      </c>
      <c r="B190" s="15">
        <v>46030</v>
      </c>
      <c r="C190" s="5" t="s">
        <v>134</v>
      </c>
      <c r="D190" s="14">
        <v>7</v>
      </c>
      <c r="E190" s="5" t="s">
        <v>468</v>
      </c>
      <c r="F190" s="4" t="s">
        <v>450</v>
      </c>
      <c r="G190" s="6" t="s">
        <v>469</v>
      </c>
      <c r="H190" s="6" t="s">
        <v>137</v>
      </c>
      <c r="I190" s="6" t="s">
        <v>657</v>
      </c>
    </row>
    <row r="191" spans="1:9">
      <c r="A191" s="7" t="s">
        <v>132</v>
      </c>
      <c r="B191" s="15">
        <v>46030</v>
      </c>
      <c r="C191" s="5" t="s">
        <v>134</v>
      </c>
      <c r="D191" s="14">
        <v>8</v>
      </c>
      <c r="E191" s="5" t="s">
        <v>471</v>
      </c>
      <c r="F191" s="4" t="s">
        <v>450</v>
      </c>
      <c r="G191" s="6" t="s">
        <v>472</v>
      </c>
      <c r="H191" s="6" t="s">
        <v>137</v>
      </c>
      <c r="I191" s="6" t="s">
        <v>658</v>
      </c>
    </row>
    <row r="192" spans="1:9">
      <c r="A192" s="7" t="s">
        <v>132</v>
      </c>
      <c r="B192" s="15">
        <v>46030</v>
      </c>
      <c r="C192" s="5" t="s">
        <v>134</v>
      </c>
      <c r="D192" s="14">
        <v>9</v>
      </c>
      <c r="E192" s="5" t="s">
        <v>474</v>
      </c>
      <c r="F192" s="4" t="s">
        <v>450</v>
      </c>
      <c r="G192" s="6" t="s">
        <v>475</v>
      </c>
      <c r="H192" s="6" t="s">
        <v>137</v>
      </c>
      <c r="I192" s="6" t="s">
        <v>659</v>
      </c>
    </row>
    <row r="193" spans="1:9">
      <c r="A193" s="7" t="s">
        <v>132</v>
      </c>
      <c r="B193" s="15">
        <v>46030</v>
      </c>
      <c r="C193" s="5" t="s">
        <v>134</v>
      </c>
      <c r="D193" s="14">
        <v>10</v>
      </c>
      <c r="E193" s="5" t="s">
        <v>477</v>
      </c>
      <c r="F193" s="4" t="s">
        <v>450</v>
      </c>
      <c r="G193" s="6" t="s">
        <v>478</v>
      </c>
      <c r="H193" s="6" t="s">
        <v>137</v>
      </c>
      <c r="I193" s="6" t="s">
        <v>660</v>
      </c>
    </row>
    <row r="194" spans="1:9">
      <c r="A194" s="7" t="s">
        <v>138</v>
      </c>
      <c r="B194" s="15">
        <v>46064</v>
      </c>
      <c r="C194" s="5" t="s">
        <v>140</v>
      </c>
      <c r="D194" s="14">
        <v>1</v>
      </c>
      <c r="E194" s="5" t="s">
        <v>449</v>
      </c>
      <c r="F194" s="4" t="s">
        <v>450</v>
      </c>
      <c r="G194" s="6" t="s">
        <v>451</v>
      </c>
      <c r="H194" s="6" t="s">
        <v>143</v>
      </c>
      <c r="I194" s="6" t="s">
        <v>661</v>
      </c>
    </row>
    <row r="195" spans="1:9">
      <c r="A195" s="7" t="s">
        <v>138</v>
      </c>
      <c r="B195" s="15">
        <v>46064</v>
      </c>
      <c r="C195" s="5" t="s">
        <v>140</v>
      </c>
      <c r="D195" s="14">
        <v>2</v>
      </c>
      <c r="E195" s="5" t="s">
        <v>453</v>
      </c>
      <c r="F195" s="4" t="s">
        <v>450</v>
      </c>
      <c r="G195" s="6" t="s">
        <v>454</v>
      </c>
      <c r="H195" s="6" t="s">
        <v>143</v>
      </c>
      <c r="I195" s="6" t="s">
        <v>662</v>
      </c>
    </row>
    <row r="196" spans="1:9">
      <c r="A196" s="7" t="s">
        <v>138</v>
      </c>
      <c r="B196" s="15">
        <v>46064</v>
      </c>
      <c r="C196" s="5" t="s">
        <v>140</v>
      </c>
      <c r="D196" s="14">
        <v>3</v>
      </c>
      <c r="E196" s="5" t="s">
        <v>456</v>
      </c>
      <c r="F196" s="4" t="s">
        <v>450</v>
      </c>
      <c r="G196" s="6" t="s">
        <v>457</v>
      </c>
      <c r="H196" s="6" t="s">
        <v>143</v>
      </c>
      <c r="I196" s="6" t="s">
        <v>663</v>
      </c>
    </row>
    <row r="197" spans="1:9">
      <c r="A197" s="7" t="s">
        <v>138</v>
      </c>
      <c r="B197" s="15">
        <v>46064</v>
      </c>
      <c r="C197" s="5" t="s">
        <v>140</v>
      </c>
      <c r="D197" s="14">
        <v>4</v>
      </c>
      <c r="E197" s="5" t="s">
        <v>459</v>
      </c>
      <c r="F197" s="4" t="s">
        <v>450</v>
      </c>
      <c r="G197" s="6" t="s">
        <v>460</v>
      </c>
      <c r="H197" s="6" t="s">
        <v>143</v>
      </c>
      <c r="I197" s="6" t="s">
        <v>664</v>
      </c>
    </row>
    <row r="198" spans="1:9">
      <c r="A198" s="7" t="s">
        <v>138</v>
      </c>
      <c r="B198" s="15">
        <v>46064</v>
      </c>
      <c r="C198" s="5" t="s">
        <v>140</v>
      </c>
      <c r="D198" s="14">
        <v>5</v>
      </c>
      <c r="E198" s="5" t="s">
        <v>462</v>
      </c>
      <c r="F198" s="4" t="s">
        <v>450</v>
      </c>
      <c r="G198" s="6" t="s">
        <v>463</v>
      </c>
      <c r="H198" s="6" t="s">
        <v>143</v>
      </c>
      <c r="I198" s="6" t="s">
        <v>665</v>
      </c>
    </row>
    <row r="199" spans="1:9">
      <c r="A199" s="7" t="s">
        <v>138</v>
      </c>
      <c r="B199" s="15">
        <v>46064</v>
      </c>
      <c r="C199" s="5" t="s">
        <v>140</v>
      </c>
      <c r="D199" s="14">
        <v>6</v>
      </c>
      <c r="E199" s="5" t="s">
        <v>465</v>
      </c>
      <c r="F199" s="4" t="s">
        <v>450</v>
      </c>
      <c r="G199" s="6" t="s">
        <v>466</v>
      </c>
      <c r="H199" s="6" t="s">
        <v>143</v>
      </c>
      <c r="I199" s="6" t="s">
        <v>666</v>
      </c>
    </row>
    <row r="200" spans="1:9">
      <c r="A200" s="7" t="s">
        <v>138</v>
      </c>
      <c r="B200" s="15">
        <v>46064</v>
      </c>
      <c r="C200" s="5" t="s">
        <v>140</v>
      </c>
      <c r="D200" s="14">
        <v>7</v>
      </c>
      <c r="E200" s="5" t="s">
        <v>468</v>
      </c>
      <c r="F200" s="4" t="s">
        <v>450</v>
      </c>
      <c r="G200" s="6" t="s">
        <v>469</v>
      </c>
      <c r="H200" s="6" t="s">
        <v>143</v>
      </c>
      <c r="I200" s="6" t="s">
        <v>667</v>
      </c>
    </row>
    <row r="201" spans="1:9">
      <c r="A201" s="7" t="s">
        <v>138</v>
      </c>
      <c r="B201" s="15">
        <v>46064</v>
      </c>
      <c r="C201" s="5" t="s">
        <v>140</v>
      </c>
      <c r="D201" s="14">
        <v>8</v>
      </c>
      <c r="E201" s="5" t="s">
        <v>471</v>
      </c>
      <c r="F201" s="4" t="s">
        <v>450</v>
      </c>
      <c r="G201" s="6" t="s">
        <v>472</v>
      </c>
      <c r="H201" s="6" t="s">
        <v>143</v>
      </c>
      <c r="I201" s="6" t="s">
        <v>668</v>
      </c>
    </row>
    <row r="202" spans="1:9">
      <c r="A202" s="7" t="s">
        <v>138</v>
      </c>
      <c r="B202" s="15">
        <v>46064</v>
      </c>
      <c r="C202" s="5" t="s">
        <v>140</v>
      </c>
      <c r="D202" s="14">
        <v>9</v>
      </c>
      <c r="E202" s="5" t="s">
        <v>474</v>
      </c>
      <c r="F202" s="4" t="s">
        <v>498</v>
      </c>
      <c r="G202" s="6" t="s">
        <v>475</v>
      </c>
      <c r="H202" s="6" t="s">
        <v>143</v>
      </c>
      <c r="I202" s="6" t="s">
        <v>669</v>
      </c>
    </row>
    <row r="203" spans="1:9">
      <c r="A203" s="7" t="s">
        <v>138</v>
      </c>
      <c r="B203" s="15">
        <v>46064</v>
      </c>
      <c r="C203" s="5" t="s">
        <v>140</v>
      </c>
      <c r="D203" s="14">
        <v>10</v>
      </c>
      <c r="E203" s="5" t="s">
        <v>477</v>
      </c>
      <c r="F203" s="4" t="s">
        <v>450</v>
      </c>
      <c r="G203" s="6" t="s">
        <v>478</v>
      </c>
      <c r="H203" s="6" t="s">
        <v>143</v>
      </c>
      <c r="I203" s="6" t="s">
        <v>670</v>
      </c>
    </row>
    <row r="204" spans="1:9">
      <c r="A204" s="7" t="s">
        <v>144</v>
      </c>
      <c r="B204" s="15">
        <v>46095</v>
      </c>
      <c r="C204" s="5" t="s">
        <v>146</v>
      </c>
      <c r="D204" s="14">
        <v>1</v>
      </c>
      <c r="E204" s="5" t="s">
        <v>449</v>
      </c>
      <c r="F204" s="4" t="s">
        <v>450</v>
      </c>
      <c r="G204" s="6" t="s">
        <v>451</v>
      </c>
      <c r="H204" s="6" t="s">
        <v>149</v>
      </c>
      <c r="I204" s="6" t="s">
        <v>671</v>
      </c>
    </row>
    <row r="205" spans="1:9">
      <c r="A205" s="7" t="s">
        <v>144</v>
      </c>
      <c r="B205" s="15">
        <v>46095</v>
      </c>
      <c r="C205" s="5" t="s">
        <v>146</v>
      </c>
      <c r="D205" s="14">
        <v>2</v>
      </c>
      <c r="E205" s="5" t="s">
        <v>453</v>
      </c>
      <c r="F205" s="4" t="s">
        <v>450</v>
      </c>
      <c r="G205" s="6" t="s">
        <v>454</v>
      </c>
      <c r="H205" s="6" t="s">
        <v>149</v>
      </c>
      <c r="I205" s="6" t="s">
        <v>672</v>
      </c>
    </row>
    <row r="206" spans="1:9">
      <c r="A206" s="7" t="s">
        <v>144</v>
      </c>
      <c r="B206" s="15">
        <v>46095</v>
      </c>
      <c r="C206" s="5" t="s">
        <v>146</v>
      </c>
      <c r="D206" s="14">
        <v>3</v>
      </c>
      <c r="E206" s="5" t="s">
        <v>456</v>
      </c>
      <c r="F206" s="4" t="s">
        <v>450</v>
      </c>
      <c r="G206" s="6" t="s">
        <v>457</v>
      </c>
      <c r="H206" s="6" t="s">
        <v>149</v>
      </c>
      <c r="I206" s="6" t="s">
        <v>673</v>
      </c>
    </row>
    <row r="207" spans="1:9">
      <c r="A207" s="7" t="s">
        <v>144</v>
      </c>
      <c r="B207" s="15">
        <v>46095</v>
      </c>
      <c r="C207" s="5" t="s">
        <v>146</v>
      </c>
      <c r="D207" s="14">
        <v>4</v>
      </c>
      <c r="E207" s="5" t="s">
        <v>459</v>
      </c>
      <c r="F207" s="4" t="s">
        <v>450</v>
      </c>
      <c r="G207" s="6" t="s">
        <v>460</v>
      </c>
      <c r="H207" s="6" t="s">
        <v>149</v>
      </c>
      <c r="I207" s="6" t="s">
        <v>674</v>
      </c>
    </row>
    <row r="208" spans="1:9">
      <c r="A208" s="7" t="s">
        <v>144</v>
      </c>
      <c r="B208" s="15">
        <v>46095</v>
      </c>
      <c r="C208" s="5" t="s">
        <v>146</v>
      </c>
      <c r="D208" s="14">
        <v>5</v>
      </c>
      <c r="E208" s="5" t="s">
        <v>462</v>
      </c>
      <c r="F208" s="4" t="s">
        <v>450</v>
      </c>
      <c r="G208" s="6" t="s">
        <v>463</v>
      </c>
      <c r="H208" s="6" t="s">
        <v>149</v>
      </c>
      <c r="I208" s="6" t="s">
        <v>675</v>
      </c>
    </row>
    <row r="209" spans="1:9">
      <c r="A209" s="7" t="s">
        <v>144</v>
      </c>
      <c r="B209" s="15">
        <v>46095</v>
      </c>
      <c r="C209" s="5" t="s">
        <v>146</v>
      </c>
      <c r="D209" s="14">
        <v>6</v>
      </c>
      <c r="E209" s="5" t="s">
        <v>465</v>
      </c>
      <c r="F209" s="4" t="s">
        <v>498</v>
      </c>
      <c r="G209" s="6" t="s">
        <v>466</v>
      </c>
      <c r="H209" s="6" t="s">
        <v>149</v>
      </c>
      <c r="I209" s="6" t="s">
        <v>676</v>
      </c>
    </row>
    <row r="210" spans="1:9">
      <c r="A210" s="7" t="s">
        <v>144</v>
      </c>
      <c r="B210" s="15">
        <v>46095</v>
      </c>
      <c r="C210" s="5" t="s">
        <v>146</v>
      </c>
      <c r="D210" s="14">
        <v>7</v>
      </c>
      <c r="E210" s="5" t="s">
        <v>468</v>
      </c>
      <c r="F210" s="4" t="s">
        <v>450</v>
      </c>
      <c r="G210" s="6" t="s">
        <v>469</v>
      </c>
      <c r="H210" s="6" t="s">
        <v>149</v>
      </c>
      <c r="I210" s="6" t="s">
        <v>677</v>
      </c>
    </row>
    <row r="211" spans="1:9">
      <c r="A211" s="7" t="s">
        <v>144</v>
      </c>
      <c r="B211" s="15">
        <v>46095</v>
      </c>
      <c r="C211" s="5" t="s">
        <v>146</v>
      </c>
      <c r="D211" s="14">
        <v>8</v>
      </c>
      <c r="E211" s="5" t="s">
        <v>471</v>
      </c>
      <c r="F211" s="4" t="s">
        <v>450</v>
      </c>
      <c r="G211" s="6" t="s">
        <v>472</v>
      </c>
      <c r="H211" s="6" t="s">
        <v>149</v>
      </c>
      <c r="I211" s="6" t="s">
        <v>678</v>
      </c>
    </row>
    <row r="212" spans="1:9">
      <c r="A212" s="7" t="s">
        <v>144</v>
      </c>
      <c r="B212" s="15">
        <v>46095</v>
      </c>
      <c r="C212" s="5" t="s">
        <v>146</v>
      </c>
      <c r="D212" s="14">
        <v>9</v>
      </c>
      <c r="E212" s="5" t="s">
        <v>474</v>
      </c>
      <c r="F212" s="4" t="s">
        <v>450</v>
      </c>
      <c r="G212" s="6" t="s">
        <v>475</v>
      </c>
      <c r="H212" s="6" t="s">
        <v>149</v>
      </c>
      <c r="I212" s="6" t="s">
        <v>679</v>
      </c>
    </row>
    <row r="213" spans="1:9">
      <c r="A213" s="7" t="s">
        <v>144</v>
      </c>
      <c r="B213" s="15">
        <v>46095</v>
      </c>
      <c r="C213" s="5" t="s">
        <v>146</v>
      </c>
      <c r="D213" s="14">
        <v>10</v>
      </c>
      <c r="E213" s="5" t="s">
        <v>477</v>
      </c>
      <c r="F213" s="4" t="s">
        <v>450</v>
      </c>
      <c r="G213" s="6" t="s">
        <v>478</v>
      </c>
      <c r="H213" s="6" t="s">
        <v>149</v>
      </c>
      <c r="I213" s="6" t="s">
        <v>680</v>
      </c>
    </row>
    <row r="214" spans="1:9">
      <c r="A214" s="7" t="s">
        <v>150</v>
      </c>
      <c r="B214" s="15">
        <v>46129</v>
      </c>
      <c r="C214" s="5" t="s">
        <v>152</v>
      </c>
      <c r="D214" s="14">
        <v>1</v>
      </c>
      <c r="E214" s="5" t="s">
        <v>449</v>
      </c>
      <c r="F214" s="4" t="s">
        <v>450</v>
      </c>
      <c r="G214" s="6" t="s">
        <v>451</v>
      </c>
      <c r="H214" s="6" t="s">
        <v>155</v>
      </c>
      <c r="I214" s="6" t="s">
        <v>681</v>
      </c>
    </row>
    <row r="215" spans="1:9">
      <c r="A215" s="7" t="s">
        <v>150</v>
      </c>
      <c r="B215" s="15">
        <v>46129</v>
      </c>
      <c r="C215" s="5" t="s">
        <v>152</v>
      </c>
      <c r="D215" s="14">
        <v>2</v>
      </c>
      <c r="E215" s="5" t="s">
        <v>453</v>
      </c>
      <c r="F215" s="4" t="s">
        <v>450</v>
      </c>
      <c r="G215" s="6" t="s">
        <v>454</v>
      </c>
      <c r="H215" s="6" t="s">
        <v>155</v>
      </c>
      <c r="I215" s="6" t="s">
        <v>682</v>
      </c>
    </row>
    <row r="216" spans="1:9">
      <c r="A216" s="7" t="s">
        <v>150</v>
      </c>
      <c r="B216" s="15">
        <v>46129</v>
      </c>
      <c r="C216" s="5" t="s">
        <v>152</v>
      </c>
      <c r="D216" s="14">
        <v>3</v>
      </c>
      <c r="E216" s="5" t="s">
        <v>456</v>
      </c>
      <c r="F216" s="4" t="s">
        <v>498</v>
      </c>
      <c r="G216" s="6" t="s">
        <v>457</v>
      </c>
      <c r="H216" s="6" t="s">
        <v>155</v>
      </c>
      <c r="I216" s="6" t="s">
        <v>683</v>
      </c>
    </row>
    <row r="217" spans="1:9">
      <c r="A217" s="7" t="s">
        <v>150</v>
      </c>
      <c r="B217" s="15">
        <v>46129</v>
      </c>
      <c r="C217" s="5" t="s">
        <v>152</v>
      </c>
      <c r="D217" s="14">
        <v>4</v>
      </c>
      <c r="E217" s="5" t="s">
        <v>459</v>
      </c>
      <c r="F217" s="4" t="s">
        <v>450</v>
      </c>
      <c r="G217" s="6" t="s">
        <v>460</v>
      </c>
      <c r="H217" s="6" t="s">
        <v>155</v>
      </c>
      <c r="I217" s="6" t="s">
        <v>684</v>
      </c>
    </row>
    <row r="218" spans="1:9">
      <c r="A218" s="7" t="s">
        <v>150</v>
      </c>
      <c r="B218" s="15">
        <v>46129</v>
      </c>
      <c r="C218" s="5" t="s">
        <v>152</v>
      </c>
      <c r="D218" s="14">
        <v>5</v>
      </c>
      <c r="E218" s="5" t="s">
        <v>462</v>
      </c>
      <c r="F218" s="4" t="s">
        <v>450</v>
      </c>
      <c r="G218" s="6" t="s">
        <v>463</v>
      </c>
      <c r="H218" s="6" t="s">
        <v>155</v>
      </c>
      <c r="I218" s="6" t="s">
        <v>685</v>
      </c>
    </row>
    <row r="219" spans="1:9">
      <c r="A219" s="7" t="s">
        <v>150</v>
      </c>
      <c r="B219" s="15">
        <v>46129</v>
      </c>
      <c r="C219" s="5" t="s">
        <v>152</v>
      </c>
      <c r="D219" s="14">
        <v>6</v>
      </c>
      <c r="E219" s="5" t="s">
        <v>465</v>
      </c>
      <c r="F219" s="4" t="s">
        <v>450</v>
      </c>
      <c r="G219" s="6" t="s">
        <v>466</v>
      </c>
      <c r="H219" s="6" t="s">
        <v>155</v>
      </c>
      <c r="I219" s="6" t="s">
        <v>686</v>
      </c>
    </row>
    <row r="220" spans="1:9">
      <c r="A220" s="7" t="s">
        <v>150</v>
      </c>
      <c r="B220" s="15">
        <v>46129</v>
      </c>
      <c r="C220" s="5" t="s">
        <v>152</v>
      </c>
      <c r="D220" s="14">
        <v>7</v>
      </c>
      <c r="E220" s="5" t="s">
        <v>468</v>
      </c>
      <c r="F220" s="4" t="s">
        <v>450</v>
      </c>
      <c r="G220" s="6" t="s">
        <v>469</v>
      </c>
      <c r="H220" s="6" t="s">
        <v>155</v>
      </c>
      <c r="I220" s="6" t="s">
        <v>687</v>
      </c>
    </row>
    <row r="221" spans="1:9">
      <c r="A221" s="7" t="s">
        <v>150</v>
      </c>
      <c r="B221" s="15">
        <v>46129</v>
      </c>
      <c r="C221" s="5" t="s">
        <v>152</v>
      </c>
      <c r="D221" s="14">
        <v>8</v>
      </c>
      <c r="E221" s="5" t="s">
        <v>471</v>
      </c>
      <c r="F221" s="4" t="s">
        <v>450</v>
      </c>
      <c r="G221" s="6" t="s">
        <v>472</v>
      </c>
      <c r="H221" s="6" t="s">
        <v>155</v>
      </c>
      <c r="I221" s="6" t="s">
        <v>688</v>
      </c>
    </row>
    <row r="222" spans="1:9">
      <c r="A222" s="7" t="s">
        <v>150</v>
      </c>
      <c r="B222" s="15">
        <v>46129</v>
      </c>
      <c r="C222" s="5" t="s">
        <v>152</v>
      </c>
      <c r="D222" s="14">
        <v>9</v>
      </c>
      <c r="E222" s="5" t="s">
        <v>474</v>
      </c>
      <c r="F222" s="4" t="s">
        <v>450</v>
      </c>
      <c r="G222" s="6" t="s">
        <v>475</v>
      </c>
      <c r="H222" s="6" t="s">
        <v>155</v>
      </c>
      <c r="I222" s="6" t="s">
        <v>689</v>
      </c>
    </row>
    <row r="223" spans="1:9">
      <c r="A223" s="7" t="s">
        <v>150</v>
      </c>
      <c r="B223" s="15">
        <v>46129</v>
      </c>
      <c r="C223" s="5" t="s">
        <v>152</v>
      </c>
      <c r="D223" s="14">
        <v>10</v>
      </c>
      <c r="E223" s="5" t="s">
        <v>477</v>
      </c>
      <c r="F223" s="4" t="s">
        <v>450</v>
      </c>
      <c r="G223" s="6" t="s">
        <v>478</v>
      </c>
      <c r="H223" s="6" t="s">
        <v>155</v>
      </c>
      <c r="I223" s="6" t="s">
        <v>690</v>
      </c>
    </row>
    <row r="224" spans="1:9">
      <c r="A224" s="7" t="s">
        <v>156</v>
      </c>
      <c r="B224" s="15">
        <v>46162</v>
      </c>
      <c r="C224" s="5" t="s">
        <v>158</v>
      </c>
      <c r="D224" s="14">
        <v>1</v>
      </c>
      <c r="E224" s="5" t="s">
        <v>449</v>
      </c>
      <c r="F224" s="4" t="s">
        <v>450</v>
      </c>
      <c r="G224" s="6" t="s">
        <v>451</v>
      </c>
      <c r="H224" s="6" t="s">
        <v>161</v>
      </c>
      <c r="I224" s="6" t="s">
        <v>691</v>
      </c>
    </row>
    <row r="225" spans="1:9">
      <c r="A225" s="7" t="s">
        <v>156</v>
      </c>
      <c r="B225" s="15">
        <v>46162</v>
      </c>
      <c r="C225" s="5" t="s">
        <v>158</v>
      </c>
      <c r="D225" s="14">
        <v>2</v>
      </c>
      <c r="E225" s="5" t="s">
        <v>453</v>
      </c>
      <c r="F225" s="4" t="s">
        <v>450</v>
      </c>
      <c r="G225" s="6" t="s">
        <v>454</v>
      </c>
      <c r="H225" s="6" t="s">
        <v>161</v>
      </c>
      <c r="I225" s="6" t="s">
        <v>692</v>
      </c>
    </row>
    <row r="226" spans="1:9">
      <c r="A226" s="7" t="s">
        <v>156</v>
      </c>
      <c r="B226" s="15">
        <v>46162</v>
      </c>
      <c r="C226" s="5" t="s">
        <v>158</v>
      </c>
      <c r="D226" s="14">
        <v>3</v>
      </c>
      <c r="E226" s="5" t="s">
        <v>456</v>
      </c>
      <c r="F226" s="4" t="s">
        <v>450</v>
      </c>
      <c r="G226" s="6" t="s">
        <v>457</v>
      </c>
      <c r="H226" s="6" t="s">
        <v>161</v>
      </c>
      <c r="I226" s="6" t="s">
        <v>693</v>
      </c>
    </row>
    <row r="227" spans="1:9">
      <c r="A227" s="7" t="s">
        <v>156</v>
      </c>
      <c r="B227" s="15">
        <v>46162</v>
      </c>
      <c r="C227" s="5" t="s">
        <v>158</v>
      </c>
      <c r="D227" s="14">
        <v>4</v>
      </c>
      <c r="E227" s="5" t="s">
        <v>459</v>
      </c>
      <c r="F227" s="4" t="s">
        <v>450</v>
      </c>
      <c r="G227" s="6" t="s">
        <v>460</v>
      </c>
      <c r="H227" s="6" t="s">
        <v>161</v>
      </c>
      <c r="I227" s="6" t="s">
        <v>694</v>
      </c>
    </row>
    <row r="228" spans="1:9">
      <c r="A228" s="7" t="s">
        <v>156</v>
      </c>
      <c r="B228" s="15">
        <v>46162</v>
      </c>
      <c r="C228" s="5" t="s">
        <v>158</v>
      </c>
      <c r="D228" s="14">
        <v>5</v>
      </c>
      <c r="E228" s="5" t="s">
        <v>462</v>
      </c>
      <c r="F228" s="4" t="s">
        <v>450</v>
      </c>
      <c r="G228" s="6" t="s">
        <v>463</v>
      </c>
      <c r="H228" s="6" t="s">
        <v>161</v>
      </c>
      <c r="I228" s="6" t="s">
        <v>695</v>
      </c>
    </row>
    <row r="229" spans="1:9">
      <c r="A229" s="7" t="s">
        <v>156</v>
      </c>
      <c r="B229" s="15">
        <v>46162</v>
      </c>
      <c r="C229" s="5" t="s">
        <v>158</v>
      </c>
      <c r="D229" s="14">
        <v>6</v>
      </c>
      <c r="E229" s="5" t="s">
        <v>465</v>
      </c>
      <c r="F229" s="4" t="s">
        <v>450</v>
      </c>
      <c r="G229" s="6" t="s">
        <v>466</v>
      </c>
      <c r="H229" s="6" t="s">
        <v>161</v>
      </c>
      <c r="I229" s="6" t="s">
        <v>696</v>
      </c>
    </row>
    <row r="230" spans="1:9">
      <c r="A230" s="7" t="s">
        <v>156</v>
      </c>
      <c r="B230" s="15">
        <v>46162</v>
      </c>
      <c r="C230" s="5" t="s">
        <v>158</v>
      </c>
      <c r="D230" s="14">
        <v>7</v>
      </c>
      <c r="E230" s="5" t="s">
        <v>468</v>
      </c>
      <c r="F230" s="4" t="s">
        <v>450</v>
      </c>
      <c r="G230" s="6" t="s">
        <v>469</v>
      </c>
      <c r="H230" s="6" t="s">
        <v>161</v>
      </c>
      <c r="I230" s="6" t="s">
        <v>697</v>
      </c>
    </row>
    <row r="231" spans="1:9">
      <c r="A231" s="7" t="s">
        <v>156</v>
      </c>
      <c r="B231" s="15">
        <v>46162</v>
      </c>
      <c r="C231" s="5" t="s">
        <v>158</v>
      </c>
      <c r="D231" s="14">
        <v>8</v>
      </c>
      <c r="E231" s="5" t="s">
        <v>471</v>
      </c>
      <c r="F231" s="4" t="s">
        <v>450</v>
      </c>
      <c r="G231" s="6" t="s">
        <v>472</v>
      </c>
      <c r="H231" s="6" t="s">
        <v>161</v>
      </c>
      <c r="I231" s="6" t="s">
        <v>698</v>
      </c>
    </row>
    <row r="232" spans="1:9">
      <c r="A232" s="7" t="s">
        <v>156</v>
      </c>
      <c r="B232" s="15">
        <v>46162</v>
      </c>
      <c r="C232" s="5" t="s">
        <v>158</v>
      </c>
      <c r="D232" s="14">
        <v>9</v>
      </c>
      <c r="E232" s="5" t="s">
        <v>474</v>
      </c>
      <c r="F232" s="4" t="s">
        <v>450</v>
      </c>
      <c r="G232" s="6" t="s">
        <v>475</v>
      </c>
      <c r="H232" s="6" t="s">
        <v>161</v>
      </c>
      <c r="I232" s="6" t="s">
        <v>699</v>
      </c>
    </row>
    <row r="233" spans="1:9">
      <c r="A233" s="7" t="s">
        <v>156</v>
      </c>
      <c r="B233" s="15">
        <v>46162</v>
      </c>
      <c r="C233" s="5" t="s">
        <v>158</v>
      </c>
      <c r="D233" s="14">
        <v>10</v>
      </c>
      <c r="E233" s="5" t="s">
        <v>477</v>
      </c>
      <c r="F233" s="4" t="s">
        <v>450</v>
      </c>
      <c r="G233" s="6" t="s">
        <v>478</v>
      </c>
      <c r="H233" s="6" t="s">
        <v>161</v>
      </c>
      <c r="I233" s="6" t="s">
        <v>700</v>
      </c>
    </row>
    <row r="234" spans="1:9">
      <c r="A234" s="7" t="s">
        <v>162</v>
      </c>
      <c r="B234" s="15">
        <v>46196</v>
      </c>
      <c r="C234" s="5" t="s">
        <v>164</v>
      </c>
      <c r="D234" s="14">
        <v>1</v>
      </c>
      <c r="E234" s="5" t="s">
        <v>449</v>
      </c>
      <c r="F234" s="4" t="s">
        <v>450</v>
      </c>
      <c r="G234" s="6" t="s">
        <v>451</v>
      </c>
      <c r="H234" s="6" t="s">
        <v>167</v>
      </c>
      <c r="I234" s="6" t="s">
        <v>701</v>
      </c>
    </row>
    <row r="235" spans="1:9">
      <c r="A235" s="7" t="s">
        <v>162</v>
      </c>
      <c r="B235" s="15">
        <v>46196</v>
      </c>
      <c r="C235" s="5" t="s">
        <v>164</v>
      </c>
      <c r="D235" s="14">
        <v>2</v>
      </c>
      <c r="E235" s="5" t="s">
        <v>453</v>
      </c>
      <c r="F235" s="4" t="s">
        <v>450</v>
      </c>
      <c r="G235" s="6" t="s">
        <v>454</v>
      </c>
      <c r="H235" s="6" t="s">
        <v>167</v>
      </c>
      <c r="I235" s="6" t="s">
        <v>702</v>
      </c>
    </row>
    <row r="236" spans="1:9">
      <c r="A236" s="7" t="s">
        <v>162</v>
      </c>
      <c r="B236" s="15">
        <v>46196</v>
      </c>
      <c r="C236" s="5" t="s">
        <v>164</v>
      </c>
      <c r="D236" s="14">
        <v>3</v>
      </c>
      <c r="E236" s="5" t="s">
        <v>456</v>
      </c>
      <c r="F236" s="4" t="s">
        <v>450</v>
      </c>
      <c r="G236" s="6" t="s">
        <v>457</v>
      </c>
      <c r="H236" s="6" t="s">
        <v>167</v>
      </c>
      <c r="I236" s="6" t="s">
        <v>703</v>
      </c>
    </row>
    <row r="237" spans="1:9">
      <c r="A237" s="7" t="s">
        <v>162</v>
      </c>
      <c r="B237" s="15">
        <v>46196</v>
      </c>
      <c r="C237" s="5" t="s">
        <v>164</v>
      </c>
      <c r="D237" s="14">
        <v>4</v>
      </c>
      <c r="E237" s="5" t="s">
        <v>459</v>
      </c>
      <c r="F237" s="4" t="s">
        <v>450</v>
      </c>
      <c r="G237" s="6" t="s">
        <v>460</v>
      </c>
      <c r="H237" s="6" t="s">
        <v>167</v>
      </c>
      <c r="I237" s="6" t="s">
        <v>704</v>
      </c>
    </row>
    <row r="238" spans="1:9">
      <c r="A238" s="7" t="s">
        <v>162</v>
      </c>
      <c r="B238" s="15">
        <v>46196</v>
      </c>
      <c r="C238" s="5" t="s">
        <v>164</v>
      </c>
      <c r="D238" s="14">
        <v>5</v>
      </c>
      <c r="E238" s="5" t="s">
        <v>462</v>
      </c>
      <c r="F238" s="4" t="s">
        <v>450</v>
      </c>
      <c r="G238" s="6" t="s">
        <v>463</v>
      </c>
      <c r="H238" s="6" t="s">
        <v>167</v>
      </c>
      <c r="I238" s="6" t="s">
        <v>705</v>
      </c>
    </row>
    <row r="239" spans="1:9">
      <c r="A239" s="7" t="s">
        <v>162</v>
      </c>
      <c r="B239" s="15">
        <v>46196</v>
      </c>
      <c r="C239" s="5" t="s">
        <v>164</v>
      </c>
      <c r="D239" s="14">
        <v>6</v>
      </c>
      <c r="E239" s="5" t="s">
        <v>465</v>
      </c>
      <c r="F239" s="4" t="s">
        <v>450</v>
      </c>
      <c r="G239" s="6" t="s">
        <v>466</v>
      </c>
      <c r="H239" s="6" t="s">
        <v>167</v>
      </c>
      <c r="I239" s="6" t="s">
        <v>706</v>
      </c>
    </row>
    <row r="240" spans="1:9">
      <c r="A240" s="7" t="s">
        <v>162</v>
      </c>
      <c r="B240" s="15">
        <v>46196</v>
      </c>
      <c r="C240" s="5" t="s">
        <v>164</v>
      </c>
      <c r="D240" s="14">
        <v>7</v>
      </c>
      <c r="E240" s="5" t="s">
        <v>468</v>
      </c>
      <c r="F240" s="4" t="s">
        <v>450</v>
      </c>
      <c r="G240" s="6" t="s">
        <v>469</v>
      </c>
      <c r="H240" s="6" t="s">
        <v>167</v>
      </c>
      <c r="I240" s="6" t="s">
        <v>707</v>
      </c>
    </row>
    <row r="241" spans="1:9">
      <c r="A241" s="7" t="s">
        <v>162</v>
      </c>
      <c r="B241" s="15">
        <v>46196</v>
      </c>
      <c r="C241" s="5" t="s">
        <v>164</v>
      </c>
      <c r="D241" s="14">
        <v>8</v>
      </c>
      <c r="E241" s="5" t="s">
        <v>471</v>
      </c>
      <c r="F241" s="4" t="s">
        <v>450</v>
      </c>
      <c r="G241" s="6" t="s">
        <v>472</v>
      </c>
      <c r="H241" s="6" t="s">
        <v>167</v>
      </c>
      <c r="I241" s="6" t="s">
        <v>708</v>
      </c>
    </row>
    <row r="242" spans="1:9">
      <c r="A242" s="7" t="s">
        <v>162</v>
      </c>
      <c r="B242" s="15">
        <v>46196</v>
      </c>
      <c r="C242" s="5" t="s">
        <v>164</v>
      </c>
      <c r="D242" s="14">
        <v>9</v>
      </c>
      <c r="E242" s="5" t="s">
        <v>474</v>
      </c>
      <c r="F242" s="4" t="s">
        <v>450</v>
      </c>
      <c r="G242" s="6" t="s">
        <v>475</v>
      </c>
      <c r="H242" s="6" t="s">
        <v>167</v>
      </c>
      <c r="I242" s="6" t="s">
        <v>709</v>
      </c>
    </row>
    <row r="243" spans="1:9">
      <c r="A243" s="7" t="s">
        <v>162</v>
      </c>
      <c r="B243" s="15">
        <v>46196</v>
      </c>
      <c r="C243" s="5" t="s">
        <v>164</v>
      </c>
      <c r="D243" s="14">
        <v>10</v>
      </c>
      <c r="E243" s="5" t="s">
        <v>477</v>
      </c>
      <c r="F243" s="4" t="s">
        <v>450</v>
      </c>
      <c r="G243" s="6" t="s">
        <v>478</v>
      </c>
      <c r="H243" s="6" t="s">
        <v>167</v>
      </c>
      <c r="I243" s="6" t="s">
        <v>710</v>
      </c>
    </row>
    <row r="244" spans="1:9">
      <c r="A244" s="7" t="s">
        <v>168</v>
      </c>
      <c r="B244" s="15">
        <v>46023</v>
      </c>
      <c r="C244" s="5" t="s">
        <v>170</v>
      </c>
      <c r="D244" s="14">
        <v>1</v>
      </c>
      <c r="E244" s="5" t="s">
        <v>449</v>
      </c>
      <c r="F244" s="4" t="s">
        <v>450</v>
      </c>
      <c r="G244" s="6" t="s">
        <v>451</v>
      </c>
      <c r="H244" s="6" t="s">
        <v>173</v>
      </c>
      <c r="I244" s="6" t="s">
        <v>711</v>
      </c>
    </row>
    <row r="245" spans="1:9">
      <c r="A245" s="7" t="s">
        <v>168</v>
      </c>
      <c r="B245" s="15">
        <v>46023</v>
      </c>
      <c r="C245" s="5" t="s">
        <v>170</v>
      </c>
      <c r="D245" s="14">
        <v>2</v>
      </c>
      <c r="E245" s="5" t="s">
        <v>453</v>
      </c>
      <c r="F245" s="4" t="s">
        <v>450</v>
      </c>
      <c r="G245" s="6" t="s">
        <v>454</v>
      </c>
      <c r="H245" s="6" t="s">
        <v>173</v>
      </c>
      <c r="I245" s="6" t="s">
        <v>712</v>
      </c>
    </row>
    <row r="246" spans="1:9">
      <c r="A246" s="7" t="s">
        <v>168</v>
      </c>
      <c r="B246" s="15">
        <v>46023</v>
      </c>
      <c r="C246" s="5" t="s">
        <v>170</v>
      </c>
      <c r="D246" s="14">
        <v>3</v>
      </c>
      <c r="E246" s="5" t="s">
        <v>456</v>
      </c>
      <c r="F246" s="4" t="s">
        <v>450</v>
      </c>
      <c r="G246" s="6" t="s">
        <v>457</v>
      </c>
      <c r="H246" s="6" t="s">
        <v>173</v>
      </c>
      <c r="I246" s="6" t="s">
        <v>713</v>
      </c>
    </row>
    <row r="247" spans="1:9">
      <c r="A247" s="7" t="s">
        <v>168</v>
      </c>
      <c r="B247" s="15">
        <v>46023</v>
      </c>
      <c r="C247" s="5" t="s">
        <v>170</v>
      </c>
      <c r="D247" s="14">
        <v>4</v>
      </c>
      <c r="E247" s="5" t="s">
        <v>459</v>
      </c>
      <c r="F247" s="4" t="s">
        <v>450</v>
      </c>
      <c r="G247" s="6" t="s">
        <v>460</v>
      </c>
      <c r="H247" s="6" t="s">
        <v>173</v>
      </c>
      <c r="I247" s="6" t="s">
        <v>714</v>
      </c>
    </row>
    <row r="248" spans="1:9">
      <c r="A248" s="7" t="s">
        <v>168</v>
      </c>
      <c r="B248" s="15">
        <v>46023</v>
      </c>
      <c r="C248" s="5" t="s">
        <v>170</v>
      </c>
      <c r="D248" s="14">
        <v>5</v>
      </c>
      <c r="E248" s="5" t="s">
        <v>462</v>
      </c>
      <c r="F248" s="4" t="s">
        <v>450</v>
      </c>
      <c r="G248" s="6" t="s">
        <v>463</v>
      </c>
      <c r="H248" s="6" t="s">
        <v>173</v>
      </c>
      <c r="I248" s="6" t="s">
        <v>715</v>
      </c>
    </row>
    <row r="249" spans="1:9">
      <c r="A249" s="7" t="s">
        <v>168</v>
      </c>
      <c r="B249" s="15">
        <v>46023</v>
      </c>
      <c r="C249" s="5" t="s">
        <v>170</v>
      </c>
      <c r="D249" s="14">
        <v>6</v>
      </c>
      <c r="E249" s="5" t="s">
        <v>465</v>
      </c>
      <c r="F249" s="4" t="s">
        <v>450</v>
      </c>
      <c r="G249" s="6" t="s">
        <v>466</v>
      </c>
      <c r="H249" s="6" t="s">
        <v>173</v>
      </c>
      <c r="I249" s="6" t="s">
        <v>716</v>
      </c>
    </row>
    <row r="250" spans="1:9">
      <c r="A250" s="7" t="s">
        <v>168</v>
      </c>
      <c r="B250" s="15">
        <v>46023</v>
      </c>
      <c r="C250" s="5" t="s">
        <v>170</v>
      </c>
      <c r="D250" s="14">
        <v>7</v>
      </c>
      <c r="E250" s="5" t="s">
        <v>468</v>
      </c>
      <c r="F250" s="4" t="s">
        <v>450</v>
      </c>
      <c r="G250" s="6" t="s">
        <v>469</v>
      </c>
      <c r="H250" s="6" t="s">
        <v>173</v>
      </c>
      <c r="I250" s="6" t="s">
        <v>717</v>
      </c>
    </row>
    <row r="251" spans="1:9">
      <c r="A251" s="7" t="s">
        <v>168</v>
      </c>
      <c r="B251" s="15">
        <v>46023</v>
      </c>
      <c r="C251" s="5" t="s">
        <v>170</v>
      </c>
      <c r="D251" s="14">
        <v>8</v>
      </c>
      <c r="E251" s="5" t="s">
        <v>471</v>
      </c>
      <c r="F251" s="4" t="s">
        <v>450</v>
      </c>
      <c r="G251" s="6" t="s">
        <v>472</v>
      </c>
      <c r="H251" s="6" t="s">
        <v>173</v>
      </c>
      <c r="I251" s="6" t="s">
        <v>718</v>
      </c>
    </row>
    <row r="252" spans="1:9">
      <c r="A252" s="7" t="s">
        <v>168</v>
      </c>
      <c r="B252" s="15">
        <v>46023</v>
      </c>
      <c r="C252" s="5" t="s">
        <v>170</v>
      </c>
      <c r="D252" s="14">
        <v>9</v>
      </c>
      <c r="E252" s="5" t="s">
        <v>474</v>
      </c>
      <c r="F252" s="4" t="s">
        <v>450</v>
      </c>
      <c r="G252" s="6" t="s">
        <v>475</v>
      </c>
      <c r="H252" s="6" t="s">
        <v>173</v>
      </c>
      <c r="I252" s="6" t="s">
        <v>719</v>
      </c>
    </row>
    <row r="253" spans="1:9">
      <c r="A253" s="7" t="s">
        <v>168</v>
      </c>
      <c r="B253" s="15">
        <v>46023</v>
      </c>
      <c r="C253" s="5" t="s">
        <v>170</v>
      </c>
      <c r="D253" s="14">
        <v>10</v>
      </c>
      <c r="E253" s="5" t="s">
        <v>477</v>
      </c>
      <c r="F253" s="4" t="s">
        <v>450</v>
      </c>
      <c r="G253" s="6" t="s">
        <v>478</v>
      </c>
      <c r="H253" s="6" t="s">
        <v>173</v>
      </c>
      <c r="I253" s="6" t="s">
        <v>720</v>
      </c>
    </row>
    <row r="254" spans="1:9">
      <c r="A254" s="7" t="s">
        <v>174</v>
      </c>
      <c r="B254" s="15">
        <v>46057</v>
      </c>
      <c r="C254" s="5" t="s">
        <v>176</v>
      </c>
      <c r="D254" s="14">
        <v>1</v>
      </c>
      <c r="E254" s="5" t="s">
        <v>449</v>
      </c>
      <c r="F254" s="4" t="s">
        <v>450</v>
      </c>
      <c r="G254" s="6" t="s">
        <v>451</v>
      </c>
      <c r="H254" s="6" t="s">
        <v>179</v>
      </c>
      <c r="I254" s="6" t="s">
        <v>721</v>
      </c>
    </row>
    <row r="255" spans="1:9">
      <c r="A255" s="7" t="s">
        <v>174</v>
      </c>
      <c r="B255" s="15">
        <v>46057</v>
      </c>
      <c r="C255" s="5" t="s">
        <v>176</v>
      </c>
      <c r="D255" s="14">
        <v>2</v>
      </c>
      <c r="E255" s="5" t="s">
        <v>453</v>
      </c>
      <c r="F255" s="4" t="s">
        <v>450</v>
      </c>
      <c r="G255" s="6" t="s">
        <v>454</v>
      </c>
      <c r="H255" s="6" t="s">
        <v>179</v>
      </c>
      <c r="I255" s="6" t="s">
        <v>722</v>
      </c>
    </row>
    <row r="256" spans="1:9">
      <c r="A256" s="7" t="s">
        <v>174</v>
      </c>
      <c r="B256" s="15">
        <v>46057</v>
      </c>
      <c r="C256" s="5" t="s">
        <v>176</v>
      </c>
      <c r="D256" s="14">
        <v>3</v>
      </c>
      <c r="E256" s="5" t="s">
        <v>456</v>
      </c>
      <c r="F256" s="4" t="s">
        <v>450</v>
      </c>
      <c r="G256" s="6" t="s">
        <v>457</v>
      </c>
      <c r="H256" s="6" t="s">
        <v>179</v>
      </c>
      <c r="I256" s="6" t="s">
        <v>723</v>
      </c>
    </row>
    <row r="257" spans="1:9">
      <c r="A257" s="7" t="s">
        <v>174</v>
      </c>
      <c r="B257" s="15">
        <v>46057</v>
      </c>
      <c r="C257" s="5" t="s">
        <v>176</v>
      </c>
      <c r="D257" s="14">
        <v>4</v>
      </c>
      <c r="E257" s="5" t="s">
        <v>459</v>
      </c>
      <c r="F257" s="4" t="s">
        <v>450</v>
      </c>
      <c r="G257" s="6" t="s">
        <v>460</v>
      </c>
      <c r="H257" s="6" t="s">
        <v>179</v>
      </c>
      <c r="I257" s="6" t="s">
        <v>724</v>
      </c>
    </row>
    <row r="258" spans="1:9">
      <c r="A258" s="7" t="s">
        <v>174</v>
      </c>
      <c r="B258" s="15">
        <v>46057</v>
      </c>
      <c r="C258" s="5" t="s">
        <v>176</v>
      </c>
      <c r="D258" s="14">
        <v>5</v>
      </c>
      <c r="E258" s="5" t="s">
        <v>462</v>
      </c>
      <c r="F258" s="4" t="s">
        <v>450</v>
      </c>
      <c r="G258" s="6" t="s">
        <v>463</v>
      </c>
      <c r="H258" s="6" t="s">
        <v>179</v>
      </c>
      <c r="I258" s="6" t="s">
        <v>725</v>
      </c>
    </row>
    <row r="259" spans="1:9">
      <c r="A259" s="7" t="s">
        <v>174</v>
      </c>
      <c r="B259" s="15">
        <v>46057</v>
      </c>
      <c r="C259" s="5" t="s">
        <v>176</v>
      </c>
      <c r="D259" s="14">
        <v>6</v>
      </c>
      <c r="E259" s="5" t="s">
        <v>465</v>
      </c>
      <c r="F259" s="4" t="s">
        <v>450</v>
      </c>
      <c r="G259" s="6" t="s">
        <v>466</v>
      </c>
      <c r="H259" s="6" t="s">
        <v>179</v>
      </c>
      <c r="I259" s="6" t="s">
        <v>726</v>
      </c>
    </row>
    <row r="260" spans="1:9">
      <c r="A260" s="7" t="s">
        <v>174</v>
      </c>
      <c r="B260" s="15">
        <v>46057</v>
      </c>
      <c r="C260" s="5" t="s">
        <v>176</v>
      </c>
      <c r="D260" s="14">
        <v>7</v>
      </c>
      <c r="E260" s="5" t="s">
        <v>468</v>
      </c>
      <c r="F260" s="4" t="s">
        <v>450</v>
      </c>
      <c r="G260" s="6" t="s">
        <v>469</v>
      </c>
      <c r="H260" s="6" t="s">
        <v>179</v>
      </c>
      <c r="I260" s="6" t="s">
        <v>727</v>
      </c>
    </row>
    <row r="261" spans="1:9">
      <c r="A261" s="7" t="s">
        <v>174</v>
      </c>
      <c r="B261" s="15">
        <v>46057</v>
      </c>
      <c r="C261" s="5" t="s">
        <v>176</v>
      </c>
      <c r="D261" s="14">
        <v>8</v>
      </c>
      <c r="E261" s="5" t="s">
        <v>471</v>
      </c>
      <c r="F261" s="4" t="s">
        <v>498</v>
      </c>
      <c r="G261" s="6" t="s">
        <v>472</v>
      </c>
      <c r="H261" s="6" t="s">
        <v>179</v>
      </c>
      <c r="I261" s="6" t="s">
        <v>728</v>
      </c>
    </row>
    <row r="262" spans="1:9">
      <c r="A262" s="7" t="s">
        <v>174</v>
      </c>
      <c r="B262" s="15">
        <v>46057</v>
      </c>
      <c r="C262" s="5" t="s">
        <v>176</v>
      </c>
      <c r="D262" s="14">
        <v>9</v>
      </c>
      <c r="E262" s="5" t="s">
        <v>474</v>
      </c>
      <c r="F262" s="4" t="s">
        <v>450</v>
      </c>
      <c r="G262" s="6" t="s">
        <v>475</v>
      </c>
      <c r="H262" s="6" t="s">
        <v>179</v>
      </c>
      <c r="I262" s="6" t="s">
        <v>729</v>
      </c>
    </row>
    <row r="263" spans="1:9">
      <c r="A263" s="7" t="s">
        <v>174</v>
      </c>
      <c r="B263" s="15">
        <v>46057</v>
      </c>
      <c r="C263" s="5" t="s">
        <v>176</v>
      </c>
      <c r="D263" s="14">
        <v>10</v>
      </c>
      <c r="E263" s="5" t="s">
        <v>477</v>
      </c>
      <c r="F263" s="4" t="s">
        <v>450</v>
      </c>
      <c r="G263" s="6" t="s">
        <v>478</v>
      </c>
      <c r="H263" s="6" t="s">
        <v>179</v>
      </c>
      <c r="I263" s="6" t="s">
        <v>730</v>
      </c>
    </row>
    <row r="264" spans="1:9">
      <c r="A264" s="7" t="s">
        <v>180</v>
      </c>
      <c r="B264" s="15">
        <v>46088</v>
      </c>
      <c r="C264" s="5" t="s">
        <v>182</v>
      </c>
      <c r="D264" s="14">
        <v>1</v>
      </c>
      <c r="E264" s="5" t="s">
        <v>449</v>
      </c>
      <c r="F264" s="4" t="s">
        <v>450</v>
      </c>
      <c r="G264" s="6" t="s">
        <v>451</v>
      </c>
      <c r="H264" s="6" t="s">
        <v>185</v>
      </c>
      <c r="I264" s="6" t="s">
        <v>731</v>
      </c>
    </row>
    <row r="265" spans="1:9">
      <c r="A265" s="7" t="s">
        <v>180</v>
      </c>
      <c r="B265" s="15">
        <v>46088</v>
      </c>
      <c r="C265" s="5" t="s">
        <v>182</v>
      </c>
      <c r="D265" s="14">
        <v>2</v>
      </c>
      <c r="E265" s="5" t="s">
        <v>453</v>
      </c>
      <c r="F265" s="4" t="s">
        <v>450</v>
      </c>
      <c r="G265" s="6" t="s">
        <v>454</v>
      </c>
      <c r="H265" s="6" t="s">
        <v>185</v>
      </c>
      <c r="I265" s="6" t="s">
        <v>732</v>
      </c>
    </row>
    <row r="266" spans="1:9">
      <c r="A266" s="7" t="s">
        <v>180</v>
      </c>
      <c r="B266" s="15">
        <v>46088</v>
      </c>
      <c r="C266" s="5" t="s">
        <v>182</v>
      </c>
      <c r="D266" s="14">
        <v>3</v>
      </c>
      <c r="E266" s="5" t="s">
        <v>456</v>
      </c>
      <c r="F266" s="4" t="s">
        <v>450</v>
      </c>
      <c r="G266" s="6" t="s">
        <v>457</v>
      </c>
      <c r="H266" s="6" t="s">
        <v>185</v>
      </c>
      <c r="I266" s="6" t="s">
        <v>733</v>
      </c>
    </row>
    <row r="267" spans="1:9">
      <c r="A267" s="7" t="s">
        <v>180</v>
      </c>
      <c r="B267" s="15">
        <v>46088</v>
      </c>
      <c r="C267" s="5" t="s">
        <v>182</v>
      </c>
      <c r="D267" s="14">
        <v>4</v>
      </c>
      <c r="E267" s="5" t="s">
        <v>459</v>
      </c>
      <c r="F267" s="4" t="s">
        <v>450</v>
      </c>
      <c r="G267" s="6" t="s">
        <v>460</v>
      </c>
      <c r="H267" s="6" t="s">
        <v>185</v>
      </c>
      <c r="I267" s="6" t="s">
        <v>734</v>
      </c>
    </row>
    <row r="268" spans="1:9">
      <c r="A268" s="7" t="s">
        <v>180</v>
      </c>
      <c r="B268" s="15">
        <v>46088</v>
      </c>
      <c r="C268" s="5" t="s">
        <v>182</v>
      </c>
      <c r="D268" s="14">
        <v>5</v>
      </c>
      <c r="E268" s="5" t="s">
        <v>462</v>
      </c>
      <c r="F268" s="4" t="s">
        <v>498</v>
      </c>
      <c r="G268" s="6" t="s">
        <v>463</v>
      </c>
      <c r="H268" s="6" t="s">
        <v>185</v>
      </c>
      <c r="I268" s="6" t="s">
        <v>735</v>
      </c>
    </row>
    <row r="269" spans="1:9">
      <c r="A269" s="7" t="s">
        <v>180</v>
      </c>
      <c r="B269" s="15">
        <v>46088</v>
      </c>
      <c r="C269" s="5" t="s">
        <v>182</v>
      </c>
      <c r="D269" s="14">
        <v>6</v>
      </c>
      <c r="E269" s="5" t="s">
        <v>465</v>
      </c>
      <c r="F269" s="4" t="s">
        <v>450</v>
      </c>
      <c r="G269" s="6" t="s">
        <v>466</v>
      </c>
      <c r="H269" s="6" t="s">
        <v>185</v>
      </c>
      <c r="I269" s="6" t="s">
        <v>736</v>
      </c>
    </row>
    <row r="270" spans="1:9">
      <c r="A270" s="7" t="s">
        <v>180</v>
      </c>
      <c r="B270" s="15">
        <v>46088</v>
      </c>
      <c r="C270" s="5" t="s">
        <v>182</v>
      </c>
      <c r="D270" s="14">
        <v>7</v>
      </c>
      <c r="E270" s="5" t="s">
        <v>468</v>
      </c>
      <c r="F270" s="4" t="s">
        <v>450</v>
      </c>
      <c r="G270" s="6" t="s">
        <v>469</v>
      </c>
      <c r="H270" s="6" t="s">
        <v>185</v>
      </c>
      <c r="I270" s="6" t="s">
        <v>737</v>
      </c>
    </row>
    <row r="271" spans="1:9">
      <c r="A271" s="7" t="s">
        <v>180</v>
      </c>
      <c r="B271" s="15">
        <v>46088</v>
      </c>
      <c r="C271" s="5" t="s">
        <v>182</v>
      </c>
      <c r="D271" s="14">
        <v>8</v>
      </c>
      <c r="E271" s="5" t="s">
        <v>471</v>
      </c>
      <c r="F271" s="4" t="s">
        <v>450</v>
      </c>
      <c r="G271" s="6" t="s">
        <v>472</v>
      </c>
      <c r="H271" s="6" t="s">
        <v>185</v>
      </c>
      <c r="I271" s="6" t="s">
        <v>738</v>
      </c>
    </row>
    <row r="272" spans="1:9">
      <c r="A272" s="7" t="s">
        <v>180</v>
      </c>
      <c r="B272" s="15">
        <v>46088</v>
      </c>
      <c r="C272" s="5" t="s">
        <v>182</v>
      </c>
      <c r="D272" s="14">
        <v>9</v>
      </c>
      <c r="E272" s="5" t="s">
        <v>474</v>
      </c>
      <c r="F272" s="4" t="s">
        <v>450</v>
      </c>
      <c r="G272" s="6" t="s">
        <v>475</v>
      </c>
      <c r="H272" s="6" t="s">
        <v>185</v>
      </c>
      <c r="I272" s="6" t="s">
        <v>739</v>
      </c>
    </row>
    <row r="273" spans="1:9">
      <c r="A273" s="7" t="s">
        <v>180</v>
      </c>
      <c r="B273" s="15">
        <v>46088</v>
      </c>
      <c r="C273" s="5" t="s">
        <v>182</v>
      </c>
      <c r="D273" s="14">
        <v>10</v>
      </c>
      <c r="E273" s="5" t="s">
        <v>477</v>
      </c>
      <c r="F273" s="4" t="s">
        <v>450</v>
      </c>
      <c r="G273" s="6" t="s">
        <v>478</v>
      </c>
      <c r="H273" s="6" t="s">
        <v>185</v>
      </c>
      <c r="I273" s="6" t="s">
        <v>740</v>
      </c>
    </row>
    <row r="274" spans="1:9">
      <c r="A274" s="7" t="s">
        <v>186</v>
      </c>
      <c r="B274" s="15">
        <v>46122</v>
      </c>
      <c r="C274" s="5" t="s">
        <v>188</v>
      </c>
      <c r="D274" s="14">
        <v>1</v>
      </c>
      <c r="E274" s="5" t="s">
        <v>449</v>
      </c>
      <c r="F274" s="4" t="s">
        <v>450</v>
      </c>
      <c r="G274" s="6" t="s">
        <v>451</v>
      </c>
      <c r="H274" s="6" t="s">
        <v>191</v>
      </c>
      <c r="I274" s="6" t="s">
        <v>741</v>
      </c>
    </row>
    <row r="275" spans="1:9">
      <c r="A275" s="7" t="s">
        <v>186</v>
      </c>
      <c r="B275" s="15">
        <v>46122</v>
      </c>
      <c r="C275" s="5" t="s">
        <v>188</v>
      </c>
      <c r="D275" s="14">
        <v>2</v>
      </c>
      <c r="E275" s="5" t="s">
        <v>453</v>
      </c>
      <c r="F275" s="4" t="s">
        <v>498</v>
      </c>
      <c r="G275" s="6" t="s">
        <v>454</v>
      </c>
      <c r="H275" s="6" t="s">
        <v>191</v>
      </c>
      <c r="I275" s="6" t="s">
        <v>742</v>
      </c>
    </row>
    <row r="276" spans="1:9">
      <c r="A276" s="7" t="s">
        <v>186</v>
      </c>
      <c r="B276" s="15">
        <v>46122</v>
      </c>
      <c r="C276" s="5" t="s">
        <v>188</v>
      </c>
      <c r="D276" s="14">
        <v>3</v>
      </c>
      <c r="E276" s="5" t="s">
        <v>456</v>
      </c>
      <c r="F276" s="4" t="s">
        <v>450</v>
      </c>
      <c r="G276" s="6" t="s">
        <v>457</v>
      </c>
      <c r="H276" s="6" t="s">
        <v>191</v>
      </c>
      <c r="I276" s="6" t="s">
        <v>743</v>
      </c>
    </row>
    <row r="277" spans="1:9">
      <c r="A277" s="7" t="s">
        <v>186</v>
      </c>
      <c r="B277" s="15">
        <v>46122</v>
      </c>
      <c r="C277" s="5" t="s">
        <v>188</v>
      </c>
      <c r="D277" s="14">
        <v>4</v>
      </c>
      <c r="E277" s="5" t="s">
        <v>459</v>
      </c>
      <c r="F277" s="4" t="s">
        <v>450</v>
      </c>
      <c r="G277" s="6" t="s">
        <v>460</v>
      </c>
      <c r="H277" s="6" t="s">
        <v>191</v>
      </c>
      <c r="I277" s="6" t="s">
        <v>744</v>
      </c>
    </row>
    <row r="278" spans="1:9">
      <c r="A278" s="7" t="s">
        <v>186</v>
      </c>
      <c r="B278" s="15">
        <v>46122</v>
      </c>
      <c r="C278" s="5" t="s">
        <v>188</v>
      </c>
      <c r="D278" s="14">
        <v>5</v>
      </c>
      <c r="E278" s="5" t="s">
        <v>462</v>
      </c>
      <c r="F278" s="4" t="s">
        <v>450</v>
      </c>
      <c r="G278" s="6" t="s">
        <v>463</v>
      </c>
      <c r="H278" s="6" t="s">
        <v>191</v>
      </c>
      <c r="I278" s="6" t="s">
        <v>745</v>
      </c>
    </row>
    <row r="279" spans="1:9">
      <c r="A279" s="7" t="s">
        <v>186</v>
      </c>
      <c r="B279" s="15">
        <v>46122</v>
      </c>
      <c r="C279" s="5" t="s">
        <v>188</v>
      </c>
      <c r="D279" s="14">
        <v>6</v>
      </c>
      <c r="E279" s="5" t="s">
        <v>465</v>
      </c>
      <c r="F279" s="4" t="s">
        <v>450</v>
      </c>
      <c r="G279" s="6" t="s">
        <v>466</v>
      </c>
      <c r="H279" s="6" t="s">
        <v>191</v>
      </c>
      <c r="I279" s="6" t="s">
        <v>746</v>
      </c>
    </row>
    <row r="280" spans="1:9">
      <c r="A280" s="7" t="s">
        <v>186</v>
      </c>
      <c r="B280" s="15">
        <v>46122</v>
      </c>
      <c r="C280" s="5" t="s">
        <v>188</v>
      </c>
      <c r="D280" s="14">
        <v>7</v>
      </c>
      <c r="E280" s="5" t="s">
        <v>468</v>
      </c>
      <c r="F280" s="4" t="s">
        <v>450</v>
      </c>
      <c r="G280" s="6" t="s">
        <v>469</v>
      </c>
      <c r="H280" s="6" t="s">
        <v>191</v>
      </c>
      <c r="I280" s="6" t="s">
        <v>747</v>
      </c>
    </row>
    <row r="281" spans="1:9">
      <c r="A281" s="7" t="s">
        <v>186</v>
      </c>
      <c r="B281" s="15">
        <v>46122</v>
      </c>
      <c r="C281" s="5" t="s">
        <v>188</v>
      </c>
      <c r="D281" s="14">
        <v>8</v>
      </c>
      <c r="E281" s="5" t="s">
        <v>471</v>
      </c>
      <c r="F281" s="4" t="s">
        <v>450</v>
      </c>
      <c r="G281" s="6" t="s">
        <v>472</v>
      </c>
      <c r="H281" s="6" t="s">
        <v>191</v>
      </c>
      <c r="I281" s="6" t="s">
        <v>748</v>
      </c>
    </row>
    <row r="282" spans="1:9">
      <c r="A282" s="7" t="s">
        <v>186</v>
      </c>
      <c r="B282" s="15">
        <v>46122</v>
      </c>
      <c r="C282" s="5" t="s">
        <v>188</v>
      </c>
      <c r="D282" s="14">
        <v>9</v>
      </c>
      <c r="E282" s="5" t="s">
        <v>474</v>
      </c>
      <c r="F282" s="4" t="s">
        <v>450</v>
      </c>
      <c r="G282" s="6" t="s">
        <v>475</v>
      </c>
      <c r="H282" s="6" t="s">
        <v>191</v>
      </c>
      <c r="I282" s="6" t="s">
        <v>749</v>
      </c>
    </row>
    <row r="283" spans="1:9">
      <c r="A283" s="7" t="s">
        <v>186</v>
      </c>
      <c r="B283" s="15">
        <v>46122</v>
      </c>
      <c r="C283" s="5" t="s">
        <v>188</v>
      </c>
      <c r="D283" s="14">
        <v>10</v>
      </c>
      <c r="E283" s="5" t="s">
        <v>477</v>
      </c>
      <c r="F283" s="4" t="s">
        <v>450</v>
      </c>
      <c r="G283" s="6" t="s">
        <v>478</v>
      </c>
      <c r="H283" s="6" t="s">
        <v>191</v>
      </c>
      <c r="I283" s="6" t="s">
        <v>750</v>
      </c>
    </row>
    <row r="284" spans="1:9">
      <c r="A284" s="7" t="s">
        <v>192</v>
      </c>
      <c r="B284" s="15">
        <v>46155</v>
      </c>
      <c r="C284" s="5" t="s">
        <v>194</v>
      </c>
      <c r="D284" s="14">
        <v>1</v>
      </c>
      <c r="E284" s="5" t="s">
        <v>449</v>
      </c>
      <c r="F284" s="4" t="s">
        <v>450</v>
      </c>
      <c r="G284" s="6" t="s">
        <v>451</v>
      </c>
      <c r="H284" s="6" t="s">
        <v>197</v>
      </c>
      <c r="I284" s="6" t="s">
        <v>751</v>
      </c>
    </row>
    <row r="285" spans="1:9">
      <c r="A285" s="7" t="s">
        <v>192</v>
      </c>
      <c r="B285" s="15">
        <v>46155</v>
      </c>
      <c r="C285" s="5" t="s">
        <v>194</v>
      </c>
      <c r="D285" s="14">
        <v>2</v>
      </c>
      <c r="E285" s="5" t="s">
        <v>453</v>
      </c>
      <c r="F285" s="4" t="s">
        <v>450</v>
      </c>
      <c r="G285" s="6" t="s">
        <v>454</v>
      </c>
      <c r="H285" s="6" t="s">
        <v>197</v>
      </c>
      <c r="I285" s="6" t="s">
        <v>752</v>
      </c>
    </row>
    <row r="286" spans="1:9">
      <c r="A286" s="7" t="s">
        <v>192</v>
      </c>
      <c r="B286" s="15">
        <v>46155</v>
      </c>
      <c r="C286" s="5" t="s">
        <v>194</v>
      </c>
      <c r="D286" s="14">
        <v>3</v>
      </c>
      <c r="E286" s="5" t="s">
        <v>456</v>
      </c>
      <c r="F286" s="4" t="s">
        <v>450</v>
      </c>
      <c r="G286" s="6" t="s">
        <v>457</v>
      </c>
      <c r="H286" s="6" t="s">
        <v>197</v>
      </c>
      <c r="I286" s="6" t="s">
        <v>753</v>
      </c>
    </row>
    <row r="287" spans="1:9">
      <c r="A287" s="7" t="s">
        <v>192</v>
      </c>
      <c r="B287" s="15">
        <v>46155</v>
      </c>
      <c r="C287" s="5" t="s">
        <v>194</v>
      </c>
      <c r="D287" s="14">
        <v>4</v>
      </c>
      <c r="E287" s="5" t="s">
        <v>459</v>
      </c>
      <c r="F287" s="4" t="s">
        <v>450</v>
      </c>
      <c r="G287" s="6" t="s">
        <v>460</v>
      </c>
      <c r="H287" s="6" t="s">
        <v>197</v>
      </c>
      <c r="I287" s="6" t="s">
        <v>754</v>
      </c>
    </row>
    <row r="288" spans="1:9">
      <c r="A288" s="7" t="s">
        <v>192</v>
      </c>
      <c r="B288" s="15">
        <v>46155</v>
      </c>
      <c r="C288" s="5" t="s">
        <v>194</v>
      </c>
      <c r="D288" s="14">
        <v>5</v>
      </c>
      <c r="E288" s="5" t="s">
        <v>462</v>
      </c>
      <c r="F288" s="4" t="s">
        <v>450</v>
      </c>
      <c r="G288" s="6" t="s">
        <v>463</v>
      </c>
      <c r="H288" s="6" t="s">
        <v>197</v>
      </c>
      <c r="I288" s="6" t="s">
        <v>755</v>
      </c>
    </row>
    <row r="289" spans="1:9">
      <c r="A289" s="7" t="s">
        <v>192</v>
      </c>
      <c r="B289" s="15">
        <v>46155</v>
      </c>
      <c r="C289" s="5" t="s">
        <v>194</v>
      </c>
      <c r="D289" s="14">
        <v>6</v>
      </c>
      <c r="E289" s="5" t="s">
        <v>465</v>
      </c>
      <c r="F289" s="4" t="s">
        <v>450</v>
      </c>
      <c r="G289" s="6" t="s">
        <v>466</v>
      </c>
      <c r="H289" s="6" t="s">
        <v>197</v>
      </c>
      <c r="I289" s="6" t="s">
        <v>756</v>
      </c>
    </row>
    <row r="290" spans="1:9">
      <c r="A290" s="7" t="s">
        <v>192</v>
      </c>
      <c r="B290" s="15">
        <v>46155</v>
      </c>
      <c r="C290" s="5" t="s">
        <v>194</v>
      </c>
      <c r="D290" s="14">
        <v>7</v>
      </c>
      <c r="E290" s="5" t="s">
        <v>468</v>
      </c>
      <c r="F290" s="4" t="s">
        <v>450</v>
      </c>
      <c r="G290" s="6" t="s">
        <v>469</v>
      </c>
      <c r="H290" s="6" t="s">
        <v>197</v>
      </c>
      <c r="I290" s="6" t="s">
        <v>757</v>
      </c>
    </row>
    <row r="291" spans="1:9">
      <c r="A291" s="7" t="s">
        <v>192</v>
      </c>
      <c r="B291" s="15">
        <v>46155</v>
      </c>
      <c r="C291" s="5" t="s">
        <v>194</v>
      </c>
      <c r="D291" s="14">
        <v>8</v>
      </c>
      <c r="E291" s="5" t="s">
        <v>471</v>
      </c>
      <c r="F291" s="4" t="s">
        <v>450</v>
      </c>
      <c r="G291" s="6" t="s">
        <v>472</v>
      </c>
      <c r="H291" s="6" t="s">
        <v>197</v>
      </c>
      <c r="I291" s="6" t="s">
        <v>758</v>
      </c>
    </row>
    <row r="292" spans="1:9">
      <c r="A292" s="7" t="s">
        <v>192</v>
      </c>
      <c r="B292" s="15">
        <v>46155</v>
      </c>
      <c r="C292" s="5" t="s">
        <v>194</v>
      </c>
      <c r="D292" s="14">
        <v>9</v>
      </c>
      <c r="E292" s="5" t="s">
        <v>474</v>
      </c>
      <c r="F292" s="4" t="s">
        <v>450</v>
      </c>
      <c r="G292" s="6" t="s">
        <v>475</v>
      </c>
      <c r="H292" s="6" t="s">
        <v>197</v>
      </c>
      <c r="I292" s="6" t="s">
        <v>759</v>
      </c>
    </row>
    <row r="293" spans="1:9">
      <c r="A293" s="7" t="s">
        <v>192</v>
      </c>
      <c r="B293" s="15">
        <v>46155</v>
      </c>
      <c r="C293" s="5" t="s">
        <v>194</v>
      </c>
      <c r="D293" s="14">
        <v>10</v>
      </c>
      <c r="E293" s="5" t="s">
        <v>477</v>
      </c>
      <c r="F293" s="4" t="s">
        <v>450</v>
      </c>
      <c r="G293" s="6" t="s">
        <v>478</v>
      </c>
      <c r="H293" s="6" t="s">
        <v>197</v>
      </c>
      <c r="I293" s="6" t="s">
        <v>760</v>
      </c>
    </row>
    <row r="294" spans="1:9">
      <c r="A294" s="7" t="s">
        <v>198</v>
      </c>
      <c r="B294" s="15">
        <v>46189</v>
      </c>
      <c r="C294" s="5" t="s">
        <v>200</v>
      </c>
      <c r="D294" s="14">
        <v>1</v>
      </c>
      <c r="E294" s="5" t="s">
        <v>449</v>
      </c>
      <c r="F294" s="4" t="s">
        <v>450</v>
      </c>
      <c r="G294" s="6" t="s">
        <v>451</v>
      </c>
      <c r="H294" s="6" t="s">
        <v>203</v>
      </c>
      <c r="I294" s="6" t="s">
        <v>761</v>
      </c>
    </row>
    <row r="295" spans="1:9">
      <c r="A295" s="7" t="s">
        <v>198</v>
      </c>
      <c r="B295" s="15">
        <v>46189</v>
      </c>
      <c r="C295" s="5" t="s">
        <v>200</v>
      </c>
      <c r="D295" s="14">
        <v>2</v>
      </c>
      <c r="E295" s="5" t="s">
        <v>453</v>
      </c>
      <c r="F295" s="4" t="s">
        <v>450</v>
      </c>
      <c r="G295" s="6" t="s">
        <v>454</v>
      </c>
      <c r="H295" s="6" t="s">
        <v>203</v>
      </c>
      <c r="I295" s="6" t="s">
        <v>762</v>
      </c>
    </row>
    <row r="296" spans="1:9">
      <c r="A296" s="7" t="s">
        <v>198</v>
      </c>
      <c r="B296" s="15">
        <v>46189</v>
      </c>
      <c r="C296" s="5" t="s">
        <v>200</v>
      </c>
      <c r="D296" s="14">
        <v>3</v>
      </c>
      <c r="E296" s="5" t="s">
        <v>456</v>
      </c>
      <c r="F296" s="4" t="s">
        <v>450</v>
      </c>
      <c r="G296" s="6" t="s">
        <v>457</v>
      </c>
      <c r="H296" s="6" t="s">
        <v>203</v>
      </c>
      <c r="I296" s="6" t="s">
        <v>763</v>
      </c>
    </row>
    <row r="297" spans="1:9">
      <c r="A297" s="7" t="s">
        <v>198</v>
      </c>
      <c r="B297" s="15">
        <v>46189</v>
      </c>
      <c r="C297" s="5" t="s">
        <v>200</v>
      </c>
      <c r="D297" s="14">
        <v>4</v>
      </c>
      <c r="E297" s="5" t="s">
        <v>459</v>
      </c>
      <c r="F297" s="4" t="s">
        <v>450</v>
      </c>
      <c r="G297" s="6" t="s">
        <v>460</v>
      </c>
      <c r="H297" s="6" t="s">
        <v>203</v>
      </c>
      <c r="I297" s="6" t="s">
        <v>764</v>
      </c>
    </row>
    <row r="298" spans="1:9">
      <c r="A298" s="7" t="s">
        <v>198</v>
      </c>
      <c r="B298" s="15">
        <v>46189</v>
      </c>
      <c r="C298" s="5" t="s">
        <v>200</v>
      </c>
      <c r="D298" s="14">
        <v>5</v>
      </c>
      <c r="E298" s="5" t="s">
        <v>462</v>
      </c>
      <c r="F298" s="4" t="s">
        <v>450</v>
      </c>
      <c r="G298" s="6" t="s">
        <v>463</v>
      </c>
      <c r="H298" s="6" t="s">
        <v>203</v>
      </c>
      <c r="I298" s="6" t="s">
        <v>765</v>
      </c>
    </row>
    <row r="299" spans="1:9">
      <c r="A299" s="7" t="s">
        <v>198</v>
      </c>
      <c r="B299" s="15">
        <v>46189</v>
      </c>
      <c r="C299" s="5" t="s">
        <v>200</v>
      </c>
      <c r="D299" s="14">
        <v>6</v>
      </c>
      <c r="E299" s="5" t="s">
        <v>465</v>
      </c>
      <c r="F299" s="4" t="s">
        <v>450</v>
      </c>
      <c r="G299" s="6" t="s">
        <v>466</v>
      </c>
      <c r="H299" s="6" t="s">
        <v>203</v>
      </c>
      <c r="I299" s="6" t="s">
        <v>766</v>
      </c>
    </row>
    <row r="300" spans="1:9">
      <c r="A300" s="7" t="s">
        <v>198</v>
      </c>
      <c r="B300" s="15">
        <v>46189</v>
      </c>
      <c r="C300" s="5" t="s">
        <v>200</v>
      </c>
      <c r="D300" s="14">
        <v>7</v>
      </c>
      <c r="E300" s="5" t="s">
        <v>468</v>
      </c>
      <c r="F300" s="4" t="s">
        <v>450</v>
      </c>
      <c r="G300" s="6" t="s">
        <v>469</v>
      </c>
      <c r="H300" s="6" t="s">
        <v>203</v>
      </c>
      <c r="I300" s="6" t="s">
        <v>767</v>
      </c>
    </row>
    <row r="301" spans="1:9">
      <c r="A301" s="7" t="s">
        <v>198</v>
      </c>
      <c r="B301" s="15">
        <v>46189</v>
      </c>
      <c r="C301" s="5" t="s">
        <v>200</v>
      </c>
      <c r="D301" s="14">
        <v>8</v>
      </c>
      <c r="E301" s="5" t="s">
        <v>471</v>
      </c>
      <c r="F301" s="4" t="s">
        <v>450</v>
      </c>
      <c r="G301" s="6" t="s">
        <v>472</v>
      </c>
      <c r="H301" s="6" t="s">
        <v>203</v>
      </c>
      <c r="I301" s="6" t="s">
        <v>768</v>
      </c>
    </row>
    <row r="302" spans="1:9">
      <c r="A302" s="7" t="s">
        <v>198</v>
      </c>
      <c r="B302" s="15">
        <v>46189</v>
      </c>
      <c r="C302" s="5" t="s">
        <v>200</v>
      </c>
      <c r="D302" s="14">
        <v>9</v>
      </c>
      <c r="E302" s="5" t="s">
        <v>474</v>
      </c>
      <c r="F302" s="4" t="s">
        <v>450</v>
      </c>
      <c r="G302" s="6" t="s">
        <v>475</v>
      </c>
      <c r="H302" s="6" t="s">
        <v>203</v>
      </c>
      <c r="I302" s="6" t="s">
        <v>769</v>
      </c>
    </row>
    <row r="303" spans="1:9">
      <c r="A303" s="7" t="s">
        <v>198</v>
      </c>
      <c r="B303" s="15">
        <v>46189</v>
      </c>
      <c r="C303" s="5" t="s">
        <v>200</v>
      </c>
      <c r="D303" s="14">
        <v>10</v>
      </c>
      <c r="E303" s="5" t="s">
        <v>477</v>
      </c>
      <c r="F303" s="4" t="s">
        <v>450</v>
      </c>
      <c r="G303" s="6" t="s">
        <v>478</v>
      </c>
      <c r="H303" s="6" t="s">
        <v>203</v>
      </c>
      <c r="I303" s="6" t="s">
        <v>770</v>
      </c>
    </row>
    <row r="304" spans="1:9">
      <c r="A304" s="7" t="s">
        <v>204</v>
      </c>
      <c r="B304" s="15">
        <v>46041</v>
      </c>
      <c r="C304" s="5" t="s">
        <v>206</v>
      </c>
      <c r="D304" s="14">
        <v>1</v>
      </c>
      <c r="E304" s="5" t="s">
        <v>449</v>
      </c>
      <c r="F304" s="4" t="s">
        <v>450</v>
      </c>
      <c r="G304" s="6" t="s">
        <v>451</v>
      </c>
      <c r="H304" s="6" t="s">
        <v>209</v>
      </c>
      <c r="I304" s="6" t="s">
        <v>771</v>
      </c>
    </row>
    <row r="305" spans="1:9">
      <c r="A305" s="7" t="s">
        <v>204</v>
      </c>
      <c r="B305" s="15">
        <v>46041</v>
      </c>
      <c r="C305" s="5" t="s">
        <v>206</v>
      </c>
      <c r="D305" s="14">
        <v>2</v>
      </c>
      <c r="E305" s="5" t="s">
        <v>453</v>
      </c>
      <c r="F305" s="4" t="s">
        <v>450</v>
      </c>
      <c r="G305" s="6" t="s">
        <v>454</v>
      </c>
      <c r="H305" s="6" t="s">
        <v>209</v>
      </c>
      <c r="I305" s="6" t="s">
        <v>772</v>
      </c>
    </row>
    <row r="306" spans="1:9">
      <c r="A306" s="7" t="s">
        <v>204</v>
      </c>
      <c r="B306" s="15">
        <v>46041</v>
      </c>
      <c r="C306" s="5" t="s">
        <v>206</v>
      </c>
      <c r="D306" s="14">
        <v>3</v>
      </c>
      <c r="E306" s="5" t="s">
        <v>456</v>
      </c>
      <c r="F306" s="4" t="s">
        <v>450</v>
      </c>
      <c r="G306" s="6" t="s">
        <v>457</v>
      </c>
      <c r="H306" s="6" t="s">
        <v>209</v>
      </c>
      <c r="I306" s="6" t="s">
        <v>773</v>
      </c>
    </row>
    <row r="307" spans="1:9">
      <c r="A307" s="7" t="s">
        <v>204</v>
      </c>
      <c r="B307" s="15">
        <v>46041</v>
      </c>
      <c r="C307" s="5" t="s">
        <v>206</v>
      </c>
      <c r="D307" s="14">
        <v>4</v>
      </c>
      <c r="E307" s="5" t="s">
        <v>459</v>
      </c>
      <c r="F307" s="4" t="s">
        <v>450</v>
      </c>
      <c r="G307" s="6" t="s">
        <v>460</v>
      </c>
      <c r="H307" s="6" t="s">
        <v>209</v>
      </c>
      <c r="I307" s="6" t="s">
        <v>774</v>
      </c>
    </row>
    <row r="308" spans="1:9">
      <c r="A308" s="7" t="s">
        <v>204</v>
      </c>
      <c r="B308" s="15">
        <v>46041</v>
      </c>
      <c r="C308" s="5" t="s">
        <v>206</v>
      </c>
      <c r="D308" s="14">
        <v>5</v>
      </c>
      <c r="E308" s="5" t="s">
        <v>462</v>
      </c>
      <c r="F308" s="4" t="s">
        <v>450</v>
      </c>
      <c r="G308" s="6" t="s">
        <v>463</v>
      </c>
      <c r="H308" s="6" t="s">
        <v>209</v>
      </c>
      <c r="I308" s="6" t="s">
        <v>775</v>
      </c>
    </row>
    <row r="309" spans="1:9">
      <c r="A309" s="7" t="s">
        <v>204</v>
      </c>
      <c r="B309" s="15">
        <v>46041</v>
      </c>
      <c r="C309" s="5" t="s">
        <v>206</v>
      </c>
      <c r="D309" s="14">
        <v>6</v>
      </c>
      <c r="E309" s="5" t="s">
        <v>465</v>
      </c>
      <c r="F309" s="4" t="s">
        <v>450</v>
      </c>
      <c r="G309" s="6" t="s">
        <v>466</v>
      </c>
      <c r="H309" s="6" t="s">
        <v>209</v>
      </c>
      <c r="I309" s="6" t="s">
        <v>776</v>
      </c>
    </row>
    <row r="310" spans="1:9">
      <c r="A310" s="7" t="s">
        <v>204</v>
      </c>
      <c r="B310" s="15">
        <v>46041</v>
      </c>
      <c r="C310" s="5" t="s">
        <v>206</v>
      </c>
      <c r="D310" s="14">
        <v>7</v>
      </c>
      <c r="E310" s="5" t="s">
        <v>468</v>
      </c>
      <c r="F310" s="4" t="s">
        <v>450</v>
      </c>
      <c r="G310" s="6" t="s">
        <v>469</v>
      </c>
      <c r="H310" s="6" t="s">
        <v>209</v>
      </c>
      <c r="I310" s="6" t="s">
        <v>777</v>
      </c>
    </row>
    <row r="311" spans="1:9">
      <c r="A311" s="7" t="s">
        <v>204</v>
      </c>
      <c r="B311" s="15">
        <v>46041</v>
      </c>
      <c r="C311" s="5" t="s">
        <v>206</v>
      </c>
      <c r="D311" s="14">
        <v>8</v>
      </c>
      <c r="E311" s="5" t="s">
        <v>471</v>
      </c>
      <c r="F311" s="4" t="s">
        <v>450</v>
      </c>
      <c r="G311" s="6" t="s">
        <v>472</v>
      </c>
      <c r="H311" s="6" t="s">
        <v>209</v>
      </c>
      <c r="I311" s="6" t="s">
        <v>778</v>
      </c>
    </row>
    <row r="312" spans="1:9">
      <c r="A312" s="7" t="s">
        <v>204</v>
      </c>
      <c r="B312" s="15">
        <v>46041</v>
      </c>
      <c r="C312" s="5" t="s">
        <v>206</v>
      </c>
      <c r="D312" s="14">
        <v>9</v>
      </c>
      <c r="E312" s="5" t="s">
        <v>474</v>
      </c>
      <c r="F312" s="4" t="s">
        <v>450</v>
      </c>
      <c r="G312" s="6" t="s">
        <v>475</v>
      </c>
      <c r="H312" s="6" t="s">
        <v>209</v>
      </c>
      <c r="I312" s="6" t="s">
        <v>779</v>
      </c>
    </row>
    <row r="313" spans="1:9">
      <c r="A313" s="7" t="s">
        <v>204</v>
      </c>
      <c r="B313" s="15">
        <v>46041</v>
      </c>
      <c r="C313" s="5" t="s">
        <v>206</v>
      </c>
      <c r="D313" s="14">
        <v>10</v>
      </c>
      <c r="E313" s="5" t="s">
        <v>477</v>
      </c>
      <c r="F313" s="4" t="s">
        <v>498</v>
      </c>
      <c r="G313" s="6" t="s">
        <v>478</v>
      </c>
      <c r="H313" s="6" t="s">
        <v>209</v>
      </c>
      <c r="I313" s="6" t="s">
        <v>780</v>
      </c>
    </row>
    <row r="314" spans="1:9">
      <c r="A314" s="7" t="s">
        <v>210</v>
      </c>
      <c r="B314" s="15">
        <v>46075</v>
      </c>
      <c r="C314" s="5" t="s">
        <v>212</v>
      </c>
      <c r="D314" s="14">
        <v>1</v>
      </c>
      <c r="E314" s="5" t="s">
        <v>449</v>
      </c>
      <c r="F314" s="4" t="s">
        <v>450</v>
      </c>
      <c r="G314" s="6" t="s">
        <v>451</v>
      </c>
      <c r="H314" s="6" t="s">
        <v>215</v>
      </c>
      <c r="I314" s="6" t="s">
        <v>781</v>
      </c>
    </row>
    <row r="315" spans="1:9">
      <c r="A315" s="7" t="s">
        <v>210</v>
      </c>
      <c r="B315" s="15">
        <v>46075</v>
      </c>
      <c r="C315" s="5" t="s">
        <v>212</v>
      </c>
      <c r="D315" s="14">
        <v>2</v>
      </c>
      <c r="E315" s="5" t="s">
        <v>453</v>
      </c>
      <c r="F315" s="4" t="s">
        <v>450</v>
      </c>
      <c r="G315" s="6" t="s">
        <v>454</v>
      </c>
      <c r="H315" s="6" t="s">
        <v>215</v>
      </c>
      <c r="I315" s="6" t="s">
        <v>782</v>
      </c>
    </row>
    <row r="316" spans="1:9">
      <c r="A316" s="7" t="s">
        <v>210</v>
      </c>
      <c r="B316" s="15">
        <v>46075</v>
      </c>
      <c r="C316" s="5" t="s">
        <v>212</v>
      </c>
      <c r="D316" s="14">
        <v>3</v>
      </c>
      <c r="E316" s="5" t="s">
        <v>456</v>
      </c>
      <c r="F316" s="4" t="s">
        <v>450</v>
      </c>
      <c r="G316" s="6" t="s">
        <v>457</v>
      </c>
      <c r="H316" s="6" t="s">
        <v>215</v>
      </c>
      <c r="I316" s="6" t="s">
        <v>783</v>
      </c>
    </row>
    <row r="317" spans="1:9">
      <c r="A317" s="7" t="s">
        <v>210</v>
      </c>
      <c r="B317" s="15">
        <v>46075</v>
      </c>
      <c r="C317" s="5" t="s">
        <v>212</v>
      </c>
      <c r="D317" s="14">
        <v>4</v>
      </c>
      <c r="E317" s="5" t="s">
        <v>459</v>
      </c>
      <c r="F317" s="4" t="s">
        <v>450</v>
      </c>
      <c r="G317" s="6" t="s">
        <v>460</v>
      </c>
      <c r="H317" s="6" t="s">
        <v>215</v>
      </c>
      <c r="I317" s="6" t="s">
        <v>784</v>
      </c>
    </row>
    <row r="318" spans="1:9">
      <c r="A318" s="7" t="s">
        <v>210</v>
      </c>
      <c r="B318" s="15">
        <v>46075</v>
      </c>
      <c r="C318" s="5" t="s">
        <v>212</v>
      </c>
      <c r="D318" s="14">
        <v>5</v>
      </c>
      <c r="E318" s="5" t="s">
        <v>462</v>
      </c>
      <c r="F318" s="4" t="s">
        <v>450</v>
      </c>
      <c r="G318" s="6" t="s">
        <v>463</v>
      </c>
      <c r="H318" s="6" t="s">
        <v>215</v>
      </c>
      <c r="I318" s="6" t="s">
        <v>785</v>
      </c>
    </row>
    <row r="319" spans="1:9">
      <c r="A319" s="7" t="s">
        <v>210</v>
      </c>
      <c r="B319" s="15">
        <v>46075</v>
      </c>
      <c r="C319" s="5" t="s">
        <v>212</v>
      </c>
      <c r="D319" s="14">
        <v>6</v>
      </c>
      <c r="E319" s="5" t="s">
        <v>465</v>
      </c>
      <c r="F319" s="4" t="s">
        <v>450</v>
      </c>
      <c r="G319" s="6" t="s">
        <v>466</v>
      </c>
      <c r="H319" s="6" t="s">
        <v>215</v>
      </c>
      <c r="I319" s="6" t="s">
        <v>786</v>
      </c>
    </row>
    <row r="320" spans="1:9">
      <c r="A320" s="7" t="s">
        <v>210</v>
      </c>
      <c r="B320" s="15">
        <v>46075</v>
      </c>
      <c r="C320" s="5" t="s">
        <v>212</v>
      </c>
      <c r="D320" s="14">
        <v>7</v>
      </c>
      <c r="E320" s="5" t="s">
        <v>468</v>
      </c>
      <c r="F320" s="4" t="s">
        <v>498</v>
      </c>
      <c r="G320" s="6" t="s">
        <v>469</v>
      </c>
      <c r="H320" s="6" t="s">
        <v>215</v>
      </c>
      <c r="I320" s="6" t="s">
        <v>787</v>
      </c>
    </row>
    <row r="321" spans="1:9">
      <c r="A321" s="7" t="s">
        <v>210</v>
      </c>
      <c r="B321" s="15">
        <v>46075</v>
      </c>
      <c r="C321" s="5" t="s">
        <v>212</v>
      </c>
      <c r="D321" s="14">
        <v>8</v>
      </c>
      <c r="E321" s="5" t="s">
        <v>471</v>
      </c>
      <c r="F321" s="4" t="s">
        <v>450</v>
      </c>
      <c r="G321" s="6" t="s">
        <v>472</v>
      </c>
      <c r="H321" s="6" t="s">
        <v>215</v>
      </c>
      <c r="I321" s="6" t="s">
        <v>788</v>
      </c>
    </row>
    <row r="322" spans="1:9">
      <c r="A322" s="7" t="s">
        <v>210</v>
      </c>
      <c r="B322" s="15">
        <v>46075</v>
      </c>
      <c r="C322" s="5" t="s">
        <v>212</v>
      </c>
      <c r="D322" s="14">
        <v>9</v>
      </c>
      <c r="E322" s="5" t="s">
        <v>474</v>
      </c>
      <c r="F322" s="4" t="s">
        <v>450</v>
      </c>
      <c r="G322" s="6" t="s">
        <v>475</v>
      </c>
      <c r="H322" s="6" t="s">
        <v>215</v>
      </c>
      <c r="I322" s="6" t="s">
        <v>789</v>
      </c>
    </row>
    <row r="323" spans="1:9">
      <c r="A323" s="7" t="s">
        <v>210</v>
      </c>
      <c r="B323" s="15">
        <v>46075</v>
      </c>
      <c r="C323" s="5" t="s">
        <v>212</v>
      </c>
      <c r="D323" s="14">
        <v>10</v>
      </c>
      <c r="E323" s="5" t="s">
        <v>477</v>
      </c>
      <c r="F323" s="4" t="s">
        <v>450</v>
      </c>
      <c r="G323" s="6" t="s">
        <v>478</v>
      </c>
      <c r="H323" s="6" t="s">
        <v>215</v>
      </c>
      <c r="I323" s="6" t="s">
        <v>790</v>
      </c>
    </row>
    <row r="324" spans="1:9">
      <c r="A324" s="7" t="s">
        <v>216</v>
      </c>
      <c r="B324" s="15">
        <v>46106</v>
      </c>
      <c r="C324" s="5" t="s">
        <v>218</v>
      </c>
      <c r="D324" s="14">
        <v>1</v>
      </c>
      <c r="E324" s="5" t="s">
        <v>449</v>
      </c>
      <c r="F324" s="4" t="s">
        <v>450</v>
      </c>
      <c r="G324" s="6" t="s">
        <v>451</v>
      </c>
      <c r="H324" s="6" t="s">
        <v>221</v>
      </c>
      <c r="I324" s="6" t="s">
        <v>791</v>
      </c>
    </row>
    <row r="325" spans="1:9">
      <c r="A325" s="7" t="s">
        <v>216</v>
      </c>
      <c r="B325" s="15">
        <v>46106</v>
      </c>
      <c r="C325" s="5" t="s">
        <v>218</v>
      </c>
      <c r="D325" s="14">
        <v>2</v>
      </c>
      <c r="E325" s="5" t="s">
        <v>453</v>
      </c>
      <c r="F325" s="4" t="s">
        <v>450</v>
      </c>
      <c r="G325" s="6" t="s">
        <v>454</v>
      </c>
      <c r="H325" s="6" t="s">
        <v>221</v>
      </c>
      <c r="I325" s="6" t="s">
        <v>792</v>
      </c>
    </row>
    <row r="326" spans="1:9">
      <c r="A326" s="7" t="s">
        <v>216</v>
      </c>
      <c r="B326" s="15">
        <v>46106</v>
      </c>
      <c r="C326" s="5" t="s">
        <v>218</v>
      </c>
      <c r="D326" s="14">
        <v>3</v>
      </c>
      <c r="E326" s="5" t="s">
        <v>456</v>
      </c>
      <c r="F326" s="4" t="s">
        <v>450</v>
      </c>
      <c r="G326" s="6" t="s">
        <v>457</v>
      </c>
      <c r="H326" s="6" t="s">
        <v>221</v>
      </c>
      <c r="I326" s="6" t="s">
        <v>793</v>
      </c>
    </row>
    <row r="327" spans="1:9">
      <c r="A327" s="7" t="s">
        <v>216</v>
      </c>
      <c r="B327" s="15">
        <v>46106</v>
      </c>
      <c r="C327" s="5" t="s">
        <v>218</v>
      </c>
      <c r="D327" s="14">
        <v>4</v>
      </c>
      <c r="E327" s="5" t="s">
        <v>459</v>
      </c>
      <c r="F327" s="4" t="s">
        <v>498</v>
      </c>
      <c r="G327" s="6" t="s">
        <v>460</v>
      </c>
      <c r="H327" s="6" t="s">
        <v>221</v>
      </c>
      <c r="I327" s="6" t="s">
        <v>794</v>
      </c>
    </row>
    <row r="328" spans="1:9">
      <c r="A328" s="7" t="s">
        <v>216</v>
      </c>
      <c r="B328" s="15">
        <v>46106</v>
      </c>
      <c r="C328" s="5" t="s">
        <v>218</v>
      </c>
      <c r="D328" s="14">
        <v>5</v>
      </c>
      <c r="E328" s="5" t="s">
        <v>462</v>
      </c>
      <c r="F328" s="4" t="s">
        <v>450</v>
      </c>
      <c r="G328" s="6" t="s">
        <v>463</v>
      </c>
      <c r="H328" s="6" t="s">
        <v>221</v>
      </c>
      <c r="I328" s="6" t="s">
        <v>795</v>
      </c>
    </row>
    <row r="329" spans="1:9">
      <c r="A329" s="7" t="s">
        <v>216</v>
      </c>
      <c r="B329" s="15">
        <v>46106</v>
      </c>
      <c r="C329" s="5" t="s">
        <v>218</v>
      </c>
      <c r="D329" s="14">
        <v>6</v>
      </c>
      <c r="E329" s="5" t="s">
        <v>465</v>
      </c>
      <c r="F329" s="4" t="s">
        <v>450</v>
      </c>
      <c r="G329" s="6" t="s">
        <v>466</v>
      </c>
      <c r="H329" s="6" t="s">
        <v>221</v>
      </c>
      <c r="I329" s="6" t="s">
        <v>796</v>
      </c>
    </row>
    <row r="330" spans="1:9">
      <c r="A330" s="7" t="s">
        <v>216</v>
      </c>
      <c r="B330" s="15">
        <v>46106</v>
      </c>
      <c r="C330" s="5" t="s">
        <v>218</v>
      </c>
      <c r="D330" s="14">
        <v>7</v>
      </c>
      <c r="E330" s="5" t="s">
        <v>468</v>
      </c>
      <c r="F330" s="4" t="s">
        <v>450</v>
      </c>
      <c r="G330" s="6" t="s">
        <v>469</v>
      </c>
      <c r="H330" s="6" t="s">
        <v>221</v>
      </c>
      <c r="I330" s="6" t="s">
        <v>797</v>
      </c>
    </row>
    <row r="331" spans="1:9">
      <c r="A331" s="7" t="s">
        <v>216</v>
      </c>
      <c r="B331" s="15">
        <v>46106</v>
      </c>
      <c r="C331" s="5" t="s">
        <v>218</v>
      </c>
      <c r="D331" s="14">
        <v>8</v>
      </c>
      <c r="E331" s="5" t="s">
        <v>471</v>
      </c>
      <c r="F331" s="4" t="s">
        <v>450</v>
      </c>
      <c r="G331" s="6" t="s">
        <v>472</v>
      </c>
      <c r="H331" s="6" t="s">
        <v>221</v>
      </c>
      <c r="I331" s="6" t="s">
        <v>798</v>
      </c>
    </row>
    <row r="332" spans="1:9">
      <c r="A332" s="7" t="s">
        <v>216</v>
      </c>
      <c r="B332" s="15">
        <v>46106</v>
      </c>
      <c r="C332" s="5" t="s">
        <v>218</v>
      </c>
      <c r="D332" s="14">
        <v>9</v>
      </c>
      <c r="E332" s="5" t="s">
        <v>474</v>
      </c>
      <c r="F332" s="4" t="s">
        <v>450</v>
      </c>
      <c r="G332" s="6" t="s">
        <v>475</v>
      </c>
      <c r="H332" s="6" t="s">
        <v>221</v>
      </c>
      <c r="I332" s="6" t="s">
        <v>799</v>
      </c>
    </row>
    <row r="333" spans="1:9">
      <c r="A333" s="7" t="s">
        <v>216</v>
      </c>
      <c r="B333" s="15">
        <v>46106</v>
      </c>
      <c r="C333" s="5" t="s">
        <v>218</v>
      </c>
      <c r="D333" s="14">
        <v>10</v>
      </c>
      <c r="E333" s="5" t="s">
        <v>477</v>
      </c>
      <c r="F333" s="4" t="s">
        <v>450</v>
      </c>
      <c r="G333" s="6" t="s">
        <v>478</v>
      </c>
      <c r="H333" s="6" t="s">
        <v>221</v>
      </c>
      <c r="I333" s="6" t="s">
        <v>800</v>
      </c>
    </row>
    <row r="334" spans="1:9">
      <c r="A334" s="7" t="s">
        <v>222</v>
      </c>
      <c r="B334" s="15">
        <v>46115</v>
      </c>
      <c r="C334" s="5" t="s">
        <v>224</v>
      </c>
      <c r="D334" s="14">
        <v>1</v>
      </c>
      <c r="E334" s="5" t="s">
        <v>449</v>
      </c>
      <c r="F334" s="4" t="s">
        <v>498</v>
      </c>
      <c r="G334" s="6" t="s">
        <v>451</v>
      </c>
      <c r="H334" s="6" t="s">
        <v>227</v>
      </c>
      <c r="I334" s="6" t="s">
        <v>801</v>
      </c>
    </row>
    <row r="335" spans="1:9">
      <c r="A335" s="7" t="s">
        <v>222</v>
      </c>
      <c r="B335" s="15">
        <v>46115</v>
      </c>
      <c r="C335" s="5" t="s">
        <v>224</v>
      </c>
      <c r="D335" s="14">
        <v>2</v>
      </c>
      <c r="E335" s="5" t="s">
        <v>453</v>
      </c>
      <c r="F335" s="4" t="s">
        <v>450</v>
      </c>
      <c r="G335" s="6" t="s">
        <v>454</v>
      </c>
      <c r="H335" s="6" t="s">
        <v>227</v>
      </c>
      <c r="I335" s="6" t="s">
        <v>802</v>
      </c>
    </row>
    <row r="336" spans="1:9">
      <c r="A336" s="7" t="s">
        <v>222</v>
      </c>
      <c r="B336" s="15">
        <v>46115</v>
      </c>
      <c r="C336" s="5" t="s">
        <v>224</v>
      </c>
      <c r="D336" s="14">
        <v>3</v>
      </c>
      <c r="E336" s="5" t="s">
        <v>456</v>
      </c>
      <c r="F336" s="4" t="s">
        <v>450</v>
      </c>
      <c r="G336" s="6" t="s">
        <v>457</v>
      </c>
      <c r="H336" s="6" t="s">
        <v>227</v>
      </c>
      <c r="I336" s="6" t="s">
        <v>803</v>
      </c>
    </row>
    <row r="337" spans="1:9">
      <c r="A337" s="7" t="s">
        <v>222</v>
      </c>
      <c r="B337" s="15">
        <v>46115</v>
      </c>
      <c r="C337" s="5" t="s">
        <v>224</v>
      </c>
      <c r="D337" s="14">
        <v>4</v>
      </c>
      <c r="E337" s="5" t="s">
        <v>459</v>
      </c>
      <c r="F337" s="4" t="s">
        <v>450</v>
      </c>
      <c r="G337" s="6" t="s">
        <v>460</v>
      </c>
      <c r="H337" s="6" t="s">
        <v>227</v>
      </c>
      <c r="I337" s="6" t="s">
        <v>804</v>
      </c>
    </row>
    <row r="338" spans="1:9">
      <c r="A338" s="7" t="s">
        <v>222</v>
      </c>
      <c r="B338" s="15">
        <v>46115</v>
      </c>
      <c r="C338" s="5" t="s">
        <v>224</v>
      </c>
      <c r="D338" s="14">
        <v>5</v>
      </c>
      <c r="E338" s="5" t="s">
        <v>462</v>
      </c>
      <c r="F338" s="4" t="s">
        <v>450</v>
      </c>
      <c r="G338" s="6" t="s">
        <v>463</v>
      </c>
      <c r="H338" s="6" t="s">
        <v>227</v>
      </c>
      <c r="I338" s="6" t="s">
        <v>805</v>
      </c>
    </row>
    <row r="339" spans="1:9">
      <c r="A339" s="7" t="s">
        <v>222</v>
      </c>
      <c r="B339" s="15">
        <v>46115</v>
      </c>
      <c r="C339" s="5" t="s">
        <v>224</v>
      </c>
      <c r="D339" s="14">
        <v>6</v>
      </c>
      <c r="E339" s="5" t="s">
        <v>465</v>
      </c>
      <c r="F339" s="4" t="s">
        <v>450</v>
      </c>
      <c r="G339" s="6" t="s">
        <v>466</v>
      </c>
      <c r="H339" s="6" t="s">
        <v>227</v>
      </c>
      <c r="I339" s="6" t="s">
        <v>806</v>
      </c>
    </row>
    <row r="340" spans="1:9">
      <c r="A340" s="7" t="s">
        <v>222</v>
      </c>
      <c r="B340" s="15">
        <v>46115</v>
      </c>
      <c r="C340" s="5" t="s">
        <v>224</v>
      </c>
      <c r="D340" s="14">
        <v>7</v>
      </c>
      <c r="E340" s="5" t="s">
        <v>468</v>
      </c>
      <c r="F340" s="4" t="s">
        <v>450</v>
      </c>
      <c r="G340" s="6" t="s">
        <v>469</v>
      </c>
      <c r="H340" s="6" t="s">
        <v>227</v>
      </c>
      <c r="I340" s="6" t="s">
        <v>807</v>
      </c>
    </row>
    <row r="341" spans="1:9">
      <c r="A341" s="7" t="s">
        <v>222</v>
      </c>
      <c r="B341" s="15">
        <v>46115</v>
      </c>
      <c r="C341" s="5" t="s">
        <v>224</v>
      </c>
      <c r="D341" s="14">
        <v>8</v>
      </c>
      <c r="E341" s="5" t="s">
        <v>471</v>
      </c>
      <c r="F341" s="4" t="s">
        <v>450</v>
      </c>
      <c r="G341" s="6" t="s">
        <v>472</v>
      </c>
      <c r="H341" s="6" t="s">
        <v>227</v>
      </c>
      <c r="I341" s="6" t="s">
        <v>808</v>
      </c>
    </row>
    <row r="342" spans="1:9">
      <c r="A342" s="7" t="s">
        <v>222</v>
      </c>
      <c r="B342" s="15">
        <v>46115</v>
      </c>
      <c r="C342" s="5" t="s">
        <v>224</v>
      </c>
      <c r="D342" s="14">
        <v>9</v>
      </c>
      <c r="E342" s="5" t="s">
        <v>474</v>
      </c>
      <c r="F342" s="4" t="s">
        <v>450</v>
      </c>
      <c r="G342" s="6" t="s">
        <v>475</v>
      </c>
      <c r="H342" s="6" t="s">
        <v>227</v>
      </c>
      <c r="I342" s="6" t="s">
        <v>809</v>
      </c>
    </row>
    <row r="343" spans="1:9">
      <c r="A343" s="7" t="s">
        <v>222</v>
      </c>
      <c r="B343" s="15">
        <v>46115</v>
      </c>
      <c r="C343" s="5" t="s">
        <v>224</v>
      </c>
      <c r="D343" s="14">
        <v>10</v>
      </c>
      <c r="E343" s="5" t="s">
        <v>477</v>
      </c>
      <c r="F343" s="4" t="s">
        <v>450</v>
      </c>
      <c r="G343" s="6" t="s">
        <v>478</v>
      </c>
      <c r="H343" s="6" t="s">
        <v>227</v>
      </c>
      <c r="I343" s="6" t="s">
        <v>810</v>
      </c>
    </row>
    <row r="344" spans="1:9">
      <c r="A344" s="7" t="s">
        <v>228</v>
      </c>
      <c r="B344" s="15">
        <v>46148</v>
      </c>
      <c r="C344" s="5" t="s">
        <v>230</v>
      </c>
      <c r="D344" s="14">
        <v>1</v>
      </c>
      <c r="E344" s="5" t="s">
        <v>449</v>
      </c>
      <c r="F344" s="4" t="s">
        <v>450</v>
      </c>
      <c r="G344" s="6" t="s">
        <v>451</v>
      </c>
      <c r="H344" s="6" t="s">
        <v>233</v>
      </c>
      <c r="I344" s="6" t="s">
        <v>811</v>
      </c>
    </row>
    <row r="345" spans="1:9">
      <c r="A345" s="7" t="s">
        <v>228</v>
      </c>
      <c r="B345" s="15">
        <v>46148</v>
      </c>
      <c r="C345" s="5" t="s">
        <v>230</v>
      </c>
      <c r="D345" s="14">
        <v>2</v>
      </c>
      <c r="E345" s="5" t="s">
        <v>453</v>
      </c>
      <c r="F345" s="4" t="s">
        <v>450</v>
      </c>
      <c r="G345" s="6" t="s">
        <v>454</v>
      </c>
      <c r="H345" s="6" t="s">
        <v>233</v>
      </c>
      <c r="I345" s="6" t="s">
        <v>812</v>
      </c>
    </row>
    <row r="346" spans="1:9">
      <c r="A346" s="7" t="s">
        <v>228</v>
      </c>
      <c r="B346" s="15">
        <v>46148</v>
      </c>
      <c r="C346" s="5" t="s">
        <v>230</v>
      </c>
      <c r="D346" s="14">
        <v>3</v>
      </c>
      <c r="E346" s="5" t="s">
        <v>456</v>
      </c>
      <c r="F346" s="4" t="s">
        <v>450</v>
      </c>
      <c r="G346" s="6" t="s">
        <v>457</v>
      </c>
      <c r="H346" s="6" t="s">
        <v>233</v>
      </c>
      <c r="I346" s="6" t="s">
        <v>813</v>
      </c>
    </row>
    <row r="347" spans="1:9">
      <c r="A347" s="7" t="s">
        <v>228</v>
      </c>
      <c r="B347" s="15">
        <v>46148</v>
      </c>
      <c r="C347" s="5" t="s">
        <v>230</v>
      </c>
      <c r="D347" s="14">
        <v>4</v>
      </c>
      <c r="E347" s="5" t="s">
        <v>459</v>
      </c>
      <c r="F347" s="4" t="s">
        <v>450</v>
      </c>
      <c r="G347" s="6" t="s">
        <v>460</v>
      </c>
      <c r="H347" s="6" t="s">
        <v>233</v>
      </c>
      <c r="I347" s="6" t="s">
        <v>814</v>
      </c>
    </row>
    <row r="348" spans="1:9">
      <c r="A348" s="7" t="s">
        <v>228</v>
      </c>
      <c r="B348" s="15">
        <v>46148</v>
      </c>
      <c r="C348" s="5" t="s">
        <v>230</v>
      </c>
      <c r="D348" s="14">
        <v>5</v>
      </c>
      <c r="E348" s="5" t="s">
        <v>462</v>
      </c>
      <c r="F348" s="4" t="s">
        <v>450</v>
      </c>
      <c r="G348" s="6" t="s">
        <v>463</v>
      </c>
      <c r="H348" s="6" t="s">
        <v>233</v>
      </c>
      <c r="I348" s="6" t="s">
        <v>815</v>
      </c>
    </row>
    <row r="349" spans="1:9">
      <c r="A349" s="7" t="s">
        <v>228</v>
      </c>
      <c r="B349" s="15">
        <v>46148</v>
      </c>
      <c r="C349" s="5" t="s">
        <v>230</v>
      </c>
      <c r="D349" s="14">
        <v>6</v>
      </c>
      <c r="E349" s="5" t="s">
        <v>465</v>
      </c>
      <c r="F349" s="4" t="s">
        <v>450</v>
      </c>
      <c r="G349" s="6" t="s">
        <v>466</v>
      </c>
      <c r="H349" s="6" t="s">
        <v>233</v>
      </c>
      <c r="I349" s="6" t="s">
        <v>816</v>
      </c>
    </row>
    <row r="350" spans="1:9">
      <c r="A350" s="7" t="s">
        <v>228</v>
      </c>
      <c r="B350" s="15">
        <v>46148</v>
      </c>
      <c r="C350" s="5" t="s">
        <v>230</v>
      </c>
      <c r="D350" s="14">
        <v>7</v>
      </c>
      <c r="E350" s="5" t="s">
        <v>468</v>
      </c>
      <c r="F350" s="4" t="s">
        <v>450</v>
      </c>
      <c r="G350" s="6" t="s">
        <v>469</v>
      </c>
      <c r="H350" s="6" t="s">
        <v>233</v>
      </c>
      <c r="I350" s="6" t="s">
        <v>817</v>
      </c>
    </row>
    <row r="351" spans="1:9">
      <c r="A351" s="7" t="s">
        <v>228</v>
      </c>
      <c r="B351" s="15">
        <v>46148</v>
      </c>
      <c r="C351" s="5" t="s">
        <v>230</v>
      </c>
      <c r="D351" s="14">
        <v>8</v>
      </c>
      <c r="E351" s="5" t="s">
        <v>471</v>
      </c>
      <c r="F351" s="4" t="s">
        <v>450</v>
      </c>
      <c r="G351" s="6" t="s">
        <v>472</v>
      </c>
      <c r="H351" s="6" t="s">
        <v>233</v>
      </c>
      <c r="I351" s="6" t="s">
        <v>818</v>
      </c>
    </row>
    <row r="352" spans="1:9">
      <c r="A352" s="7" t="s">
        <v>228</v>
      </c>
      <c r="B352" s="15">
        <v>46148</v>
      </c>
      <c r="C352" s="5" t="s">
        <v>230</v>
      </c>
      <c r="D352" s="14">
        <v>9</v>
      </c>
      <c r="E352" s="5" t="s">
        <v>474</v>
      </c>
      <c r="F352" s="4" t="s">
        <v>450</v>
      </c>
      <c r="G352" s="6" t="s">
        <v>475</v>
      </c>
      <c r="H352" s="6" t="s">
        <v>233</v>
      </c>
      <c r="I352" s="6" t="s">
        <v>819</v>
      </c>
    </row>
    <row r="353" spans="1:9">
      <c r="A353" s="7" t="s">
        <v>228</v>
      </c>
      <c r="B353" s="15">
        <v>46148</v>
      </c>
      <c r="C353" s="5" t="s">
        <v>230</v>
      </c>
      <c r="D353" s="14">
        <v>10</v>
      </c>
      <c r="E353" s="5" t="s">
        <v>477</v>
      </c>
      <c r="F353" s="4" t="s">
        <v>450</v>
      </c>
      <c r="G353" s="6" t="s">
        <v>478</v>
      </c>
      <c r="H353" s="6" t="s">
        <v>233</v>
      </c>
      <c r="I353" s="6" t="s">
        <v>820</v>
      </c>
    </row>
    <row r="354" spans="1:9">
      <c r="A354" s="7" t="s">
        <v>234</v>
      </c>
      <c r="B354" s="15">
        <v>46182</v>
      </c>
      <c r="C354" s="5" t="s">
        <v>236</v>
      </c>
      <c r="D354" s="14">
        <v>1</v>
      </c>
      <c r="E354" s="5" t="s">
        <v>449</v>
      </c>
      <c r="F354" s="4" t="s">
        <v>450</v>
      </c>
      <c r="G354" s="6" t="s">
        <v>451</v>
      </c>
      <c r="H354" s="6" t="s">
        <v>239</v>
      </c>
      <c r="I354" s="6" t="s">
        <v>821</v>
      </c>
    </row>
    <row r="355" spans="1:9">
      <c r="A355" s="7" t="s">
        <v>234</v>
      </c>
      <c r="B355" s="15">
        <v>46182</v>
      </c>
      <c r="C355" s="5" t="s">
        <v>236</v>
      </c>
      <c r="D355" s="14">
        <v>2</v>
      </c>
      <c r="E355" s="5" t="s">
        <v>453</v>
      </c>
      <c r="F355" s="4" t="s">
        <v>450</v>
      </c>
      <c r="G355" s="6" t="s">
        <v>454</v>
      </c>
      <c r="H355" s="6" t="s">
        <v>239</v>
      </c>
      <c r="I355" s="6" t="s">
        <v>822</v>
      </c>
    </row>
    <row r="356" spans="1:9">
      <c r="A356" s="7" t="s">
        <v>234</v>
      </c>
      <c r="B356" s="15">
        <v>46182</v>
      </c>
      <c r="C356" s="5" t="s">
        <v>236</v>
      </c>
      <c r="D356" s="14">
        <v>3</v>
      </c>
      <c r="E356" s="5" t="s">
        <v>456</v>
      </c>
      <c r="F356" s="4" t="s">
        <v>450</v>
      </c>
      <c r="G356" s="6" t="s">
        <v>457</v>
      </c>
      <c r="H356" s="6" t="s">
        <v>239</v>
      </c>
      <c r="I356" s="6" t="s">
        <v>823</v>
      </c>
    </row>
    <row r="357" spans="1:9">
      <c r="A357" s="7" t="s">
        <v>234</v>
      </c>
      <c r="B357" s="15">
        <v>46182</v>
      </c>
      <c r="C357" s="5" t="s">
        <v>236</v>
      </c>
      <c r="D357" s="14">
        <v>4</v>
      </c>
      <c r="E357" s="5" t="s">
        <v>459</v>
      </c>
      <c r="F357" s="4" t="s">
        <v>450</v>
      </c>
      <c r="G357" s="6" t="s">
        <v>460</v>
      </c>
      <c r="H357" s="6" t="s">
        <v>239</v>
      </c>
      <c r="I357" s="6" t="s">
        <v>824</v>
      </c>
    </row>
    <row r="358" spans="1:9">
      <c r="A358" s="7" t="s">
        <v>234</v>
      </c>
      <c r="B358" s="15">
        <v>46182</v>
      </c>
      <c r="C358" s="5" t="s">
        <v>236</v>
      </c>
      <c r="D358" s="14">
        <v>5</v>
      </c>
      <c r="E358" s="5" t="s">
        <v>462</v>
      </c>
      <c r="F358" s="4" t="s">
        <v>450</v>
      </c>
      <c r="G358" s="6" t="s">
        <v>463</v>
      </c>
      <c r="H358" s="6" t="s">
        <v>239</v>
      </c>
      <c r="I358" s="6" t="s">
        <v>825</v>
      </c>
    </row>
    <row r="359" spans="1:9">
      <c r="A359" s="7" t="s">
        <v>234</v>
      </c>
      <c r="B359" s="15">
        <v>46182</v>
      </c>
      <c r="C359" s="5" t="s">
        <v>236</v>
      </c>
      <c r="D359" s="14">
        <v>6</v>
      </c>
      <c r="E359" s="5" t="s">
        <v>465</v>
      </c>
      <c r="F359" s="4" t="s">
        <v>450</v>
      </c>
      <c r="G359" s="6" t="s">
        <v>466</v>
      </c>
      <c r="H359" s="6" t="s">
        <v>239</v>
      </c>
      <c r="I359" s="6" t="s">
        <v>826</v>
      </c>
    </row>
    <row r="360" spans="1:9">
      <c r="A360" s="7" t="s">
        <v>234</v>
      </c>
      <c r="B360" s="15">
        <v>46182</v>
      </c>
      <c r="C360" s="5" t="s">
        <v>236</v>
      </c>
      <c r="D360" s="14">
        <v>7</v>
      </c>
      <c r="E360" s="5" t="s">
        <v>468</v>
      </c>
      <c r="F360" s="4" t="s">
        <v>450</v>
      </c>
      <c r="G360" s="6" t="s">
        <v>469</v>
      </c>
      <c r="H360" s="6" t="s">
        <v>239</v>
      </c>
      <c r="I360" s="6" t="s">
        <v>827</v>
      </c>
    </row>
    <row r="361" spans="1:9">
      <c r="A361" s="7" t="s">
        <v>234</v>
      </c>
      <c r="B361" s="15">
        <v>46182</v>
      </c>
      <c r="C361" s="5" t="s">
        <v>236</v>
      </c>
      <c r="D361" s="14">
        <v>8</v>
      </c>
      <c r="E361" s="5" t="s">
        <v>471</v>
      </c>
      <c r="F361" s="4" t="s">
        <v>450</v>
      </c>
      <c r="G361" s="6" t="s">
        <v>472</v>
      </c>
      <c r="H361" s="6" t="s">
        <v>239</v>
      </c>
      <c r="I361" s="6" t="s">
        <v>828</v>
      </c>
    </row>
    <row r="362" spans="1:9">
      <c r="A362" s="7" t="s">
        <v>234</v>
      </c>
      <c r="B362" s="15">
        <v>46182</v>
      </c>
      <c r="C362" s="5" t="s">
        <v>236</v>
      </c>
      <c r="D362" s="14">
        <v>9</v>
      </c>
      <c r="E362" s="5" t="s">
        <v>474</v>
      </c>
      <c r="F362" s="4" t="s">
        <v>450</v>
      </c>
      <c r="G362" s="6" t="s">
        <v>475</v>
      </c>
      <c r="H362" s="6" t="s">
        <v>239</v>
      </c>
      <c r="I362" s="6" t="s">
        <v>829</v>
      </c>
    </row>
    <row r="363" spans="1:9">
      <c r="A363" s="7" t="s">
        <v>234</v>
      </c>
      <c r="B363" s="15">
        <v>46182</v>
      </c>
      <c r="C363" s="5" t="s">
        <v>236</v>
      </c>
      <c r="D363" s="14">
        <v>10</v>
      </c>
      <c r="E363" s="5" t="s">
        <v>477</v>
      </c>
      <c r="F363" s="4" t="s">
        <v>450</v>
      </c>
      <c r="G363" s="6" t="s">
        <v>478</v>
      </c>
      <c r="H363" s="6" t="s">
        <v>239</v>
      </c>
      <c r="I363" s="6" t="s">
        <v>830</v>
      </c>
    </row>
    <row r="364" spans="1:9">
      <c r="A364" s="7" t="s">
        <v>240</v>
      </c>
      <c r="B364" s="15">
        <v>46034</v>
      </c>
      <c r="C364" s="5" t="s">
        <v>242</v>
      </c>
      <c r="D364" s="14">
        <v>1</v>
      </c>
      <c r="E364" s="5" t="s">
        <v>449</v>
      </c>
      <c r="F364" s="4" t="s">
        <v>450</v>
      </c>
      <c r="G364" s="6" t="s">
        <v>451</v>
      </c>
      <c r="H364" s="6" t="s">
        <v>245</v>
      </c>
      <c r="I364" s="6" t="s">
        <v>831</v>
      </c>
    </row>
    <row r="365" spans="1:9">
      <c r="A365" s="7" t="s">
        <v>240</v>
      </c>
      <c r="B365" s="15">
        <v>46034</v>
      </c>
      <c r="C365" s="5" t="s">
        <v>242</v>
      </c>
      <c r="D365" s="14">
        <v>2</v>
      </c>
      <c r="E365" s="5" t="s">
        <v>453</v>
      </c>
      <c r="F365" s="4" t="s">
        <v>450</v>
      </c>
      <c r="G365" s="6" t="s">
        <v>454</v>
      </c>
      <c r="H365" s="6" t="s">
        <v>245</v>
      </c>
      <c r="I365" s="6" t="s">
        <v>832</v>
      </c>
    </row>
    <row r="366" spans="1:9">
      <c r="A366" s="7" t="s">
        <v>240</v>
      </c>
      <c r="B366" s="15">
        <v>46034</v>
      </c>
      <c r="C366" s="5" t="s">
        <v>242</v>
      </c>
      <c r="D366" s="14">
        <v>3</v>
      </c>
      <c r="E366" s="5" t="s">
        <v>456</v>
      </c>
      <c r="F366" s="4" t="s">
        <v>450</v>
      </c>
      <c r="G366" s="6" t="s">
        <v>457</v>
      </c>
      <c r="H366" s="6" t="s">
        <v>245</v>
      </c>
      <c r="I366" s="6" t="s">
        <v>833</v>
      </c>
    </row>
    <row r="367" spans="1:9">
      <c r="A367" s="7" t="s">
        <v>240</v>
      </c>
      <c r="B367" s="15">
        <v>46034</v>
      </c>
      <c r="C367" s="5" t="s">
        <v>242</v>
      </c>
      <c r="D367" s="14">
        <v>4</v>
      </c>
      <c r="E367" s="5" t="s">
        <v>459</v>
      </c>
      <c r="F367" s="4" t="s">
        <v>450</v>
      </c>
      <c r="G367" s="6" t="s">
        <v>460</v>
      </c>
      <c r="H367" s="6" t="s">
        <v>245</v>
      </c>
      <c r="I367" s="6" t="s">
        <v>834</v>
      </c>
    </row>
    <row r="368" spans="1:9">
      <c r="A368" s="7" t="s">
        <v>240</v>
      </c>
      <c r="B368" s="15">
        <v>46034</v>
      </c>
      <c r="C368" s="5" t="s">
        <v>242</v>
      </c>
      <c r="D368" s="14">
        <v>5</v>
      </c>
      <c r="E368" s="5" t="s">
        <v>462</v>
      </c>
      <c r="F368" s="4" t="s">
        <v>450</v>
      </c>
      <c r="G368" s="6" t="s">
        <v>463</v>
      </c>
      <c r="H368" s="6" t="s">
        <v>245</v>
      </c>
      <c r="I368" s="6" t="s">
        <v>835</v>
      </c>
    </row>
    <row r="369" spans="1:9">
      <c r="A369" s="7" t="s">
        <v>240</v>
      </c>
      <c r="B369" s="15">
        <v>46034</v>
      </c>
      <c r="C369" s="5" t="s">
        <v>242</v>
      </c>
      <c r="D369" s="14">
        <v>6</v>
      </c>
      <c r="E369" s="5" t="s">
        <v>465</v>
      </c>
      <c r="F369" s="4" t="s">
        <v>450</v>
      </c>
      <c r="G369" s="6" t="s">
        <v>466</v>
      </c>
      <c r="H369" s="6" t="s">
        <v>245</v>
      </c>
      <c r="I369" s="6" t="s">
        <v>836</v>
      </c>
    </row>
    <row r="370" spans="1:9">
      <c r="A370" s="7" t="s">
        <v>240</v>
      </c>
      <c r="B370" s="15">
        <v>46034</v>
      </c>
      <c r="C370" s="5" t="s">
        <v>242</v>
      </c>
      <c r="D370" s="14">
        <v>7</v>
      </c>
      <c r="E370" s="5" t="s">
        <v>468</v>
      </c>
      <c r="F370" s="4" t="s">
        <v>450</v>
      </c>
      <c r="G370" s="6" t="s">
        <v>469</v>
      </c>
      <c r="H370" s="6" t="s">
        <v>245</v>
      </c>
      <c r="I370" s="6" t="s">
        <v>837</v>
      </c>
    </row>
    <row r="371" spans="1:9">
      <c r="A371" s="7" t="s">
        <v>240</v>
      </c>
      <c r="B371" s="15">
        <v>46034</v>
      </c>
      <c r="C371" s="5" t="s">
        <v>242</v>
      </c>
      <c r="D371" s="14">
        <v>8</v>
      </c>
      <c r="E371" s="5" t="s">
        <v>471</v>
      </c>
      <c r="F371" s="4" t="s">
        <v>450</v>
      </c>
      <c r="G371" s="6" t="s">
        <v>472</v>
      </c>
      <c r="H371" s="6" t="s">
        <v>245</v>
      </c>
      <c r="I371" s="6" t="s">
        <v>838</v>
      </c>
    </row>
    <row r="372" spans="1:9">
      <c r="A372" s="7" t="s">
        <v>240</v>
      </c>
      <c r="B372" s="15">
        <v>46034</v>
      </c>
      <c r="C372" s="5" t="s">
        <v>242</v>
      </c>
      <c r="D372" s="14">
        <v>9</v>
      </c>
      <c r="E372" s="5" t="s">
        <v>474</v>
      </c>
      <c r="F372" s="4" t="s">
        <v>498</v>
      </c>
      <c r="G372" s="6" t="s">
        <v>475</v>
      </c>
      <c r="H372" s="6" t="s">
        <v>245</v>
      </c>
      <c r="I372" s="6" t="s">
        <v>839</v>
      </c>
    </row>
    <row r="373" spans="1:9">
      <c r="A373" s="7" t="s">
        <v>240</v>
      </c>
      <c r="B373" s="15">
        <v>46034</v>
      </c>
      <c r="C373" s="5" t="s">
        <v>242</v>
      </c>
      <c r="D373" s="14">
        <v>10</v>
      </c>
      <c r="E373" s="5" t="s">
        <v>477</v>
      </c>
      <c r="F373" s="4" t="s">
        <v>450</v>
      </c>
      <c r="G373" s="6" t="s">
        <v>478</v>
      </c>
      <c r="H373" s="6" t="s">
        <v>245</v>
      </c>
      <c r="I373" s="6" t="s">
        <v>840</v>
      </c>
    </row>
    <row r="374" spans="1:9">
      <c r="A374" s="7" t="s">
        <v>246</v>
      </c>
      <c r="B374" s="15">
        <v>46068</v>
      </c>
      <c r="C374" s="5" t="s">
        <v>248</v>
      </c>
      <c r="D374" s="14">
        <v>1</v>
      </c>
      <c r="E374" s="5" t="s">
        <v>449</v>
      </c>
      <c r="F374" s="4" t="s">
        <v>450</v>
      </c>
      <c r="G374" s="6" t="s">
        <v>451</v>
      </c>
      <c r="H374" s="6" t="s">
        <v>251</v>
      </c>
      <c r="I374" s="6" t="s">
        <v>841</v>
      </c>
    </row>
    <row r="375" spans="1:9">
      <c r="A375" s="7" t="s">
        <v>246</v>
      </c>
      <c r="B375" s="15">
        <v>46068</v>
      </c>
      <c r="C375" s="5" t="s">
        <v>248</v>
      </c>
      <c r="D375" s="14">
        <v>2</v>
      </c>
      <c r="E375" s="5" t="s">
        <v>453</v>
      </c>
      <c r="F375" s="4" t="s">
        <v>450</v>
      </c>
      <c r="G375" s="6" t="s">
        <v>454</v>
      </c>
      <c r="H375" s="6" t="s">
        <v>251</v>
      </c>
      <c r="I375" s="6" t="s">
        <v>842</v>
      </c>
    </row>
    <row r="376" spans="1:9">
      <c r="A376" s="7" t="s">
        <v>246</v>
      </c>
      <c r="B376" s="15">
        <v>46068</v>
      </c>
      <c r="C376" s="5" t="s">
        <v>248</v>
      </c>
      <c r="D376" s="14">
        <v>3</v>
      </c>
      <c r="E376" s="5" t="s">
        <v>456</v>
      </c>
      <c r="F376" s="4" t="s">
        <v>450</v>
      </c>
      <c r="G376" s="6" t="s">
        <v>457</v>
      </c>
      <c r="H376" s="6" t="s">
        <v>251</v>
      </c>
      <c r="I376" s="6" t="s">
        <v>843</v>
      </c>
    </row>
    <row r="377" spans="1:9">
      <c r="A377" s="7" t="s">
        <v>246</v>
      </c>
      <c r="B377" s="15">
        <v>46068</v>
      </c>
      <c r="C377" s="5" t="s">
        <v>248</v>
      </c>
      <c r="D377" s="14">
        <v>4</v>
      </c>
      <c r="E377" s="5" t="s">
        <v>459</v>
      </c>
      <c r="F377" s="4" t="s">
        <v>450</v>
      </c>
      <c r="G377" s="6" t="s">
        <v>460</v>
      </c>
      <c r="H377" s="6" t="s">
        <v>251</v>
      </c>
      <c r="I377" s="6" t="s">
        <v>844</v>
      </c>
    </row>
    <row r="378" spans="1:9">
      <c r="A378" s="7" t="s">
        <v>246</v>
      </c>
      <c r="B378" s="15">
        <v>46068</v>
      </c>
      <c r="C378" s="5" t="s">
        <v>248</v>
      </c>
      <c r="D378" s="14">
        <v>5</v>
      </c>
      <c r="E378" s="5" t="s">
        <v>462</v>
      </c>
      <c r="F378" s="4" t="s">
        <v>450</v>
      </c>
      <c r="G378" s="6" t="s">
        <v>463</v>
      </c>
      <c r="H378" s="6" t="s">
        <v>251</v>
      </c>
      <c r="I378" s="6" t="s">
        <v>845</v>
      </c>
    </row>
    <row r="379" spans="1:9">
      <c r="A379" s="7" t="s">
        <v>246</v>
      </c>
      <c r="B379" s="15">
        <v>46068</v>
      </c>
      <c r="C379" s="5" t="s">
        <v>248</v>
      </c>
      <c r="D379" s="14">
        <v>6</v>
      </c>
      <c r="E379" s="5" t="s">
        <v>465</v>
      </c>
      <c r="F379" s="4" t="s">
        <v>498</v>
      </c>
      <c r="G379" s="6" t="s">
        <v>466</v>
      </c>
      <c r="H379" s="6" t="s">
        <v>251</v>
      </c>
      <c r="I379" s="6" t="s">
        <v>846</v>
      </c>
    </row>
    <row r="380" spans="1:9">
      <c r="A380" s="7" t="s">
        <v>246</v>
      </c>
      <c r="B380" s="15">
        <v>46068</v>
      </c>
      <c r="C380" s="5" t="s">
        <v>248</v>
      </c>
      <c r="D380" s="14">
        <v>7</v>
      </c>
      <c r="E380" s="5" t="s">
        <v>468</v>
      </c>
      <c r="F380" s="4" t="s">
        <v>450</v>
      </c>
      <c r="G380" s="6" t="s">
        <v>469</v>
      </c>
      <c r="H380" s="6" t="s">
        <v>251</v>
      </c>
      <c r="I380" s="6" t="s">
        <v>847</v>
      </c>
    </row>
    <row r="381" spans="1:9">
      <c r="A381" s="7" t="s">
        <v>246</v>
      </c>
      <c r="B381" s="15">
        <v>46068</v>
      </c>
      <c r="C381" s="5" t="s">
        <v>248</v>
      </c>
      <c r="D381" s="14">
        <v>8</v>
      </c>
      <c r="E381" s="5" t="s">
        <v>471</v>
      </c>
      <c r="F381" s="4" t="s">
        <v>450</v>
      </c>
      <c r="G381" s="6" t="s">
        <v>472</v>
      </c>
      <c r="H381" s="6" t="s">
        <v>251</v>
      </c>
      <c r="I381" s="6" t="s">
        <v>848</v>
      </c>
    </row>
    <row r="382" spans="1:9">
      <c r="A382" s="7" t="s">
        <v>246</v>
      </c>
      <c r="B382" s="15">
        <v>46068</v>
      </c>
      <c r="C382" s="5" t="s">
        <v>248</v>
      </c>
      <c r="D382" s="14">
        <v>9</v>
      </c>
      <c r="E382" s="5" t="s">
        <v>474</v>
      </c>
      <c r="F382" s="4" t="s">
        <v>450</v>
      </c>
      <c r="G382" s="6" t="s">
        <v>475</v>
      </c>
      <c r="H382" s="6" t="s">
        <v>251</v>
      </c>
      <c r="I382" s="6" t="s">
        <v>849</v>
      </c>
    </row>
    <row r="383" spans="1:9">
      <c r="A383" s="7" t="s">
        <v>246</v>
      </c>
      <c r="B383" s="15">
        <v>46068</v>
      </c>
      <c r="C383" s="5" t="s">
        <v>248</v>
      </c>
      <c r="D383" s="14">
        <v>10</v>
      </c>
      <c r="E383" s="5" t="s">
        <v>477</v>
      </c>
      <c r="F383" s="4" t="s">
        <v>450</v>
      </c>
      <c r="G383" s="6" t="s">
        <v>478</v>
      </c>
      <c r="H383" s="6" t="s">
        <v>251</v>
      </c>
      <c r="I383" s="6" t="s">
        <v>850</v>
      </c>
    </row>
    <row r="384" spans="1:9">
      <c r="A384" s="7" t="s">
        <v>252</v>
      </c>
      <c r="B384" s="15">
        <v>46099</v>
      </c>
      <c r="C384" s="5" t="s">
        <v>254</v>
      </c>
      <c r="D384" s="14">
        <v>1</v>
      </c>
      <c r="E384" s="5" t="s">
        <v>449</v>
      </c>
      <c r="F384" s="4" t="s">
        <v>450</v>
      </c>
      <c r="G384" s="6" t="s">
        <v>451</v>
      </c>
      <c r="H384" s="6" t="s">
        <v>257</v>
      </c>
      <c r="I384" s="6" t="s">
        <v>851</v>
      </c>
    </row>
    <row r="385" spans="1:9">
      <c r="A385" s="7" t="s">
        <v>252</v>
      </c>
      <c r="B385" s="15">
        <v>46099</v>
      </c>
      <c r="C385" s="5" t="s">
        <v>254</v>
      </c>
      <c r="D385" s="14">
        <v>2</v>
      </c>
      <c r="E385" s="5" t="s">
        <v>453</v>
      </c>
      <c r="F385" s="4" t="s">
        <v>450</v>
      </c>
      <c r="G385" s="6" t="s">
        <v>454</v>
      </c>
      <c r="H385" s="6" t="s">
        <v>257</v>
      </c>
      <c r="I385" s="6" t="s">
        <v>852</v>
      </c>
    </row>
    <row r="386" spans="1:9">
      <c r="A386" s="7" t="s">
        <v>252</v>
      </c>
      <c r="B386" s="15">
        <v>46099</v>
      </c>
      <c r="C386" s="5" t="s">
        <v>254</v>
      </c>
      <c r="D386" s="14">
        <v>3</v>
      </c>
      <c r="E386" s="5" t="s">
        <v>456</v>
      </c>
      <c r="F386" s="4" t="s">
        <v>498</v>
      </c>
      <c r="G386" s="6" t="s">
        <v>457</v>
      </c>
      <c r="H386" s="6" t="s">
        <v>257</v>
      </c>
      <c r="I386" s="6" t="s">
        <v>853</v>
      </c>
    </row>
    <row r="387" spans="1:9">
      <c r="A387" s="7" t="s">
        <v>252</v>
      </c>
      <c r="B387" s="15">
        <v>46099</v>
      </c>
      <c r="C387" s="5" t="s">
        <v>254</v>
      </c>
      <c r="D387" s="14">
        <v>4</v>
      </c>
      <c r="E387" s="5" t="s">
        <v>459</v>
      </c>
      <c r="F387" s="4" t="s">
        <v>450</v>
      </c>
      <c r="G387" s="6" t="s">
        <v>460</v>
      </c>
      <c r="H387" s="6" t="s">
        <v>257</v>
      </c>
      <c r="I387" s="6" t="s">
        <v>854</v>
      </c>
    </row>
    <row r="388" spans="1:9">
      <c r="A388" s="7" t="s">
        <v>252</v>
      </c>
      <c r="B388" s="15">
        <v>46099</v>
      </c>
      <c r="C388" s="5" t="s">
        <v>254</v>
      </c>
      <c r="D388" s="14">
        <v>5</v>
      </c>
      <c r="E388" s="5" t="s">
        <v>462</v>
      </c>
      <c r="F388" s="4" t="s">
        <v>450</v>
      </c>
      <c r="G388" s="6" t="s">
        <v>463</v>
      </c>
      <c r="H388" s="6" t="s">
        <v>257</v>
      </c>
      <c r="I388" s="6" t="s">
        <v>855</v>
      </c>
    </row>
    <row r="389" spans="1:9">
      <c r="A389" s="7" t="s">
        <v>252</v>
      </c>
      <c r="B389" s="15">
        <v>46099</v>
      </c>
      <c r="C389" s="5" t="s">
        <v>254</v>
      </c>
      <c r="D389" s="14">
        <v>6</v>
      </c>
      <c r="E389" s="5" t="s">
        <v>465</v>
      </c>
      <c r="F389" s="4" t="s">
        <v>450</v>
      </c>
      <c r="G389" s="6" t="s">
        <v>466</v>
      </c>
      <c r="H389" s="6" t="s">
        <v>257</v>
      </c>
      <c r="I389" s="6" t="s">
        <v>856</v>
      </c>
    </row>
    <row r="390" spans="1:9">
      <c r="A390" s="7" t="s">
        <v>252</v>
      </c>
      <c r="B390" s="15">
        <v>46099</v>
      </c>
      <c r="C390" s="5" t="s">
        <v>254</v>
      </c>
      <c r="D390" s="14">
        <v>7</v>
      </c>
      <c r="E390" s="5" t="s">
        <v>468</v>
      </c>
      <c r="F390" s="4" t="s">
        <v>450</v>
      </c>
      <c r="G390" s="6" t="s">
        <v>469</v>
      </c>
      <c r="H390" s="6" t="s">
        <v>257</v>
      </c>
      <c r="I390" s="6" t="s">
        <v>857</v>
      </c>
    </row>
    <row r="391" spans="1:9">
      <c r="A391" s="7" t="s">
        <v>252</v>
      </c>
      <c r="B391" s="15">
        <v>46099</v>
      </c>
      <c r="C391" s="5" t="s">
        <v>254</v>
      </c>
      <c r="D391" s="14">
        <v>8</v>
      </c>
      <c r="E391" s="5" t="s">
        <v>471</v>
      </c>
      <c r="F391" s="4" t="s">
        <v>450</v>
      </c>
      <c r="G391" s="6" t="s">
        <v>472</v>
      </c>
      <c r="H391" s="6" t="s">
        <v>257</v>
      </c>
      <c r="I391" s="6" t="s">
        <v>858</v>
      </c>
    </row>
    <row r="392" spans="1:9">
      <c r="A392" s="7" t="s">
        <v>252</v>
      </c>
      <c r="B392" s="15">
        <v>46099</v>
      </c>
      <c r="C392" s="5" t="s">
        <v>254</v>
      </c>
      <c r="D392" s="14">
        <v>9</v>
      </c>
      <c r="E392" s="5" t="s">
        <v>474</v>
      </c>
      <c r="F392" s="4" t="s">
        <v>450</v>
      </c>
      <c r="G392" s="6" t="s">
        <v>475</v>
      </c>
      <c r="H392" s="6" t="s">
        <v>257</v>
      </c>
      <c r="I392" s="6" t="s">
        <v>859</v>
      </c>
    </row>
    <row r="393" spans="1:9">
      <c r="A393" s="7" t="s">
        <v>252</v>
      </c>
      <c r="B393" s="15">
        <v>46099</v>
      </c>
      <c r="C393" s="5" t="s">
        <v>254</v>
      </c>
      <c r="D393" s="14">
        <v>10</v>
      </c>
      <c r="E393" s="5" t="s">
        <v>477</v>
      </c>
      <c r="F393" s="4" t="s">
        <v>450</v>
      </c>
      <c r="G393" s="6" t="s">
        <v>478</v>
      </c>
      <c r="H393" s="6" t="s">
        <v>257</v>
      </c>
      <c r="I393" s="6" t="s">
        <v>860</v>
      </c>
    </row>
    <row r="394" spans="1:9">
      <c r="A394" s="7" t="s">
        <v>258</v>
      </c>
      <c r="B394" s="15">
        <v>46133</v>
      </c>
      <c r="C394" s="5" t="s">
        <v>260</v>
      </c>
      <c r="D394" s="14">
        <v>1</v>
      </c>
      <c r="E394" s="5" t="s">
        <v>449</v>
      </c>
      <c r="F394" s="4" t="s">
        <v>450</v>
      </c>
      <c r="G394" s="6" t="s">
        <v>451</v>
      </c>
      <c r="H394" s="6" t="s">
        <v>263</v>
      </c>
      <c r="I394" s="6" t="s">
        <v>861</v>
      </c>
    </row>
    <row r="395" spans="1:9">
      <c r="A395" s="7" t="s">
        <v>258</v>
      </c>
      <c r="B395" s="15">
        <v>46133</v>
      </c>
      <c r="C395" s="5" t="s">
        <v>260</v>
      </c>
      <c r="D395" s="14">
        <v>2</v>
      </c>
      <c r="E395" s="5" t="s">
        <v>453</v>
      </c>
      <c r="F395" s="4" t="s">
        <v>450</v>
      </c>
      <c r="G395" s="6" t="s">
        <v>454</v>
      </c>
      <c r="H395" s="6" t="s">
        <v>263</v>
      </c>
      <c r="I395" s="6" t="s">
        <v>862</v>
      </c>
    </row>
    <row r="396" spans="1:9">
      <c r="A396" s="7" t="s">
        <v>258</v>
      </c>
      <c r="B396" s="15">
        <v>46133</v>
      </c>
      <c r="C396" s="5" t="s">
        <v>260</v>
      </c>
      <c r="D396" s="14">
        <v>3</v>
      </c>
      <c r="E396" s="5" t="s">
        <v>456</v>
      </c>
      <c r="F396" s="4" t="s">
        <v>450</v>
      </c>
      <c r="G396" s="6" t="s">
        <v>457</v>
      </c>
      <c r="H396" s="6" t="s">
        <v>263</v>
      </c>
      <c r="I396" s="6" t="s">
        <v>863</v>
      </c>
    </row>
    <row r="397" spans="1:9">
      <c r="A397" s="7" t="s">
        <v>258</v>
      </c>
      <c r="B397" s="15">
        <v>46133</v>
      </c>
      <c r="C397" s="5" t="s">
        <v>260</v>
      </c>
      <c r="D397" s="14">
        <v>4</v>
      </c>
      <c r="E397" s="5" t="s">
        <v>459</v>
      </c>
      <c r="F397" s="4" t="s">
        <v>450</v>
      </c>
      <c r="G397" s="6" t="s">
        <v>460</v>
      </c>
      <c r="H397" s="6" t="s">
        <v>263</v>
      </c>
      <c r="I397" s="6" t="s">
        <v>864</v>
      </c>
    </row>
    <row r="398" spans="1:9">
      <c r="A398" s="7" t="s">
        <v>258</v>
      </c>
      <c r="B398" s="15">
        <v>46133</v>
      </c>
      <c r="C398" s="5" t="s">
        <v>260</v>
      </c>
      <c r="D398" s="14">
        <v>5</v>
      </c>
      <c r="E398" s="5" t="s">
        <v>462</v>
      </c>
      <c r="F398" s="4" t="s">
        <v>450</v>
      </c>
      <c r="G398" s="6" t="s">
        <v>463</v>
      </c>
      <c r="H398" s="6" t="s">
        <v>263</v>
      </c>
      <c r="I398" s="6" t="s">
        <v>865</v>
      </c>
    </row>
    <row r="399" spans="1:9">
      <c r="A399" s="7" t="s">
        <v>258</v>
      </c>
      <c r="B399" s="15">
        <v>46133</v>
      </c>
      <c r="C399" s="5" t="s">
        <v>260</v>
      </c>
      <c r="D399" s="14">
        <v>6</v>
      </c>
      <c r="E399" s="5" t="s">
        <v>465</v>
      </c>
      <c r="F399" s="4" t="s">
        <v>450</v>
      </c>
      <c r="G399" s="6" t="s">
        <v>466</v>
      </c>
      <c r="H399" s="6" t="s">
        <v>263</v>
      </c>
      <c r="I399" s="6" t="s">
        <v>866</v>
      </c>
    </row>
    <row r="400" spans="1:9">
      <c r="A400" s="7" t="s">
        <v>258</v>
      </c>
      <c r="B400" s="15">
        <v>46133</v>
      </c>
      <c r="C400" s="5" t="s">
        <v>260</v>
      </c>
      <c r="D400" s="14">
        <v>7</v>
      </c>
      <c r="E400" s="5" t="s">
        <v>468</v>
      </c>
      <c r="F400" s="4" t="s">
        <v>450</v>
      </c>
      <c r="G400" s="6" t="s">
        <v>469</v>
      </c>
      <c r="H400" s="6" t="s">
        <v>263</v>
      </c>
      <c r="I400" s="6" t="s">
        <v>867</v>
      </c>
    </row>
    <row r="401" spans="1:9">
      <c r="A401" s="7" t="s">
        <v>258</v>
      </c>
      <c r="B401" s="15">
        <v>46133</v>
      </c>
      <c r="C401" s="5" t="s">
        <v>260</v>
      </c>
      <c r="D401" s="14">
        <v>8</v>
      </c>
      <c r="E401" s="5" t="s">
        <v>471</v>
      </c>
      <c r="F401" s="4" t="s">
        <v>450</v>
      </c>
      <c r="G401" s="6" t="s">
        <v>472</v>
      </c>
      <c r="H401" s="6" t="s">
        <v>263</v>
      </c>
      <c r="I401" s="6" t="s">
        <v>868</v>
      </c>
    </row>
    <row r="402" spans="1:9">
      <c r="A402" s="7" t="s">
        <v>258</v>
      </c>
      <c r="B402" s="15">
        <v>46133</v>
      </c>
      <c r="C402" s="5" t="s">
        <v>260</v>
      </c>
      <c r="D402" s="14">
        <v>9</v>
      </c>
      <c r="E402" s="5" t="s">
        <v>474</v>
      </c>
      <c r="F402" s="4" t="s">
        <v>450</v>
      </c>
      <c r="G402" s="6" t="s">
        <v>475</v>
      </c>
      <c r="H402" s="6" t="s">
        <v>263</v>
      </c>
      <c r="I402" s="6" t="s">
        <v>869</v>
      </c>
    </row>
    <row r="403" spans="1:9">
      <c r="A403" s="7" t="s">
        <v>258</v>
      </c>
      <c r="B403" s="15">
        <v>46133</v>
      </c>
      <c r="C403" s="5" t="s">
        <v>260</v>
      </c>
      <c r="D403" s="14">
        <v>10</v>
      </c>
      <c r="E403" s="5" t="s">
        <v>477</v>
      </c>
      <c r="F403" s="4" t="s">
        <v>450</v>
      </c>
      <c r="G403" s="6" t="s">
        <v>478</v>
      </c>
      <c r="H403" s="6" t="s">
        <v>263</v>
      </c>
      <c r="I403" s="6" t="s">
        <v>870</v>
      </c>
    </row>
    <row r="404" spans="1:9">
      <c r="A404" s="7" t="s">
        <v>264</v>
      </c>
      <c r="B404" s="15">
        <v>46166</v>
      </c>
      <c r="C404" s="5" t="s">
        <v>266</v>
      </c>
      <c r="D404" s="14">
        <v>1</v>
      </c>
      <c r="E404" s="5" t="s">
        <v>449</v>
      </c>
      <c r="F404" s="4" t="s">
        <v>450</v>
      </c>
      <c r="G404" s="6" t="s">
        <v>451</v>
      </c>
      <c r="H404" s="6" t="s">
        <v>269</v>
      </c>
      <c r="I404" s="6" t="s">
        <v>871</v>
      </c>
    </row>
    <row r="405" spans="1:9">
      <c r="A405" s="7" t="s">
        <v>264</v>
      </c>
      <c r="B405" s="15">
        <v>46166</v>
      </c>
      <c r="C405" s="5" t="s">
        <v>266</v>
      </c>
      <c r="D405" s="14">
        <v>2</v>
      </c>
      <c r="E405" s="5" t="s">
        <v>453</v>
      </c>
      <c r="F405" s="4" t="s">
        <v>450</v>
      </c>
      <c r="G405" s="6" t="s">
        <v>454</v>
      </c>
      <c r="H405" s="6" t="s">
        <v>269</v>
      </c>
      <c r="I405" s="6" t="s">
        <v>872</v>
      </c>
    </row>
    <row r="406" spans="1:9">
      <c r="A406" s="7" t="s">
        <v>264</v>
      </c>
      <c r="B406" s="15">
        <v>46166</v>
      </c>
      <c r="C406" s="5" t="s">
        <v>266</v>
      </c>
      <c r="D406" s="14">
        <v>3</v>
      </c>
      <c r="E406" s="5" t="s">
        <v>456</v>
      </c>
      <c r="F406" s="4" t="s">
        <v>450</v>
      </c>
      <c r="G406" s="6" t="s">
        <v>457</v>
      </c>
      <c r="H406" s="6" t="s">
        <v>269</v>
      </c>
      <c r="I406" s="6" t="s">
        <v>873</v>
      </c>
    </row>
    <row r="407" spans="1:9">
      <c r="A407" s="7" t="s">
        <v>264</v>
      </c>
      <c r="B407" s="15">
        <v>46166</v>
      </c>
      <c r="C407" s="5" t="s">
        <v>266</v>
      </c>
      <c r="D407" s="14">
        <v>4</v>
      </c>
      <c r="E407" s="5" t="s">
        <v>459</v>
      </c>
      <c r="F407" s="4" t="s">
        <v>450</v>
      </c>
      <c r="G407" s="6" t="s">
        <v>460</v>
      </c>
      <c r="H407" s="6" t="s">
        <v>269</v>
      </c>
      <c r="I407" s="6" t="s">
        <v>874</v>
      </c>
    </row>
    <row r="408" spans="1:9">
      <c r="A408" s="7" t="s">
        <v>264</v>
      </c>
      <c r="B408" s="15">
        <v>46166</v>
      </c>
      <c r="C408" s="5" t="s">
        <v>266</v>
      </c>
      <c r="D408" s="14">
        <v>5</v>
      </c>
      <c r="E408" s="5" t="s">
        <v>462</v>
      </c>
      <c r="F408" s="4" t="s">
        <v>450</v>
      </c>
      <c r="G408" s="6" t="s">
        <v>463</v>
      </c>
      <c r="H408" s="6" t="s">
        <v>269</v>
      </c>
      <c r="I408" s="6" t="s">
        <v>875</v>
      </c>
    </row>
    <row r="409" spans="1:9">
      <c r="A409" s="7" t="s">
        <v>264</v>
      </c>
      <c r="B409" s="15">
        <v>46166</v>
      </c>
      <c r="C409" s="5" t="s">
        <v>266</v>
      </c>
      <c r="D409" s="14">
        <v>6</v>
      </c>
      <c r="E409" s="5" t="s">
        <v>465</v>
      </c>
      <c r="F409" s="4" t="s">
        <v>450</v>
      </c>
      <c r="G409" s="6" t="s">
        <v>466</v>
      </c>
      <c r="H409" s="6" t="s">
        <v>269</v>
      </c>
      <c r="I409" s="6" t="s">
        <v>876</v>
      </c>
    </row>
    <row r="410" spans="1:9">
      <c r="A410" s="7" t="s">
        <v>264</v>
      </c>
      <c r="B410" s="15">
        <v>46166</v>
      </c>
      <c r="C410" s="5" t="s">
        <v>266</v>
      </c>
      <c r="D410" s="14">
        <v>7</v>
      </c>
      <c r="E410" s="5" t="s">
        <v>468</v>
      </c>
      <c r="F410" s="4" t="s">
        <v>450</v>
      </c>
      <c r="G410" s="6" t="s">
        <v>469</v>
      </c>
      <c r="H410" s="6" t="s">
        <v>269</v>
      </c>
      <c r="I410" s="6" t="s">
        <v>877</v>
      </c>
    </row>
    <row r="411" spans="1:9">
      <c r="A411" s="7" t="s">
        <v>264</v>
      </c>
      <c r="B411" s="15">
        <v>46166</v>
      </c>
      <c r="C411" s="5" t="s">
        <v>266</v>
      </c>
      <c r="D411" s="14">
        <v>8</v>
      </c>
      <c r="E411" s="5" t="s">
        <v>471</v>
      </c>
      <c r="F411" s="4" t="s">
        <v>450</v>
      </c>
      <c r="G411" s="6" t="s">
        <v>472</v>
      </c>
      <c r="H411" s="6" t="s">
        <v>269</v>
      </c>
      <c r="I411" s="6" t="s">
        <v>878</v>
      </c>
    </row>
    <row r="412" spans="1:9">
      <c r="A412" s="7" t="s">
        <v>264</v>
      </c>
      <c r="B412" s="15">
        <v>46166</v>
      </c>
      <c r="C412" s="5" t="s">
        <v>266</v>
      </c>
      <c r="D412" s="14">
        <v>9</v>
      </c>
      <c r="E412" s="5" t="s">
        <v>474</v>
      </c>
      <c r="F412" s="4" t="s">
        <v>450</v>
      </c>
      <c r="G412" s="6" t="s">
        <v>475</v>
      </c>
      <c r="H412" s="6" t="s">
        <v>269</v>
      </c>
      <c r="I412" s="6" t="s">
        <v>879</v>
      </c>
    </row>
    <row r="413" spans="1:9">
      <c r="A413" s="7" t="s">
        <v>264</v>
      </c>
      <c r="B413" s="15">
        <v>46166</v>
      </c>
      <c r="C413" s="5" t="s">
        <v>266</v>
      </c>
      <c r="D413" s="14">
        <v>10</v>
      </c>
      <c r="E413" s="5" t="s">
        <v>477</v>
      </c>
      <c r="F413" s="4" t="s">
        <v>450</v>
      </c>
      <c r="G413" s="6" t="s">
        <v>478</v>
      </c>
      <c r="H413" s="6" t="s">
        <v>269</v>
      </c>
      <c r="I413" s="6" t="s">
        <v>880</v>
      </c>
    </row>
    <row r="414" spans="1:9">
      <c r="A414" s="7" t="s">
        <v>270</v>
      </c>
      <c r="B414" s="15">
        <v>46175</v>
      </c>
      <c r="C414" s="5" t="s">
        <v>272</v>
      </c>
      <c r="D414" s="14">
        <v>1</v>
      </c>
      <c r="E414" s="5" t="s">
        <v>449</v>
      </c>
      <c r="F414" s="4" t="s">
        <v>450</v>
      </c>
      <c r="G414" s="6" t="s">
        <v>451</v>
      </c>
      <c r="H414" s="6" t="s">
        <v>275</v>
      </c>
      <c r="I414" s="6" t="s">
        <v>881</v>
      </c>
    </row>
    <row r="415" spans="1:9">
      <c r="A415" s="7" t="s">
        <v>270</v>
      </c>
      <c r="B415" s="15">
        <v>46175</v>
      </c>
      <c r="C415" s="5" t="s">
        <v>272</v>
      </c>
      <c r="D415" s="14">
        <v>2</v>
      </c>
      <c r="E415" s="5" t="s">
        <v>453</v>
      </c>
      <c r="F415" s="4" t="s">
        <v>450</v>
      </c>
      <c r="G415" s="6" t="s">
        <v>454</v>
      </c>
      <c r="H415" s="6" t="s">
        <v>275</v>
      </c>
      <c r="I415" s="6" t="s">
        <v>882</v>
      </c>
    </row>
    <row r="416" spans="1:9">
      <c r="A416" s="7" t="s">
        <v>270</v>
      </c>
      <c r="B416" s="15">
        <v>46175</v>
      </c>
      <c r="C416" s="5" t="s">
        <v>272</v>
      </c>
      <c r="D416" s="14">
        <v>3</v>
      </c>
      <c r="E416" s="5" t="s">
        <v>456</v>
      </c>
      <c r="F416" s="4" t="s">
        <v>450</v>
      </c>
      <c r="G416" s="6" t="s">
        <v>457</v>
      </c>
      <c r="H416" s="6" t="s">
        <v>275</v>
      </c>
      <c r="I416" s="6" t="s">
        <v>883</v>
      </c>
    </row>
    <row r="417" spans="1:9">
      <c r="A417" s="7" t="s">
        <v>270</v>
      </c>
      <c r="B417" s="15">
        <v>46175</v>
      </c>
      <c r="C417" s="5" t="s">
        <v>272</v>
      </c>
      <c r="D417" s="14">
        <v>4</v>
      </c>
      <c r="E417" s="5" t="s">
        <v>459</v>
      </c>
      <c r="F417" s="4" t="s">
        <v>450</v>
      </c>
      <c r="G417" s="6" t="s">
        <v>460</v>
      </c>
      <c r="H417" s="6" t="s">
        <v>275</v>
      </c>
      <c r="I417" s="6" t="s">
        <v>884</v>
      </c>
    </row>
    <row r="418" spans="1:9">
      <c r="A418" s="7" t="s">
        <v>270</v>
      </c>
      <c r="B418" s="15">
        <v>46175</v>
      </c>
      <c r="C418" s="5" t="s">
        <v>272</v>
      </c>
      <c r="D418" s="14">
        <v>5</v>
      </c>
      <c r="E418" s="5" t="s">
        <v>462</v>
      </c>
      <c r="F418" s="4" t="s">
        <v>450</v>
      </c>
      <c r="G418" s="6" t="s">
        <v>463</v>
      </c>
      <c r="H418" s="6" t="s">
        <v>275</v>
      </c>
      <c r="I418" s="6" t="s">
        <v>885</v>
      </c>
    </row>
    <row r="419" spans="1:9">
      <c r="A419" s="7" t="s">
        <v>270</v>
      </c>
      <c r="B419" s="15">
        <v>46175</v>
      </c>
      <c r="C419" s="5" t="s">
        <v>272</v>
      </c>
      <c r="D419" s="14">
        <v>6</v>
      </c>
      <c r="E419" s="5" t="s">
        <v>465</v>
      </c>
      <c r="F419" s="4" t="s">
        <v>450</v>
      </c>
      <c r="G419" s="6" t="s">
        <v>466</v>
      </c>
      <c r="H419" s="6" t="s">
        <v>275</v>
      </c>
      <c r="I419" s="6" t="s">
        <v>886</v>
      </c>
    </row>
    <row r="420" spans="1:9">
      <c r="A420" s="7" t="s">
        <v>270</v>
      </c>
      <c r="B420" s="15">
        <v>46175</v>
      </c>
      <c r="C420" s="5" t="s">
        <v>272</v>
      </c>
      <c r="D420" s="14">
        <v>7</v>
      </c>
      <c r="E420" s="5" t="s">
        <v>468</v>
      </c>
      <c r="F420" s="4" t="s">
        <v>450</v>
      </c>
      <c r="G420" s="6" t="s">
        <v>469</v>
      </c>
      <c r="H420" s="6" t="s">
        <v>275</v>
      </c>
      <c r="I420" s="6" t="s">
        <v>887</v>
      </c>
    </row>
    <row r="421" spans="1:9">
      <c r="A421" s="7" t="s">
        <v>270</v>
      </c>
      <c r="B421" s="15">
        <v>46175</v>
      </c>
      <c r="C421" s="5" t="s">
        <v>272</v>
      </c>
      <c r="D421" s="14">
        <v>8</v>
      </c>
      <c r="E421" s="5" t="s">
        <v>471</v>
      </c>
      <c r="F421" s="4" t="s">
        <v>450</v>
      </c>
      <c r="G421" s="6" t="s">
        <v>472</v>
      </c>
      <c r="H421" s="6" t="s">
        <v>275</v>
      </c>
      <c r="I421" s="6" t="s">
        <v>888</v>
      </c>
    </row>
    <row r="422" spans="1:9">
      <c r="A422" s="7" t="s">
        <v>270</v>
      </c>
      <c r="B422" s="15">
        <v>46175</v>
      </c>
      <c r="C422" s="5" t="s">
        <v>272</v>
      </c>
      <c r="D422" s="14">
        <v>9</v>
      </c>
      <c r="E422" s="5" t="s">
        <v>474</v>
      </c>
      <c r="F422" s="4" t="s">
        <v>450</v>
      </c>
      <c r="G422" s="6" t="s">
        <v>475</v>
      </c>
      <c r="H422" s="6" t="s">
        <v>275</v>
      </c>
      <c r="I422" s="6" t="s">
        <v>889</v>
      </c>
    </row>
    <row r="423" spans="1:9">
      <c r="A423" s="7" t="s">
        <v>270</v>
      </c>
      <c r="B423" s="15">
        <v>46175</v>
      </c>
      <c r="C423" s="5" t="s">
        <v>272</v>
      </c>
      <c r="D423" s="14">
        <v>10</v>
      </c>
      <c r="E423" s="5" t="s">
        <v>477</v>
      </c>
      <c r="F423" s="4" t="s">
        <v>450</v>
      </c>
      <c r="G423" s="6" t="s">
        <v>478</v>
      </c>
      <c r="H423" s="6" t="s">
        <v>275</v>
      </c>
      <c r="I423" s="6" t="s">
        <v>890</v>
      </c>
    </row>
    <row r="424" spans="1:9">
      <c r="A424" s="7" t="s">
        <v>276</v>
      </c>
      <c r="B424" s="15">
        <v>46027</v>
      </c>
      <c r="C424" s="5" t="s">
        <v>278</v>
      </c>
      <c r="D424" s="14">
        <v>1</v>
      </c>
      <c r="E424" s="5" t="s">
        <v>449</v>
      </c>
      <c r="F424" s="4" t="s">
        <v>450</v>
      </c>
      <c r="G424" s="6" t="s">
        <v>451</v>
      </c>
      <c r="H424" s="6" t="s">
        <v>281</v>
      </c>
      <c r="I424" s="6" t="s">
        <v>891</v>
      </c>
    </row>
    <row r="425" spans="1:9">
      <c r="A425" s="7" t="s">
        <v>276</v>
      </c>
      <c r="B425" s="15">
        <v>46027</v>
      </c>
      <c r="C425" s="5" t="s">
        <v>278</v>
      </c>
      <c r="D425" s="14">
        <v>2</v>
      </c>
      <c r="E425" s="5" t="s">
        <v>453</v>
      </c>
      <c r="F425" s="4" t="s">
        <v>450</v>
      </c>
      <c r="G425" s="6" t="s">
        <v>454</v>
      </c>
      <c r="H425" s="6" t="s">
        <v>281</v>
      </c>
      <c r="I425" s="6" t="s">
        <v>892</v>
      </c>
    </row>
    <row r="426" spans="1:9">
      <c r="A426" s="7" t="s">
        <v>276</v>
      </c>
      <c r="B426" s="15">
        <v>46027</v>
      </c>
      <c r="C426" s="5" t="s">
        <v>278</v>
      </c>
      <c r="D426" s="14">
        <v>3</v>
      </c>
      <c r="E426" s="5" t="s">
        <v>456</v>
      </c>
      <c r="F426" s="4" t="s">
        <v>450</v>
      </c>
      <c r="G426" s="6" t="s">
        <v>457</v>
      </c>
      <c r="H426" s="6" t="s">
        <v>281</v>
      </c>
      <c r="I426" s="6" t="s">
        <v>893</v>
      </c>
    </row>
    <row r="427" spans="1:9">
      <c r="A427" s="7" t="s">
        <v>276</v>
      </c>
      <c r="B427" s="15">
        <v>46027</v>
      </c>
      <c r="C427" s="5" t="s">
        <v>278</v>
      </c>
      <c r="D427" s="14">
        <v>4</v>
      </c>
      <c r="E427" s="5" t="s">
        <v>459</v>
      </c>
      <c r="F427" s="4" t="s">
        <v>450</v>
      </c>
      <c r="G427" s="6" t="s">
        <v>460</v>
      </c>
      <c r="H427" s="6" t="s">
        <v>281</v>
      </c>
      <c r="I427" s="6" t="s">
        <v>894</v>
      </c>
    </row>
    <row r="428" spans="1:9">
      <c r="A428" s="7" t="s">
        <v>276</v>
      </c>
      <c r="B428" s="15">
        <v>46027</v>
      </c>
      <c r="C428" s="5" t="s">
        <v>278</v>
      </c>
      <c r="D428" s="14">
        <v>5</v>
      </c>
      <c r="E428" s="5" t="s">
        <v>462</v>
      </c>
      <c r="F428" s="4" t="s">
        <v>450</v>
      </c>
      <c r="G428" s="6" t="s">
        <v>463</v>
      </c>
      <c r="H428" s="6" t="s">
        <v>281</v>
      </c>
      <c r="I428" s="6" t="s">
        <v>895</v>
      </c>
    </row>
    <row r="429" spans="1:9">
      <c r="A429" s="7" t="s">
        <v>276</v>
      </c>
      <c r="B429" s="15">
        <v>46027</v>
      </c>
      <c r="C429" s="5" t="s">
        <v>278</v>
      </c>
      <c r="D429" s="14">
        <v>6</v>
      </c>
      <c r="E429" s="5" t="s">
        <v>465</v>
      </c>
      <c r="F429" s="4" t="s">
        <v>450</v>
      </c>
      <c r="G429" s="6" t="s">
        <v>466</v>
      </c>
      <c r="H429" s="6" t="s">
        <v>281</v>
      </c>
      <c r="I429" s="6" t="s">
        <v>896</v>
      </c>
    </row>
    <row r="430" spans="1:9">
      <c r="A430" s="7" t="s">
        <v>276</v>
      </c>
      <c r="B430" s="15">
        <v>46027</v>
      </c>
      <c r="C430" s="5" t="s">
        <v>278</v>
      </c>
      <c r="D430" s="14">
        <v>7</v>
      </c>
      <c r="E430" s="5" t="s">
        <v>468</v>
      </c>
      <c r="F430" s="4" t="s">
        <v>450</v>
      </c>
      <c r="G430" s="6" t="s">
        <v>469</v>
      </c>
      <c r="H430" s="6" t="s">
        <v>281</v>
      </c>
      <c r="I430" s="6" t="s">
        <v>897</v>
      </c>
    </row>
    <row r="431" spans="1:9">
      <c r="A431" s="7" t="s">
        <v>276</v>
      </c>
      <c r="B431" s="15">
        <v>46027</v>
      </c>
      <c r="C431" s="5" t="s">
        <v>278</v>
      </c>
      <c r="D431" s="14">
        <v>8</v>
      </c>
      <c r="E431" s="5" t="s">
        <v>471</v>
      </c>
      <c r="F431" s="4" t="s">
        <v>498</v>
      </c>
      <c r="G431" s="6" t="s">
        <v>472</v>
      </c>
      <c r="H431" s="6" t="s">
        <v>281</v>
      </c>
      <c r="I431" s="6" t="s">
        <v>898</v>
      </c>
    </row>
    <row r="432" spans="1:9">
      <c r="A432" s="7" t="s">
        <v>276</v>
      </c>
      <c r="B432" s="15">
        <v>46027</v>
      </c>
      <c r="C432" s="5" t="s">
        <v>278</v>
      </c>
      <c r="D432" s="14">
        <v>9</v>
      </c>
      <c r="E432" s="5" t="s">
        <v>474</v>
      </c>
      <c r="F432" s="4" t="s">
        <v>450</v>
      </c>
      <c r="G432" s="6" t="s">
        <v>475</v>
      </c>
      <c r="H432" s="6" t="s">
        <v>281</v>
      </c>
      <c r="I432" s="6" t="s">
        <v>899</v>
      </c>
    </row>
    <row r="433" spans="1:9">
      <c r="A433" s="7" t="s">
        <v>276</v>
      </c>
      <c r="B433" s="15">
        <v>46027</v>
      </c>
      <c r="C433" s="5" t="s">
        <v>278</v>
      </c>
      <c r="D433" s="14">
        <v>10</v>
      </c>
      <c r="E433" s="5" t="s">
        <v>477</v>
      </c>
      <c r="F433" s="4" t="s">
        <v>450</v>
      </c>
      <c r="G433" s="6" t="s">
        <v>478</v>
      </c>
      <c r="H433" s="6" t="s">
        <v>281</v>
      </c>
      <c r="I433" s="6" t="s">
        <v>900</v>
      </c>
    </row>
    <row r="434" spans="1:9">
      <c r="A434" s="7" t="s">
        <v>282</v>
      </c>
      <c r="B434" s="15">
        <v>46061</v>
      </c>
      <c r="C434" s="5" t="s">
        <v>284</v>
      </c>
      <c r="D434" s="14">
        <v>1</v>
      </c>
      <c r="E434" s="5" t="s">
        <v>449</v>
      </c>
      <c r="F434" s="4" t="s">
        <v>450</v>
      </c>
      <c r="G434" s="6" t="s">
        <v>451</v>
      </c>
      <c r="H434" s="6" t="s">
        <v>287</v>
      </c>
      <c r="I434" s="6" t="s">
        <v>901</v>
      </c>
    </row>
    <row r="435" spans="1:9">
      <c r="A435" s="7" t="s">
        <v>282</v>
      </c>
      <c r="B435" s="15">
        <v>46061</v>
      </c>
      <c r="C435" s="5" t="s">
        <v>284</v>
      </c>
      <c r="D435" s="14">
        <v>2</v>
      </c>
      <c r="E435" s="5" t="s">
        <v>453</v>
      </c>
      <c r="F435" s="4" t="s">
        <v>450</v>
      </c>
      <c r="G435" s="6" t="s">
        <v>454</v>
      </c>
      <c r="H435" s="6" t="s">
        <v>287</v>
      </c>
      <c r="I435" s="6" t="s">
        <v>902</v>
      </c>
    </row>
    <row r="436" spans="1:9">
      <c r="A436" s="7" t="s">
        <v>282</v>
      </c>
      <c r="B436" s="15">
        <v>46061</v>
      </c>
      <c r="C436" s="5" t="s">
        <v>284</v>
      </c>
      <c r="D436" s="14">
        <v>3</v>
      </c>
      <c r="E436" s="5" t="s">
        <v>456</v>
      </c>
      <c r="F436" s="4" t="s">
        <v>450</v>
      </c>
      <c r="G436" s="6" t="s">
        <v>457</v>
      </c>
      <c r="H436" s="6" t="s">
        <v>287</v>
      </c>
      <c r="I436" s="6" t="s">
        <v>903</v>
      </c>
    </row>
    <row r="437" spans="1:9">
      <c r="A437" s="7" t="s">
        <v>282</v>
      </c>
      <c r="B437" s="15">
        <v>46061</v>
      </c>
      <c r="C437" s="5" t="s">
        <v>284</v>
      </c>
      <c r="D437" s="14">
        <v>4</v>
      </c>
      <c r="E437" s="5" t="s">
        <v>459</v>
      </c>
      <c r="F437" s="4" t="s">
        <v>450</v>
      </c>
      <c r="G437" s="6" t="s">
        <v>460</v>
      </c>
      <c r="H437" s="6" t="s">
        <v>287</v>
      </c>
      <c r="I437" s="6" t="s">
        <v>904</v>
      </c>
    </row>
    <row r="438" spans="1:9">
      <c r="A438" s="7" t="s">
        <v>282</v>
      </c>
      <c r="B438" s="15">
        <v>46061</v>
      </c>
      <c r="C438" s="5" t="s">
        <v>284</v>
      </c>
      <c r="D438" s="14">
        <v>5</v>
      </c>
      <c r="E438" s="5" t="s">
        <v>462</v>
      </c>
      <c r="F438" s="4" t="s">
        <v>498</v>
      </c>
      <c r="G438" s="6" t="s">
        <v>463</v>
      </c>
      <c r="H438" s="6" t="s">
        <v>287</v>
      </c>
      <c r="I438" s="6" t="s">
        <v>905</v>
      </c>
    </row>
    <row r="439" spans="1:9">
      <c r="A439" s="7" t="s">
        <v>282</v>
      </c>
      <c r="B439" s="15">
        <v>46061</v>
      </c>
      <c r="C439" s="5" t="s">
        <v>284</v>
      </c>
      <c r="D439" s="14">
        <v>6</v>
      </c>
      <c r="E439" s="5" t="s">
        <v>465</v>
      </c>
      <c r="F439" s="4" t="s">
        <v>450</v>
      </c>
      <c r="G439" s="6" t="s">
        <v>466</v>
      </c>
      <c r="H439" s="6" t="s">
        <v>287</v>
      </c>
      <c r="I439" s="6" t="s">
        <v>906</v>
      </c>
    </row>
    <row r="440" spans="1:9">
      <c r="A440" s="7" t="s">
        <v>282</v>
      </c>
      <c r="B440" s="15">
        <v>46061</v>
      </c>
      <c r="C440" s="5" t="s">
        <v>284</v>
      </c>
      <c r="D440" s="14">
        <v>7</v>
      </c>
      <c r="E440" s="5" t="s">
        <v>468</v>
      </c>
      <c r="F440" s="4" t="s">
        <v>450</v>
      </c>
      <c r="G440" s="6" t="s">
        <v>469</v>
      </c>
      <c r="H440" s="6" t="s">
        <v>287</v>
      </c>
      <c r="I440" s="6" t="s">
        <v>907</v>
      </c>
    </row>
    <row r="441" spans="1:9">
      <c r="A441" s="7" t="s">
        <v>282</v>
      </c>
      <c r="B441" s="15">
        <v>46061</v>
      </c>
      <c r="C441" s="5" t="s">
        <v>284</v>
      </c>
      <c r="D441" s="14">
        <v>8</v>
      </c>
      <c r="E441" s="5" t="s">
        <v>471</v>
      </c>
      <c r="F441" s="4" t="s">
        <v>450</v>
      </c>
      <c r="G441" s="6" t="s">
        <v>472</v>
      </c>
      <c r="H441" s="6" t="s">
        <v>287</v>
      </c>
      <c r="I441" s="6" t="s">
        <v>908</v>
      </c>
    </row>
    <row r="442" spans="1:9">
      <c r="A442" s="7" t="s">
        <v>282</v>
      </c>
      <c r="B442" s="15">
        <v>46061</v>
      </c>
      <c r="C442" s="5" t="s">
        <v>284</v>
      </c>
      <c r="D442" s="14">
        <v>9</v>
      </c>
      <c r="E442" s="5" t="s">
        <v>474</v>
      </c>
      <c r="F442" s="4" t="s">
        <v>450</v>
      </c>
      <c r="G442" s="6" t="s">
        <v>475</v>
      </c>
      <c r="H442" s="6" t="s">
        <v>287</v>
      </c>
      <c r="I442" s="6" t="s">
        <v>909</v>
      </c>
    </row>
    <row r="443" spans="1:9">
      <c r="A443" s="7" t="s">
        <v>282</v>
      </c>
      <c r="B443" s="15">
        <v>46061</v>
      </c>
      <c r="C443" s="5" t="s">
        <v>284</v>
      </c>
      <c r="D443" s="14">
        <v>10</v>
      </c>
      <c r="E443" s="5" t="s">
        <v>477</v>
      </c>
      <c r="F443" s="4" t="s">
        <v>450</v>
      </c>
      <c r="G443" s="6" t="s">
        <v>478</v>
      </c>
      <c r="H443" s="6" t="s">
        <v>287</v>
      </c>
      <c r="I443" s="6" t="s">
        <v>910</v>
      </c>
    </row>
    <row r="444" spans="1:9">
      <c r="A444" s="7" t="s">
        <v>288</v>
      </c>
      <c r="B444" s="15">
        <v>46092</v>
      </c>
      <c r="C444" s="5" t="s">
        <v>290</v>
      </c>
      <c r="D444" s="14">
        <v>1</v>
      </c>
      <c r="E444" s="5" t="s">
        <v>449</v>
      </c>
      <c r="F444" s="4" t="s">
        <v>450</v>
      </c>
      <c r="G444" s="6" t="s">
        <v>451</v>
      </c>
      <c r="H444" s="6" t="s">
        <v>293</v>
      </c>
      <c r="I444" s="6" t="s">
        <v>911</v>
      </c>
    </row>
    <row r="445" spans="1:9">
      <c r="A445" s="7" t="s">
        <v>288</v>
      </c>
      <c r="B445" s="15">
        <v>46092</v>
      </c>
      <c r="C445" s="5" t="s">
        <v>290</v>
      </c>
      <c r="D445" s="14">
        <v>2</v>
      </c>
      <c r="E445" s="5" t="s">
        <v>453</v>
      </c>
      <c r="F445" s="4" t="s">
        <v>498</v>
      </c>
      <c r="G445" s="6" t="s">
        <v>454</v>
      </c>
      <c r="H445" s="6" t="s">
        <v>293</v>
      </c>
      <c r="I445" s="6" t="s">
        <v>912</v>
      </c>
    </row>
    <row r="446" spans="1:9">
      <c r="A446" s="7" t="s">
        <v>288</v>
      </c>
      <c r="B446" s="15">
        <v>46092</v>
      </c>
      <c r="C446" s="5" t="s">
        <v>290</v>
      </c>
      <c r="D446" s="14">
        <v>3</v>
      </c>
      <c r="E446" s="5" t="s">
        <v>456</v>
      </c>
      <c r="F446" s="4" t="s">
        <v>450</v>
      </c>
      <c r="G446" s="6" t="s">
        <v>457</v>
      </c>
      <c r="H446" s="6" t="s">
        <v>293</v>
      </c>
      <c r="I446" s="6" t="s">
        <v>913</v>
      </c>
    </row>
    <row r="447" spans="1:9">
      <c r="A447" s="7" t="s">
        <v>288</v>
      </c>
      <c r="B447" s="15">
        <v>46092</v>
      </c>
      <c r="C447" s="5" t="s">
        <v>290</v>
      </c>
      <c r="D447" s="14">
        <v>4</v>
      </c>
      <c r="E447" s="5" t="s">
        <v>459</v>
      </c>
      <c r="F447" s="4" t="s">
        <v>450</v>
      </c>
      <c r="G447" s="6" t="s">
        <v>460</v>
      </c>
      <c r="H447" s="6" t="s">
        <v>293</v>
      </c>
      <c r="I447" s="6" t="s">
        <v>914</v>
      </c>
    </row>
    <row r="448" spans="1:9">
      <c r="A448" s="7" t="s">
        <v>288</v>
      </c>
      <c r="B448" s="15">
        <v>46092</v>
      </c>
      <c r="C448" s="5" t="s">
        <v>290</v>
      </c>
      <c r="D448" s="14">
        <v>5</v>
      </c>
      <c r="E448" s="5" t="s">
        <v>462</v>
      </c>
      <c r="F448" s="4" t="s">
        <v>450</v>
      </c>
      <c r="G448" s="6" t="s">
        <v>463</v>
      </c>
      <c r="H448" s="6" t="s">
        <v>293</v>
      </c>
      <c r="I448" s="6" t="s">
        <v>915</v>
      </c>
    </row>
    <row r="449" spans="1:9">
      <c r="A449" s="7" t="s">
        <v>288</v>
      </c>
      <c r="B449" s="15">
        <v>46092</v>
      </c>
      <c r="C449" s="5" t="s">
        <v>290</v>
      </c>
      <c r="D449" s="14">
        <v>6</v>
      </c>
      <c r="E449" s="5" t="s">
        <v>465</v>
      </c>
      <c r="F449" s="4" t="s">
        <v>450</v>
      </c>
      <c r="G449" s="6" t="s">
        <v>466</v>
      </c>
      <c r="H449" s="6" t="s">
        <v>293</v>
      </c>
      <c r="I449" s="6" t="s">
        <v>916</v>
      </c>
    </row>
    <row r="450" spans="1:9">
      <c r="A450" s="7" t="s">
        <v>288</v>
      </c>
      <c r="B450" s="15">
        <v>46092</v>
      </c>
      <c r="C450" s="5" t="s">
        <v>290</v>
      </c>
      <c r="D450" s="14">
        <v>7</v>
      </c>
      <c r="E450" s="5" t="s">
        <v>468</v>
      </c>
      <c r="F450" s="4" t="s">
        <v>450</v>
      </c>
      <c r="G450" s="6" t="s">
        <v>469</v>
      </c>
      <c r="H450" s="6" t="s">
        <v>293</v>
      </c>
      <c r="I450" s="6" t="s">
        <v>917</v>
      </c>
    </row>
    <row r="451" spans="1:9">
      <c r="A451" s="7" t="s">
        <v>288</v>
      </c>
      <c r="B451" s="15">
        <v>46092</v>
      </c>
      <c r="C451" s="5" t="s">
        <v>290</v>
      </c>
      <c r="D451" s="14">
        <v>8</v>
      </c>
      <c r="E451" s="5" t="s">
        <v>471</v>
      </c>
      <c r="F451" s="4" t="s">
        <v>450</v>
      </c>
      <c r="G451" s="6" t="s">
        <v>472</v>
      </c>
      <c r="H451" s="6" t="s">
        <v>293</v>
      </c>
      <c r="I451" s="6" t="s">
        <v>918</v>
      </c>
    </row>
    <row r="452" spans="1:9">
      <c r="A452" s="7" t="s">
        <v>288</v>
      </c>
      <c r="B452" s="15">
        <v>46092</v>
      </c>
      <c r="C452" s="5" t="s">
        <v>290</v>
      </c>
      <c r="D452" s="14">
        <v>9</v>
      </c>
      <c r="E452" s="5" t="s">
        <v>474</v>
      </c>
      <c r="F452" s="4" t="s">
        <v>450</v>
      </c>
      <c r="G452" s="6" t="s">
        <v>475</v>
      </c>
      <c r="H452" s="6" t="s">
        <v>293</v>
      </c>
      <c r="I452" s="6" t="s">
        <v>919</v>
      </c>
    </row>
    <row r="453" spans="1:9">
      <c r="A453" s="7" t="s">
        <v>288</v>
      </c>
      <c r="B453" s="15">
        <v>46092</v>
      </c>
      <c r="C453" s="5" t="s">
        <v>290</v>
      </c>
      <c r="D453" s="14">
        <v>10</v>
      </c>
      <c r="E453" s="5" t="s">
        <v>477</v>
      </c>
      <c r="F453" s="4" t="s">
        <v>450</v>
      </c>
      <c r="G453" s="6" t="s">
        <v>478</v>
      </c>
      <c r="H453" s="6" t="s">
        <v>293</v>
      </c>
      <c r="I453" s="6" t="s">
        <v>920</v>
      </c>
    </row>
    <row r="454" spans="1:9">
      <c r="A454" s="7" t="s">
        <v>294</v>
      </c>
      <c r="B454" s="15">
        <v>46126</v>
      </c>
      <c r="C454" s="5" t="s">
        <v>296</v>
      </c>
      <c r="D454" s="14">
        <v>1</v>
      </c>
      <c r="E454" s="5" t="s">
        <v>449</v>
      </c>
      <c r="F454" s="4" t="s">
        <v>450</v>
      </c>
      <c r="G454" s="6" t="s">
        <v>451</v>
      </c>
      <c r="H454" s="6" t="s">
        <v>299</v>
      </c>
      <c r="I454" s="6" t="s">
        <v>921</v>
      </c>
    </row>
    <row r="455" spans="1:9">
      <c r="A455" s="7" t="s">
        <v>294</v>
      </c>
      <c r="B455" s="15">
        <v>46126</v>
      </c>
      <c r="C455" s="5" t="s">
        <v>296</v>
      </c>
      <c r="D455" s="14">
        <v>2</v>
      </c>
      <c r="E455" s="5" t="s">
        <v>453</v>
      </c>
      <c r="F455" s="4" t="s">
        <v>450</v>
      </c>
      <c r="G455" s="6" t="s">
        <v>454</v>
      </c>
      <c r="H455" s="6" t="s">
        <v>299</v>
      </c>
      <c r="I455" s="6" t="s">
        <v>922</v>
      </c>
    </row>
    <row r="456" spans="1:9">
      <c r="A456" s="7" t="s">
        <v>294</v>
      </c>
      <c r="B456" s="15">
        <v>46126</v>
      </c>
      <c r="C456" s="5" t="s">
        <v>296</v>
      </c>
      <c r="D456" s="14">
        <v>3</v>
      </c>
      <c r="E456" s="5" t="s">
        <v>456</v>
      </c>
      <c r="F456" s="4" t="s">
        <v>450</v>
      </c>
      <c r="G456" s="6" t="s">
        <v>457</v>
      </c>
      <c r="H456" s="6" t="s">
        <v>299</v>
      </c>
      <c r="I456" s="6" t="s">
        <v>923</v>
      </c>
    </row>
    <row r="457" spans="1:9">
      <c r="A457" s="7" t="s">
        <v>294</v>
      </c>
      <c r="B457" s="15">
        <v>46126</v>
      </c>
      <c r="C457" s="5" t="s">
        <v>296</v>
      </c>
      <c r="D457" s="14">
        <v>4</v>
      </c>
      <c r="E457" s="5" t="s">
        <v>459</v>
      </c>
      <c r="F457" s="4" t="s">
        <v>450</v>
      </c>
      <c r="G457" s="6" t="s">
        <v>460</v>
      </c>
      <c r="H457" s="6" t="s">
        <v>299</v>
      </c>
      <c r="I457" s="6" t="s">
        <v>924</v>
      </c>
    </row>
    <row r="458" spans="1:9">
      <c r="A458" s="7" t="s">
        <v>294</v>
      </c>
      <c r="B458" s="15">
        <v>46126</v>
      </c>
      <c r="C458" s="5" t="s">
        <v>296</v>
      </c>
      <c r="D458" s="14">
        <v>5</v>
      </c>
      <c r="E458" s="5" t="s">
        <v>462</v>
      </c>
      <c r="F458" s="4" t="s">
        <v>450</v>
      </c>
      <c r="G458" s="6" t="s">
        <v>463</v>
      </c>
      <c r="H458" s="6" t="s">
        <v>299</v>
      </c>
      <c r="I458" s="6" t="s">
        <v>925</v>
      </c>
    </row>
    <row r="459" spans="1:9">
      <c r="A459" s="7" t="s">
        <v>294</v>
      </c>
      <c r="B459" s="15">
        <v>46126</v>
      </c>
      <c r="C459" s="5" t="s">
        <v>296</v>
      </c>
      <c r="D459" s="14">
        <v>6</v>
      </c>
      <c r="E459" s="5" t="s">
        <v>465</v>
      </c>
      <c r="F459" s="4" t="s">
        <v>450</v>
      </c>
      <c r="G459" s="6" t="s">
        <v>466</v>
      </c>
      <c r="H459" s="6" t="s">
        <v>299</v>
      </c>
      <c r="I459" s="6" t="s">
        <v>926</v>
      </c>
    </row>
    <row r="460" spans="1:9">
      <c r="A460" s="7" t="s">
        <v>294</v>
      </c>
      <c r="B460" s="15">
        <v>46126</v>
      </c>
      <c r="C460" s="5" t="s">
        <v>296</v>
      </c>
      <c r="D460" s="14">
        <v>7</v>
      </c>
      <c r="E460" s="5" t="s">
        <v>468</v>
      </c>
      <c r="F460" s="4" t="s">
        <v>450</v>
      </c>
      <c r="G460" s="6" t="s">
        <v>469</v>
      </c>
      <c r="H460" s="6" t="s">
        <v>299</v>
      </c>
      <c r="I460" s="6" t="s">
        <v>927</v>
      </c>
    </row>
    <row r="461" spans="1:9">
      <c r="A461" s="7" t="s">
        <v>294</v>
      </c>
      <c r="B461" s="15">
        <v>46126</v>
      </c>
      <c r="C461" s="5" t="s">
        <v>296</v>
      </c>
      <c r="D461" s="14">
        <v>8</v>
      </c>
      <c r="E461" s="5" t="s">
        <v>471</v>
      </c>
      <c r="F461" s="4" t="s">
        <v>450</v>
      </c>
      <c r="G461" s="6" t="s">
        <v>472</v>
      </c>
      <c r="H461" s="6" t="s">
        <v>299</v>
      </c>
      <c r="I461" s="6" t="s">
        <v>928</v>
      </c>
    </row>
    <row r="462" spans="1:9">
      <c r="A462" s="7" t="s">
        <v>294</v>
      </c>
      <c r="B462" s="15">
        <v>46126</v>
      </c>
      <c r="C462" s="5" t="s">
        <v>296</v>
      </c>
      <c r="D462" s="14">
        <v>9</v>
      </c>
      <c r="E462" s="5" t="s">
        <v>474</v>
      </c>
      <c r="F462" s="4" t="s">
        <v>450</v>
      </c>
      <c r="G462" s="6" t="s">
        <v>475</v>
      </c>
      <c r="H462" s="6" t="s">
        <v>299</v>
      </c>
      <c r="I462" s="6" t="s">
        <v>929</v>
      </c>
    </row>
    <row r="463" spans="1:9">
      <c r="A463" s="7" t="s">
        <v>294</v>
      </c>
      <c r="B463" s="15">
        <v>46126</v>
      </c>
      <c r="C463" s="5" t="s">
        <v>296</v>
      </c>
      <c r="D463" s="14">
        <v>10</v>
      </c>
      <c r="E463" s="5" t="s">
        <v>477</v>
      </c>
      <c r="F463" s="4" t="s">
        <v>450</v>
      </c>
      <c r="G463" s="6" t="s">
        <v>478</v>
      </c>
      <c r="H463" s="6" t="s">
        <v>299</v>
      </c>
      <c r="I463" s="6" t="s">
        <v>930</v>
      </c>
    </row>
    <row r="464" spans="1:9">
      <c r="A464" s="7" t="s">
        <v>300</v>
      </c>
      <c r="B464" s="15">
        <v>46159</v>
      </c>
      <c r="C464" s="5" t="s">
        <v>302</v>
      </c>
      <c r="D464" s="14">
        <v>1</v>
      </c>
      <c r="E464" s="5" t="s">
        <v>449</v>
      </c>
      <c r="F464" s="4" t="s">
        <v>450</v>
      </c>
      <c r="G464" s="6" t="s">
        <v>451</v>
      </c>
      <c r="H464" s="6" t="s">
        <v>305</v>
      </c>
      <c r="I464" s="6" t="s">
        <v>931</v>
      </c>
    </row>
    <row r="465" spans="1:9">
      <c r="A465" s="7" t="s">
        <v>300</v>
      </c>
      <c r="B465" s="15">
        <v>46159</v>
      </c>
      <c r="C465" s="5" t="s">
        <v>302</v>
      </c>
      <c r="D465" s="14">
        <v>2</v>
      </c>
      <c r="E465" s="5" t="s">
        <v>453</v>
      </c>
      <c r="F465" s="4" t="s">
        <v>450</v>
      </c>
      <c r="G465" s="6" t="s">
        <v>454</v>
      </c>
      <c r="H465" s="6" t="s">
        <v>305</v>
      </c>
      <c r="I465" s="6" t="s">
        <v>932</v>
      </c>
    </row>
    <row r="466" spans="1:9">
      <c r="A466" s="7" t="s">
        <v>300</v>
      </c>
      <c r="B466" s="15">
        <v>46159</v>
      </c>
      <c r="C466" s="5" t="s">
        <v>302</v>
      </c>
      <c r="D466" s="14">
        <v>3</v>
      </c>
      <c r="E466" s="5" t="s">
        <v>456</v>
      </c>
      <c r="F466" s="4" t="s">
        <v>450</v>
      </c>
      <c r="G466" s="6" t="s">
        <v>457</v>
      </c>
      <c r="H466" s="6" t="s">
        <v>305</v>
      </c>
      <c r="I466" s="6" t="s">
        <v>933</v>
      </c>
    </row>
    <row r="467" spans="1:9">
      <c r="A467" s="7" t="s">
        <v>300</v>
      </c>
      <c r="B467" s="15">
        <v>46159</v>
      </c>
      <c r="C467" s="5" t="s">
        <v>302</v>
      </c>
      <c r="D467" s="14">
        <v>4</v>
      </c>
      <c r="E467" s="5" t="s">
        <v>459</v>
      </c>
      <c r="F467" s="4" t="s">
        <v>450</v>
      </c>
      <c r="G467" s="6" t="s">
        <v>460</v>
      </c>
      <c r="H467" s="6" t="s">
        <v>305</v>
      </c>
      <c r="I467" s="6" t="s">
        <v>934</v>
      </c>
    </row>
    <row r="468" spans="1:9">
      <c r="A468" s="7" t="s">
        <v>300</v>
      </c>
      <c r="B468" s="15">
        <v>46159</v>
      </c>
      <c r="C468" s="5" t="s">
        <v>302</v>
      </c>
      <c r="D468" s="14">
        <v>5</v>
      </c>
      <c r="E468" s="5" t="s">
        <v>462</v>
      </c>
      <c r="F468" s="4" t="s">
        <v>450</v>
      </c>
      <c r="G468" s="6" t="s">
        <v>463</v>
      </c>
      <c r="H468" s="6" t="s">
        <v>305</v>
      </c>
      <c r="I468" s="6" t="s">
        <v>935</v>
      </c>
    </row>
    <row r="469" spans="1:9">
      <c r="A469" s="7" t="s">
        <v>300</v>
      </c>
      <c r="B469" s="15">
        <v>46159</v>
      </c>
      <c r="C469" s="5" t="s">
        <v>302</v>
      </c>
      <c r="D469" s="14">
        <v>6</v>
      </c>
      <c r="E469" s="5" t="s">
        <v>465</v>
      </c>
      <c r="F469" s="4" t="s">
        <v>450</v>
      </c>
      <c r="G469" s="6" t="s">
        <v>466</v>
      </c>
      <c r="H469" s="6" t="s">
        <v>305</v>
      </c>
      <c r="I469" s="6" t="s">
        <v>936</v>
      </c>
    </row>
    <row r="470" spans="1:9">
      <c r="A470" s="7" t="s">
        <v>300</v>
      </c>
      <c r="B470" s="15">
        <v>46159</v>
      </c>
      <c r="C470" s="5" t="s">
        <v>302</v>
      </c>
      <c r="D470" s="14">
        <v>7</v>
      </c>
      <c r="E470" s="5" t="s">
        <v>468</v>
      </c>
      <c r="F470" s="4" t="s">
        <v>450</v>
      </c>
      <c r="G470" s="6" t="s">
        <v>469</v>
      </c>
      <c r="H470" s="6" t="s">
        <v>305</v>
      </c>
      <c r="I470" s="6" t="s">
        <v>937</v>
      </c>
    </row>
    <row r="471" spans="1:9">
      <c r="A471" s="7" t="s">
        <v>300</v>
      </c>
      <c r="B471" s="15">
        <v>46159</v>
      </c>
      <c r="C471" s="5" t="s">
        <v>302</v>
      </c>
      <c r="D471" s="14">
        <v>8</v>
      </c>
      <c r="E471" s="5" t="s">
        <v>471</v>
      </c>
      <c r="F471" s="4" t="s">
        <v>450</v>
      </c>
      <c r="G471" s="6" t="s">
        <v>472</v>
      </c>
      <c r="H471" s="6" t="s">
        <v>305</v>
      </c>
      <c r="I471" s="6" t="s">
        <v>938</v>
      </c>
    </row>
    <row r="472" spans="1:9">
      <c r="A472" s="7" t="s">
        <v>300</v>
      </c>
      <c r="B472" s="15">
        <v>46159</v>
      </c>
      <c r="C472" s="5" t="s">
        <v>302</v>
      </c>
      <c r="D472" s="14">
        <v>9</v>
      </c>
      <c r="E472" s="5" t="s">
        <v>474</v>
      </c>
      <c r="F472" s="4" t="s">
        <v>450</v>
      </c>
      <c r="G472" s="6" t="s">
        <v>475</v>
      </c>
      <c r="H472" s="6" t="s">
        <v>305</v>
      </c>
      <c r="I472" s="6" t="s">
        <v>939</v>
      </c>
    </row>
    <row r="473" spans="1:9">
      <c r="A473" s="7" t="s">
        <v>300</v>
      </c>
      <c r="B473" s="15">
        <v>46159</v>
      </c>
      <c r="C473" s="5" t="s">
        <v>302</v>
      </c>
      <c r="D473" s="14">
        <v>10</v>
      </c>
      <c r="E473" s="5" t="s">
        <v>477</v>
      </c>
      <c r="F473" s="4" t="s">
        <v>450</v>
      </c>
      <c r="G473" s="6" t="s">
        <v>478</v>
      </c>
      <c r="H473" s="6" t="s">
        <v>305</v>
      </c>
      <c r="I473" s="6" t="s">
        <v>940</v>
      </c>
    </row>
    <row r="474" spans="1:9">
      <c r="A474" s="7" t="s">
        <v>306</v>
      </c>
      <c r="B474" s="15">
        <v>46193</v>
      </c>
      <c r="C474" s="5" t="s">
        <v>308</v>
      </c>
      <c r="D474" s="14">
        <v>1</v>
      </c>
      <c r="E474" s="5" t="s">
        <v>449</v>
      </c>
      <c r="F474" s="4" t="s">
        <v>450</v>
      </c>
      <c r="G474" s="6" t="s">
        <v>451</v>
      </c>
      <c r="H474" s="6" t="s">
        <v>311</v>
      </c>
      <c r="I474" s="6" t="s">
        <v>941</v>
      </c>
    </row>
    <row r="475" spans="1:9">
      <c r="A475" s="7" t="s">
        <v>306</v>
      </c>
      <c r="B475" s="15">
        <v>46193</v>
      </c>
      <c r="C475" s="5" t="s">
        <v>308</v>
      </c>
      <c r="D475" s="14">
        <v>2</v>
      </c>
      <c r="E475" s="5" t="s">
        <v>453</v>
      </c>
      <c r="F475" s="4" t="s">
        <v>450</v>
      </c>
      <c r="G475" s="6" t="s">
        <v>454</v>
      </c>
      <c r="H475" s="6" t="s">
        <v>311</v>
      </c>
      <c r="I475" s="6" t="s">
        <v>942</v>
      </c>
    </row>
    <row r="476" spans="1:9">
      <c r="A476" s="7" t="s">
        <v>306</v>
      </c>
      <c r="B476" s="15">
        <v>46193</v>
      </c>
      <c r="C476" s="5" t="s">
        <v>308</v>
      </c>
      <c r="D476" s="14">
        <v>3</v>
      </c>
      <c r="E476" s="5" t="s">
        <v>456</v>
      </c>
      <c r="F476" s="4" t="s">
        <v>450</v>
      </c>
      <c r="G476" s="6" t="s">
        <v>457</v>
      </c>
      <c r="H476" s="6" t="s">
        <v>311</v>
      </c>
      <c r="I476" s="6" t="s">
        <v>943</v>
      </c>
    </row>
    <row r="477" spans="1:9">
      <c r="A477" s="7" t="s">
        <v>306</v>
      </c>
      <c r="B477" s="15">
        <v>46193</v>
      </c>
      <c r="C477" s="5" t="s">
        <v>308</v>
      </c>
      <c r="D477" s="14">
        <v>4</v>
      </c>
      <c r="E477" s="5" t="s">
        <v>459</v>
      </c>
      <c r="F477" s="4" t="s">
        <v>450</v>
      </c>
      <c r="G477" s="6" t="s">
        <v>460</v>
      </c>
      <c r="H477" s="6" t="s">
        <v>311</v>
      </c>
      <c r="I477" s="6" t="s">
        <v>944</v>
      </c>
    </row>
    <row r="478" spans="1:9">
      <c r="A478" s="7" t="s">
        <v>306</v>
      </c>
      <c r="B478" s="15">
        <v>46193</v>
      </c>
      <c r="C478" s="5" t="s">
        <v>308</v>
      </c>
      <c r="D478" s="14">
        <v>5</v>
      </c>
      <c r="E478" s="5" t="s">
        <v>462</v>
      </c>
      <c r="F478" s="4" t="s">
        <v>450</v>
      </c>
      <c r="G478" s="6" t="s">
        <v>463</v>
      </c>
      <c r="H478" s="6" t="s">
        <v>311</v>
      </c>
      <c r="I478" s="6" t="s">
        <v>945</v>
      </c>
    </row>
    <row r="479" spans="1:9">
      <c r="A479" s="7" t="s">
        <v>306</v>
      </c>
      <c r="B479" s="15">
        <v>46193</v>
      </c>
      <c r="C479" s="5" t="s">
        <v>308</v>
      </c>
      <c r="D479" s="14">
        <v>6</v>
      </c>
      <c r="E479" s="5" t="s">
        <v>465</v>
      </c>
      <c r="F479" s="4" t="s">
        <v>450</v>
      </c>
      <c r="G479" s="6" t="s">
        <v>466</v>
      </c>
      <c r="H479" s="6" t="s">
        <v>311</v>
      </c>
      <c r="I479" s="6" t="s">
        <v>946</v>
      </c>
    </row>
    <row r="480" spans="1:9">
      <c r="A480" s="7" t="s">
        <v>306</v>
      </c>
      <c r="B480" s="15">
        <v>46193</v>
      </c>
      <c r="C480" s="5" t="s">
        <v>308</v>
      </c>
      <c r="D480" s="14">
        <v>7</v>
      </c>
      <c r="E480" s="5" t="s">
        <v>468</v>
      </c>
      <c r="F480" s="4" t="s">
        <v>450</v>
      </c>
      <c r="G480" s="6" t="s">
        <v>469</v>
      </c>
      <c r="H480" s="6" t="s">
        <v>311</v>
      </c>
      <c r="I480" s="6" t="s">
        <v>947</v>
      </c>
    </row>
    <row r="481" spans="1:9">
      <c r="A481" s="7" t="s">
        <v>306</v>
      </c>
      <c r="B481" s="15">
        <v>46193</v>
      </c>
      <c r="C481" s="5" t="s">
        <v>308</v>
      </c>
      <c r="D481" s="14">
        <v>8</v>
      </c>
      <c r="E481" s="5" t="s">
        <v>471</v>
      </c>
      <c r="F481" s="4" t="s">
        <v>450</v>
      </c>
      <c r="G481" s="6" t="s">
        <v>472</v>
      </c>
      <c r="H481" s="6" t="s">
        <v>311</v>
      </c>
      <c r="I481" s="6" t="s">
        <v>948</v>
      </c>
    </row>
    <row r="482" spans="1:9">
      <c r="A482" s="7" t="s">
        <v>306</v>
      </c>
      <c r="B482" s="15">
        <v>46193</v>
      </c>
      <c r="C482" s="5" t="s">
        <v>308</v>
      </c>
      <c r="D482" s="14">
        <v>9</v>
      </c>
      <c r="E482" s="5" t="s">
        <v>474</v>
      </c>
      <c r="F482" s="4" t="s">
        <v>450</v>
      </c>
      <c r="G482" s="6" t="s">
        <v>475</v>
      </c>
      <c r="H482" s="6" t="s">
        <v>311</v>
      </c>
      <c r="I482" s="6" t="s">
        <v>949</v>
      </c>
    </row>
    <row r="483" spans="1:9">
      <c r="A483" s="7" t="s">
        <v>306</v>
      </c>
      <c r="B483" s="15">
        <v>46193</v>
      </c>
      <c r="C483" s="5" t="s">
        <v>308</v>
      </c>
      <c r="D483" s="14">
        <v>10</v>
      </c>
      <c r="E483" s="5" t="s">
        <v>477</v>
      </c>
      <c r="F483" s="4" t="s">
        <v>498</v>
      </c>
      <c r="G483" s="6" t="s">
        <v>478</v>
      </c>
      <c r="H483" s="6" t="s">
        <v>311</v>
      </c>
      <c r="I483" s="6" t="s">
        <v>950</v>
      </c>
    </row>
    <row r="484" spans="1:9">
      <c r="A484" s="7" t="s">
        <v>312</v>
      </c>
      <c r="B484" s="15">
        <v>46045</v>
      </c>
      <c r="C484" s="5" t="s">
        <v>314</v>
      </c>
      <c r="D484" s="14">
        <v>1</v>
      </c>
      <c r="E484" s="5" t="s">
        <v>449</v>
      </c>
      <c r="F484" s="4" t="s">
        <v>450</v>
      </c>
      <c r="G484" s="6" t="s">
        <v>451</v>
      </c>
      <c r="H484" s="6" t="s">
        <v>317</v>
      </c>
      <c r="I484" s="6" t="s">
        <v>951</v>
      </c>
    </row>
    <row r="485" spans="1:9">
      <c r="A485" s="7" t="s">
        <v>312</v>
      </c>
      <c r="B485" s="15">
        <v>46045</v>
      </c>
      <c r="C485" s="5" t="s">
        <v>314</v>
      </c>
      <c r="D485" s="14">
        <v>2</v>
      </c>
      <c r="E485" s="5" t="s">
        <v>453</v>
      </c>
      <c r="F485" s="4" t="s">
        <v>450</v>
      </c>
      <c r="G485" s="6" t="s">
        <v>454</v>
      </c>
      <c r="H485" s="6" t="s">
        <v>317</v>
      </c>
      <c r="I485" s="6" t="s">
        <v>952</v>
      </c>
    </row>
    <row r="486" spans="1:9">
      <c r="A486" s="7" t="s">
        <v>312</v>
      </c>
      <c r="B486" s="15">
        <v>46045</v>
      </c>
      <c r="C486" s="5" t="s">
        <v>314</v>
      </c>
      <c r="D486" s="14">
        <v>3</v>
      </c>
      <c r="E486" s="5" t="s">
        <v>456</v>
      </c>
      <c r="F486" s="4" t="s">
        <v>450</v>
      </c>
      <c r="G486" s="6" t="s">
        <v>457</v>
      </c>
      <c r="H486" s="6" t="s">
        <v>317</v>
      </c>
      <c r="I486" s="6" t="s">
        <v>953</v>
      </c>
    </row>
    <row r="487" spans="1:9">
      <c r="A487" s="7" t="s">
        <v>312</v>
      </c>
      <c r="B487" s="15">
        <v>46045</v>
      </c>
      <c r="C487" s="5" t="s">
        <v>314</v>
      </c>
      <c r="D487" s="14">
        <v>4</v>
      </c>
      <c r="E487" s="5" t="s">
        <v>459</v>
      </c>
      <c r="F487" s="4" t="s">
        <v>450</v>
      </c>
      <c r="G487" s="6" t="s">
        <v>460</v>
      </c>
      <c r="H487" s="6" t="s">
        <v>317</v>
      </c>
      <c r="I487" s="6" t="s">
        <v>954</v>
      </c>
    </row>
    <row r="488" spans="1:9">
      <c r="A488" s="7" t="s">
        <v>312</v>
      </c>
      <c r="B488" s="15">
        <v>46045</v>
      </c>
      <c r="C488" s="5" t="s">
        <v>314</v>
      </c>
      <c r="D488" s="14">
        <v>5</v>
      </c>
      <c r="E488" s="5" t="s">
        <v>462</v>
      </c>
      <c r="F488" s="4" t="s">
        <v>450</v>
      </c>
      <c r="G488" s="6" t="s">
        <v>463</v>
      </c>
      <c r="H488" s="6" t="s">
        <v>317</v>
      </c>
      <c r="I488" s="6" t="s">
        <v>955</v>
      </c>
    </row>
    <row r="489" spans="1:9">
      <c r="A489" s="7" t="s">
        <v>312</v>
      </c>
      <c r="B489" s="15">
        <v>46045</v>
      </c>
      <c r="C489" s="5" t="s">
        <v>314</v>
      </c>
      <c r="D489" s="14">
        <v>6</v>
      </c>
      <c r="E489" s="5" t="s">
        <v>465</v>
      </c>
      <c r="F489" s="4" t="s">
        <v>450</v>
      </c>
      <c r="G489" s="6" t="s">
        <v>466</v>
      </c>
      <c r="H489" s="6" t="s">
        <v>317</v>
      </c>
      <c r="I489" s="6" t="s">
        <v>956</v>
      </c>
    </row>
    <row r="490" spans="1:9">
      <c r="A490" s="7" t="s">
        <v>312</v>
      </c>
      <c r="B490" s="15">
        <v>46045</v>
      </c>
      <c r="C490" s="5" t="s">
        <v>314</v>
      </c>
      <c r="D490" s="14">
        <v>7</v>
      </c>
      <c r="E490" s="5" t="s">
        <v>468</v>
      </c>
      <c r="F490" s="4" t="s">
        <v>498</v>
      </c>
      <c r="G490" s="6" t="s">
        <v>469</v>
      </c>
      <c r="H490" s="6" t="s">
        <v>317</v>
      </c>
      <c r="I490" s="6" t="s">
        <v>957</v>
      </c>
    </row>
    <row r="491" spans="1:9">
      <c r="A491" s="7" t="s">
        <v>312</v>
      </c>
      <c r="B491" s="15">
        <v>46045</v>
      </c>
      <c r="C491" s="5" t="s">
        <v>314</v>
      </c>
      <c r="D491" s="14">
        <v>8</v>
      </c>
      <c r="E491" s="5" t="s">
        <v>471</v>
      </c>
      <c r="F491" s="4" t="s">
        <v>450</v>
      </c>
      <c r="G491" s="6" t="s">
        <v>472</v>
      </c>
      <c r="H491" s="6" t="s">
        <v>317</v>
      </c>
      <c r="I491" s="6" t="s">
        <v>958</v>
      </c>
    </row>
    <row r="492" spans="1:9">
      <c r="A492" s="7" t="s">
        <v>312</v>
      </c>
      <c r="B492" s="15">
        <v>46045</v>
      </c>
      <c r="C492" s="5" t="s">
        <v>314</v>
      </c>
      <c r="D492" s="14">
        <v>9</v>
      </c>
      <c r="E492" s="5" t="s">
        <v>474</v>
      </c>
      <c r="F492" s="4" t="s">
        <v>450</v>
      </c>
      <c r="G492" s="6" t="s">
        <v>475</v>
      </c>
      <c r="H492" s="6" t="s">
        <v>317</v>
      </c>
      <c r="I492" s="6" t="s">
        <v>959</v>
      </c>
    </row>
    <row r="493" spans="1:9">
      <c r="A493" s="7" t="s">
        <v>312</v>
      </c>
      <c r="B493" s="15">
        <v>46045</v>
      </c>
      <c r="C493" s="5" t="s">
        <v>314</v>
      </c>
      <c r="D493" s="14">
        <v>10</v>
      </c>
      <c r="E493" s="5" t="s">
        <v>477</v>
      </c>
      <c r="F493" s="4" t="s">
        <v>450</v>
      </c>
      <c r="G493" s="6" t="s">
        <v>478</v>
      </c>
      <c r="H493" s="6" t="s">
        <v>317</v>
      </c>
      <c r="I493" s="6" t="s">
        <v>960</v>
      </c>
    </row>
    <row r="494" spans="1:9">
      <c r="A494" s="7" t="s">
        <v>318</v>
      </c>
      <c r="B494" s="15">
        <v>46054</v>
      </c>
      <c r="C494" s="5" t="s">
        <v>320</v>
      </c>
      <c r="D494" s="14">
        <v>1</v>
      </c>
      <c r="E494" s="5" t="s">
        <v>449</v>
      </c>
      <c r="F494" s="4" t="s">
        <v>450</v>
      </c>
      <c r="G494" s="6" t="s">
        <v>451</v>
      </c>
      <c r="H494" s="6" t="s">
        <v>323</v>
      </c>
      <c r="I494" s="6" t="s">
        <v>961</v>
      </c>
    </row>
    <row r="495" spans="1:9">
      <c r="A495" s="7" t="s">
        <v>318</v>
      </c>
      <c r="B495" s="15">
        <v>46054</v>
      </c>
      <c r="C495" s="5" t="s">
        <v>320</v>
      </c>
      <c r="D495" s="14">
        <v>2</v>
      </c>
      <c r="E495" s="5" t="s">
        <v>453</v>
      </c>
      <c r="F495" s="4" t="s">
        <v>450</v>
      </c>
      <c r="G495" s="6" t="s">
        <v>454</v>
      </c>
      <c r="H495" s="6" t="s">
        <v>323</v>
      </c>
      <c r="I495" s="6" t="s">
        <v>962</v>
      </c>
    </row>
    <row r="496" spans="1:9">
      <c r="A496" s="7" t="s">
        <v>318</v>
      </c>
      <c r="B496" s="15">
        <v>46054</v>
      </c>
      <c r="C496" s="5" t="s">
        <v>320</v>
      </c>
      <c r="D496" s="14">
        <v>3</v>
      </c>
      <c r="E496" s="5" t="s">
        <v>456</v>
      </c>
      <c r="F496" s="4" t="s">
        <v>450</v>
      </c>
      <c r="G496" s="6" t="s">
        <v>457</v>
      </c>
      <c r="H496" s="6" t="s">
        <v>323</v>
      </c>
      <c r="I496" s="6" t="s">
        <v>963</v>
      </c>
    </row>
    <row r="497" spans="1:9">
      <c r="A497" s="7" t="s">
        <v>318</v>
      </c>
      <c r="B497" s="15">
        <v>46054</v>
      </c>
      <c r="C497" s="5" t="s">
        <v>320</v>
      </c>
      <c r="D497" s="14">
        <v>4</v>
      </c>
      <c r="E497" s="5" t="s">
        <v>459</v>
      </c>
      <c r="F497" s="4" t="s">
        <v>498</v>
      </c>
      <c r="G497" s="6" t="s">
        <v>460</v>
      </c>
      <c r="H497" s="6" t="s">
        <v>323</v>
      </c>
      <c r="I497" s="6" t="s">
        <v>964</v>
      </c>
    </row>
    <row r="498" spans="1:9">
      <c r="A498" s="7" t="s">
        <v>318</v>
      </c>
      <c r="B498" s="15">
        <v>46054</v>
      </c>
      <c r="C498" s="5" t="s">
        <v>320</v>
      </c>
      <c r="D498" s="14">
        <v>5</v>
      </c>
      <c r="E498" s="5" t="s">
        <v>462</v>
      </c>
      <c r="F498" s="4" t="s">
        <v>450</v>
      </c>
      <c r="G498" s="6" t="s">
        <v>463</v>
      </c>
      <c r="H498" s="6" t="s">
        <v>323</v>
      </c>
      <c r="I498" s="6" t="s">
        <v>965</v>
      </c>
    </row>
    <row r="499" spans="1:9">
      <c r="A499" s="7" t="s">
        <v>318</v>
      </c>
      <c r="B499" s="15">
        <v>46054</v>
      </c>
      <c r="C499" s="5" t="s">
        <v>320</v>
      </c>
      <c r="D499" s="14">
        <v>6</v>
      </c>
      <c r="E499" s="5" t="s">
        <v>465</v>
      </c>
      <c r="F499" s="4" t="s">
        <v>450</v>
      </c>
      <c r="G499" s="6" t="s">
        <v>466</v>
      </c>
      <c r="H499" s="6" t="s">
        <v>323</v>
      </c>
      <c r="I499" s="6" t="s">
        <v>966</v>
      </c>
    </row>
    <row r="500" spans="1:9">
      <c r="A500" s="7" t="s">
        <v>318</v>
      </c>
      <c r="B500" s="15">
        <v>46054</v>
      </c>
      <c r="C500" s="5" t="s">
        <v>320</v>
      </c>
      <c r="D500" s="14">
        <v>7</v>
      </c>
      <c r="E500" s="5" t="s">
        <v>468</v>
      </c>
      <c r="F500" s="4" t="s">
        <v>450</v>
      </c>
      <c r="G500" s="6" t="s">
        <v>469</v>
      </c>
      <c r="H500" s="6" t="s">
        <v>323</v>
      </c>
      <c r="I500" s="6" t="s">
        <v>967</v>
      </c>
    </row>
    <row r="501" spans="1:9">
      <c r="A501" s="7" t="s">
        <v>318</v>
      </c>
      <c r="B501" s="15">
        <v>46054</v>
      </c>
      <c r="C501" s="5" t="s">
        <v>320</v>
      </c>
      <c r="D501" s="14">
        <v>8</v>
      </c>
      <c r="E501" s="5" t="s">
        <v>471</v>
      </c>
      <c r="F501" s="4" t="s">
        <v>450</v>
      </c>
      <c r="G501" s="6" t="s">
        <v>472</v>
      </c>
      <c r="H501" s="6" t="s">
        <v>323</v>
      </c>
      <c r="I501" s="6" t="s">
        <v>968</v>
      </c>
    </row>
    <row r="502" spans="1:9">
      <c r="A502" s="7" t="s">
        <v>318</v>
      </c>
      <c r="B502" s="15">
        <v>46054</v>
      </c>
      <c r="C502" s="5" t="s">
        <v>320</v>
      </c>
      <c r="D502" s="14">
        <v>9</v>
      </c>
      <c r="E502" s="5" t="s">
        <v>474</v>
      </c>
      <c r="F502" s="4" t="s">
        <v>450</v>
      </c>
      <c r="G502" s="6" t="s">
        <v>475</v>
      </c>
      <c r="H502" s="6" t="s">
        <v>323</v>
      </c>
      <c r="I502" s="6" t="s">
        <v>969</v>
      </c>
    </row>
    <row r="503" spans="1:9">
      <c r="A503" s="7" t="s">
        <v>318</v>
      </c>
      <c r="B503" s="15">
        <v>46054</v>
      </c>
      <c r="C503" s="5" t="s">
        <v>320</v>
      </c>
      <c r="D503" s="14">
        <v>10</v>
      </c>
      <c r="E503" s="5" t="s">
        <v>477</v>
      </c>
      <c r="F503" s="4" t="s">
        <v>450</v>
      </c>
      <c r="G503" s="6" t="s">
        <v>478</v>
      </c>
      <c r="H503" s="6" t="s">
        <v>323</v>
      </c>
      <c r="I503" s="6" t="s">
        <v>970</v>
      </c>
    </row>
    <row r="504" spans="1:9">
      <c r="A504" s="7" t="s">
        <v>324</v>
      </c>
      <c r="B504" s="15">
        <v>46085</v>
      </c>
      <c r="C504" s="5" t="s">
        <v>326</v>
      </c>
      <c r="D504" s="14">
        <v>1</v>
      </c>
      <c r="E504" s="5" t="s">
        <v>449</v>
      </c>
      <c r="F504" s="4" t="s">
        <v>498</v>
      </c>
      <c r="G504" s="6" t="s">
        <v>451</v>
      </c>
      <c r="H504" s="6" t="s">
        <v>329</v>
      </c>
      <c r="I504" s="6" t="s">
        <v>971</v>
      </c>
    </row>
    <row r="505" spans="1:9">
      <c r="A505" s="7" t="s">
        <v>324</v>
      </c>
      <c r="B505" s="15">
        <v>46085</v>
      </c>
      <c r="C505" s="5" t="s">
        <v>326</v>
      </c>
      <c r="D505" s="14">
        <v>2</v>
      </c>
      <c r="E505" s="5" t="s">
        <v>453</v>
      </c>
      <c r="F505" s="4" t="s">
        <v>450</v>
      </c>
      <c r="G505" s="6" t="s">
        <v>454</v>
      </c>
      <c r="H505" s="6" t="s">
        <v>329</v>
      </c>
      <c r="I505" s="6" t="s">
        <v>972</v>
      </c>
    </row>
    <row r="506" spans="1:9">
      <c r="A506" s="7" t="s">
        <v>324</v>
      </c>
      <c r="B506" s="15">
        <v>46085</v>
      </c>
      <c r="C506" s="5" t="s">
        <v>326</v>
      </c>
      <c r="D506" s="14">
        <v>3</v>
      </c>
      <c r="E506" s="5" t="s">
        <v>456</v>
      </c>
      <c r="F506" s="4" t="s">
        <v>450</v>
      </c>
      <c r="G506" s="6" t="s">
        <v>457</v>
      </c>
      <c r="H506" s="6" t="s">
        <v>329</v>
      </c>
      <c r="I506" s="6" t="s">
        <v>973</v>
      </c>
    </row>
    <row r="507" spans="1:9">
      <c r="A507" s="7" t="s">
        <v>324</v>
      </c>
      <c r="B507" s="15">
        <v>46085</v>
      </c>
      <c r="C507" s="5" t="s">
        <v>326</v>
      </c>
      <c r="D507" s="14">
        <v>4</v>
      </c>
      <c r="E507" s="5" t="s">
        <v>459</v>
      </c>
      <c r="F507" s="4" t="s">
        <v>450</v>
      </c>
      <c r="G507" s="6" t="s">
        <v>460</v>
      </c>
      <c r="H507" s="6" t="s">
        <v>329</v>
      </c>
      <c r="I507" s="6" t="s">
        <v>974</v>
      </c>
    </row>
    <row r="508" spans="1:9">
      <c r="A508" s="7" t="s">
        <v>324</v>
      </c>
      <c r="B508" s="15">
        <v>46085</v>
      </c>
      <c r="C508" s="5" t="s">
        <v>326</v>
      </c>
      <c r="D508" s="14">
        <v>5</v>
      </c>
      <c r="E508" s="5" t="s">
        <v>462</v>
      </c>
      <c r="F508" s="4" t="s">
        <v>450</v>
      </c>
      <c r="G508" s="6" t="s">
        <v>463</v>
      </c>
      <c r="H508" s="6" t="s">
        <v>329</v>
      </c>
      <c r="I508" s="6" t="s">
        <v>975</v>
      </c>
    </row>
    <row r="509" spans="1:9">
      <c r="A509" s="7" t="s">
        <v>324</v>
      </c>
      <c r="B509" s="15">
        <v>46085</v>
      </c>
      <c r="C509" s="5" t="s">
        <v>326</v>
      </c>
      <c r="D509" s="14">
        <v>6</v>
      </c>
      <c r="E509" s="5" t="s">
        <v>465</v>
      </c>
      <c r="F509" s="4" t="s">
        <v>450</v>
      </c>
      <c r="G509" s="6" t="s">
        <v>466</v>
      </c>
      <c r="H509" s="6" t="s">
        <v>329</v>
      </c>
      <c r="I509" s="6" t="s">
        <v>976</v>
      </c>
    </row>
    <row r="510" spans="1:9">
      <c r="A510" s="7" t="s">
        <v>324</v>
      </c>
      <c r="B510" s="15">
        <v>46085</v>
      </c>
      <c r="C510" s="5" t="s">
        <v>326</v>
      </c>
      <c r="D510" s="14">
        <v>7</v>
      </c>
      <c r="E510" s="5" t="s">
        <v>468</v>
      </c>
      <c r="F510" s="4" t="s">
        <v>450</v>
      </c>
      <c r="G510" s="6" t="s">
        <v>469</v>
      </c>
      <c r="H510" s="6" t="s">
        <v>329</v>
      </c>
      <c r="I510" s="6" t="s">
        <v>977</v>
      </c>
    </row>
    <row r="511" spans="1:9">
      <c r="A511" s="7" t="s">
        <v>324</v>
      </c>
      <c r="B511" s="15">
        <v>46085</v>
      </c>
      <c r="C511" s="5" t="s">
        <v>326</v>
      </c>
      <c r="D511" s="14">
        <v>8</v>
      </c>
      <c r="E511" s="5" t="s">
        <v>471</v>
      </c>
      <c r="F511" s="4" t="s">
        <v>450</v>
      </c>
      <c r="G511" s="6" t="s">
        <v>472</v>
      </c>
      <c r="H511" s="6" t="s">
        <v>329</v>
      </c>
      <c r="I511" s="6" t="s">
        <v>978</v>
      </c>
    </row>
    <row r="512" spans="1:9">
      <c r="A512" s="7" t="s">
        <v>324</v>
      </c>
      <c r="B512" s="15">
        <v>46085</v>
      </c>
      <c r="C512" s="5" t="s">
        <v>326</v>
      </c>
      <c r="D512" s="14">
        <v>9</v>
      </c>
      <c r="E512" s="5" t="s">
        <v>474</v>
      </c>
      <c r="F512" s="4" t="s">
        <v>450</v>
      </c>
      <c r="G512" s="6" t="s">
        <v>475</v>
      </c>
      <c r="H512" s="6" t="s">
        <v>329</v>
      </c>
      <c r="I512" s="6" t="s">
        <v>979</v>
      </c>
    </row>
    <row r="513" spans="1:9">
      <c r="A513" s="7" t="s">
        <v>324</v>
      </c>
      <c r="B513" s="15">
        <v>46085</v>
      </c>
      <c r="C513" s="5" t="s">
        <v>326</v>
      </c>
      <c r="D513" s="14">
        <v>10</v>
      </c>
      <c r="E513" s="5" t="s">
        <v>477</v>
      </c>
      <c r="F513" s="4" t="s">
        <v>450</v>
      </c>
      <c r="G513" s="6" t="s">
        <v>478</v>
      </c>
      <c r="H513" s="6" t="s">
        <v>329</v>
      </c>
      <c r="I513" s="6" t="s">
        <v>980</v>
      </c>
    </row>
    <row r="514" spans="1:9">
      <c r="A514" s="7" t="s">
        <v>330</v>
      </c>
      <c r="B514" s="15">
        <v>46119</v>
      </c>
      <c r="C514" s="5" t="s">
        <v>332</v>
      </c>
      <c r="D514" s="14">
        <v>1</v>
      </c>
      <c r="E514" s="5" t="s">
        <v>449</v>
      </c>
      <c r="F514" s="4" t="s">
        <v>450</v>
      </c>
      <c r="G514" s="6" t="s">
        <v>451</v>
      </c>
      <c r="H514" s="6" t="s">
        <v>335</v>
      </c>
      <c r="I514" s="6" t="s">
        <v>981</v>
      </c>
    </row>
    <row r="515" spans="1:9">
      <c r="A515" s="7" t="s">
        <v>330</v>
      </c>
      <c r="B515" s="15">
        <v>46119</v>
      </c>
      <c r="C515" s="5" t="s">
        <v>332</v>
      </c>
      <c r="D515" s="14">
        <v>2</v>
      </c>
      <c r="E515" s="5" t="s">
        <v>453</v>
      </c>
      <c r="F515" s="4" t="s">
        <v>450</v>
      </c>
      <c r="G515" s="6" t="s">
        <v>454</v>
      </c>
      <c r="H515" s="6" t="s">
        <v>335</v>
      </c>
      <c r="I515" s="6" t="s">
        <v>982</v>
      </c>
    </row>
    <row r="516" spans="1:9">
      <c r="A516" s="7" t="s">
        <v>330</v>
      </c>
      <c r="B516" s="15">
        <v>46119</v>
      </c>
      <c r="C516" s="5" t="s">
        <v>332</v>
      </c>
      <c r="D516" s="14">
        <v>3</v>
      </c>
      <c r="E516" s="5" t="s">
        <v>456</v>
      </c>
      <c r="F516" s="4" t="s">
        <v>450</v>
      </c>
      <c r="G516" s="6" t="s">
        <v>457</v>
      </c>
      <c r="H516" s="6" t="s">
        <v>335</v>
      </c>
      <c r="I516" s="6" t="s">
        <v>983</v>
      </c>
    </row>
    <row r="517" spans="1:9">
      <c r="A517" s="7" t="s">
        <v>330</v>
      </c>
      <c r="B517" s="15">
        <v>46119</v>
      </c>
      <c r="C517" s="5" t="s">
        <v>332</v>
      </c>
      <c r="D517" s="14">
        <v>4</v>
      </c>
      <c r="E517" s="5" t="s">
        <v>459</v>
      </c>
      <c r="F517" s="4" t="s">
        <v>450</v>
      </c>
      <c r="G517" s="6" t="s">
        <v>460</v>
      </c>
      <c r="H517" s="6" t="s">
        <v>335</v>
      </c>
      <c r="I517" s="6" t="s">
        <v>984</v>
      </c>
    </row>
    <row r="518" spans="1:9">
      <c r="A518" s="7" t="s">
        <v>330</v>
      </c>
      <c r="B518" s="15">
        <v>46119</v>
      </c>
      <c r="C518" s="5" t="s">
        <v>332</v>
      </c>
      <c r="D518" s="14">
        <v>5</v>
      </c>
      <c r="E518" s="5" t="s">
        <v>462</v>
      </c>
      <c r="F518" s="4" t="s">
        <v>450</v>
      </c>
      <c r="G518" s="6" t="s">
        <v>463</v>
      </c>
      <c r="H518" s="6" t="s">
        <v>335</v>
      </c>
      <c r="I518" s="6" t="s">
        <v>985</v>
      </c>
    </row>
    <row r="519" spans="1:9">
      <c r="A519" s="7" t="s">
        <v>330</v>
      </c>
      <c r="B519" s="15">
        <v>46119</v>
      </c>
      <c r="C519" s="5" t="s">
        <v>332</v>
      </c>
      <c r="D519" s="14">
        <v>6</v>
      </c>
      <c r="E519" s="5" t="s">
        <v>465</v>
      </c>
      <c r="F519" s="4" t="s">
        <v>450</v>
      </c>
      <c r="G519" s="6" t="s">
        <v>466</v>
      </c>
      <c r="H519" s="6" t="s">
        <v>335</v>
      </c>
      <c r="I519" s="6" t="s">
        <v>986</v>
      </c>
    </row>
    <row r="520" spans="1:9">
      <c r="A520" s="7" t="s">
        <v>330</v>
      </c>
      <c r="B520" s="15">
        <v>46119</v>
      </c>
      <c r="C520" s="5" t="s">
        <v>332</v>
      </c>
      <c r="D520" s="14">
        <v>7</v>
      </c>
      <c r="E520" s="5" t="s">
        <v>468</v>
      </c>
      <c r="F520" s="4" t="s">
        <v>450</v>
      </c>
      <c r="G520" s="6" t="s">
        <v>469</v>
      </c>
      <c r="H520" s="6" t="s">
        <v>335</v>
      </c>
      <c r="I520" s="6" t="s">
        <v>987</v>
      </c>
    </row>
    <row r="521" spans="1:9">
      <c r="A521" s="7" t="s">
        <v>330</v>
      </c>
      <c r="B521" s="15">
        <v>46119</v>
      </c>
      <c r="C521" s="5" t="s">
        <v>332</v>
      </c>
      <c r="D521" s="14">
        <v>8</v>
      </c>
      <c r="E521" s="5" t="s">
        <v>471</v>
      </c>
      <c r="F521" s="4" t="s">
        <v>450</v>
      </c>
      <c r="G521" s="6" t="s">
        <v>472</v>
      </c>
      <c r="H521" s="6" t="s">
        <v>335</v>
      </c>
      <c r="I521" s="6" t="s">
        <v>988</v>
      </c>
    </row>
    <row r="522" spans="1:9">
      <c r="A522" s="7" t="s">
        <v>330</v>
      </c>
      <c r="B522" s="15">
        <v>46119</v>
      </c>
      <c r="C522" s="5" t="s">
        <v>332</v>
      </c>
      <c r="D522" s="14">
        <v>9</v>
      </c>
      <c r="E522" s="5" t="s">
        <v>474</v>
      </c>
      <c r="F522" s="4" t="s">
        <v>450</v>
      </c>
      <c r="G522" s="6" t="s">
        <v>475</v>
      </c>
      <c r="H522" s="6" t="s">
        <v>335</v>
      </c>
      <c r="I522" s="6" t="s">
        <v>989</v>
      </c>
    </row>
    <row r="523" spans="1:9">
      <c r="A523" s="7" t="s">
        <v>330</v>
      </c>
      <c r="B523" s="15">
        <v>46119</v>
      </c>
      <c r="C523" s="5" t="s">
        <v>332</v>
      </c>
      <c r="D523" s="14">
        <v>10</v>
      </c>
      <c r="E523" s="5" t="s">
        <v>477</v>
      </c>
      <c r="F523" s="4" t="s">
        <v>450</v>
      </c>
      <c r="G523" s="6" t="s">
        <v>478</v>
      </c>
      <c r="H523" s="6" t="s">
        <v>335</v>
      </c>
      <c r="I523" s="6" t="s">
        <v>990</v>
      </c>
    </row>
    <row r="524" spans="1:9">
      <c r="A524" s="7" t="s">
        <v>336</v>
      </c>
      <c r="B524" s="15">
        <v>46152</v>
      </c>
      <c r="C524" s="5" t="s">
        <v>338</v>
      </c>
      <c r="D524" s="14">
        <v>1</v>
      </c>
      <c r="E524" s="5" t="s">
        <v>449</v>
      </c>
      <c r="F524" s="4" t="s">
        <v>450</v>
      </c>
      <c r="G524" s="6" t="s">
        <v>451</v>
      </c>
      <c r="H524" s="6" t="s">
        <v>341</v>
      </c>
      <c r="I524" s="6" t="s">
        <v>991</v>
      </c>
    </row>
    <row r="525" spans="1:9">
      <c r="A525" s="7" t="s">
        <v>336</v>
      </c>
      <c r="B525" s="15">
        <v>46152</v>
      </c>
      <c r="C525" s="5" t="s">
        <v>338</v>
      </c>
      <c r="D525" s="14">
        <v>2</v>
      </c>
      <c r="E525" s="5" t="s">
        <v>453</v>
      </c>
      <c r="F525" s="4" t="s">
        <v>450</v>
      </c>
      <c r="G525" s="6" t="s">
        <v>454</v>
      </c>
      <c r="H525" s="6" t="s">
        <v>341</v>
      </c>
      <c r="I525" s="6" t="s">
        <v>992</v>
      </c>
    </row>
    <row r="526" spans="1:9">
      <c r="A526" s="7" t="s">
        <v>336</v>
      </c>
      <c r="B526" s="15">
        <v>46152</v>
      </c>
      <c r="C526" s="5" t="s">
        <v>338</v>
      </c>
      <c r="D526" s="14">
        <v>3</v>
      </c>
      <c r="E526" s="5" t="s">
        <v>456</v>
      </c>
      <c r="F526" s="4" t="s">
        <v>450</v>
      </c>
      <c r="G526" s="6" t="s">
        <v>457</v>
      </c>
      <c r="H526" s="6" t="s">
        <v>341</v>
      </c>
      <c r="I526" s="6" t="s">
        <v>993</v>
      </c>
    </row>
    <row r="527" spans="1:9">
      <c r="A527" s="7" t="s">
        <v>336</v>
      </c>
      <c r="B527" s="15">
        <v>46152</v>
      </c>
      <c r="C527" s="5" t="s">
        <v>338</v>
      </c>
      <c r="D527" s="14">
        <v>4</v>
      </c>
      <c r="E527" s="5" t="s">
        <v>459</v>
      </c>
      <c r="F527" s="4" t="s">
        <v>450</v>
      </c>
      <c r="G527" s="6" t="s">
        <v>460</v>
      </c>
      <c r="H527" s="6" t="s">
        <v>341</v>
      </c>
      <c r="I527" s="6" t="s">
        <v>994</v>
      </c>
    </row>
    <row r="528" spans="1:9">
      <c r="A528" s="7" t="s">
        <v>336</v>
      </c>
      <c r="B528" s="15">
        <v>46152</v>
      </c>
      <c r="C528" s="5" t="s">
        <v>338</v>
      </c>
      <c r="D528" s="14">
        <v>5</v>
      </c>
      <c r="E528" s="5" t="s">
        <v>462</v>
      </c>
      <c r="F528" s="4" t="s">
        <v>450</v>
      </c>
      <c r="G528" s="6" t="s">
        <v>463</v>
      </c>
      <c r="H528" s="6" t="s">
        <v>341</v>
      </c>
      <c r="I528" s="6" t="s">
        <v>995</v>
      </c>
    </row>
    <row r="529" spans="1:9">
      <c r="A529" s="7" t="s">
        <v>336</v>
      </c>
      <c r="B529" s="15">
        <v>46152</v>
      </c>
      <c r="C529" s="5" t="s">
        <v>338</v>
      </c>
      <c r="D529" s="14">
        <v>6</v>
      </c>
      <c r="E529" s="5" t="s">
        <v>465</v>
      </c>
      <c r="F529" s="4" t="s">
        <v>450</v>
      </c>
      <c r="G529" s="6" t="s">
        <v>466</v>
      </c>
      <c r="H529" s="6" t="s">
        <v>341</v>
      </c>
      <c r="I529" s="6" t="s">
        <v>996</v>
      </c>
    </row>
    <row r="530" spans="1:9">
      <c r="A530" s="7" t="s">
        <v>336</v>
      </c>
      <c r="B530" s="15">
        <v>46152</v>
      </c>
      <c r="C530" s="5" t="s">
        <v>338</v>
      </c>
      <c r="D530" s="14">
        <v>7</v>
      </c>
      <c r="E530" s="5" t="s">
        <v>468</v>
      </c>
      <c r="F530" s="4" t="s">
        <v>450</v>
      </c>
      <c r="G530" s="6" t="s">
        <v>469</v>
      </c>
      <c r="H530" s="6" t="s">
        <v>341</v>
      </c>
      <c r="I530" s="6" t="s">
        <v>997</v>
      </c>
    </row>
    <row r="531" spans="1:9">
      <c r="A531" s="7" t="s">
        <v>336</v>
      </c>
      <c r="B531" s="15">
        <v>46152</v>
      </c>
      <c r="C531" s="5" t="s">
        <v>338</v>
      </c>
      <c r="D531" s="14">
        <v>8</v>
      </c>
      <c r="E531" s="5" t="s">
        <v>471</v>
      </c>
      <c r="F531" s="4" t="s">
        <v>450</v>
      </c>
      <c r="G531" s="6" t="s">
        <v>472</v>
      </c>
      <c r="H531" s="6" t="s">
        <v>341</v>
      </c>
      <c r="I531" s="6" t="s">
        <v>998</v>
      </c>
    </row>
    <row r="532" spans="1:9">
      <c r="A532" s="7" t="s">
        <v>336</v>
      </c>
      <c r="B532" s="15">
        <v>46152</v>
      </c>
      <c r="C532" s="5" t="s">
        <v>338</v>
      </c>
      <c r="D532" s="14">
        <v>9</v>
      </c>
      <c r="E532" s="5" t="s">
        <v>474</v>
      </c>
      <c r="F532" s="4" t="s">
        <v>450</v>
      </c>
      <c r="G532" s="6" t="s">
        <v>475</v>
      </c>
      <c r="H532" s="6" t="s">
        <v>341</v>
      </c>
      <c r="I532" s="6" t="s">
        <v>999</v>
      </c>
    </row>
    <row r="533" spans="1:9">
      <c r="A533" s="7" t="s">
        <v>336</v>
      </c>
      <c r="B533" s="15">
        <v>46152</v>
      </c>
      <c r="C533" s="5" t="s">
        <v>338</v>
      </c>
      <c r="D533" s="14">
        <v>10</v>
      </c>
      <c r="E533" s="5" t="s">
        <v>477</v>
      </c>
      <c r="F533" s="4" t="s">
        <v>450</v>
      </c>
      <c r="G533" s="6" t="s">
        <v>478</v>
      </c>
      <c r="H533" s="6" t="s">
        <v>341</v>
      </c>
      <c r="I533" s="6" t="s">
        <v>1000</v>
      </c>
    </row>
    <row r="534" spans="1:9">
      <c r="A534" s="7" t="s">
        <v>342</v>
      </c>
      <c r="B534" s="15">
        <v>46186</v>
      </c>
      <c r="C534" s="5" t="s">
        <v>344</v>
      </c>
      <c r="D534" s="14">
        <v>1</v>
      </c>
      <c r="E534" s="5" t="s">
        <v>449</v>
      </c>
      <c r="F534" s="4" t="s">
        <v>450</v>
      </c>
      <c r="G534" s="6" t="s">
        <v>451</v>
      </c>
      <c r="H534" s="6" t="s">
        <v>347</v>
      </c>
      <c r="I534" s="6" t="s">
        <v>1001</v>
      </c>
    </row>
    <row r="535" spans="1:9">
      <c r="A535" s="7" t="s">
        <v>342</v>
      </c>
      <c r="B535" s="15">
        <v>46186</v>
      </c>
      <c r="C535" s="5" t="s">
        <v>344</v>
      </c>
      <c r="D535" s="14">
        <v>2</v>
      </c>
      <c r="E535" s="5" t="s">
        <v>453</v>
      </c>
      <c r="F535" s="4" t="s">
        <v>450</v>
      </c>
      <c r="G535" s="6" t="s">
        <v>454</v>
      </c>
      <c r="H535" s="6" t="s">
        <v>347</v>
      </c>
      <c r="I535" s="6" t="s">
        <v>1002</v>
      </c>
    </row>
    <row r="536" spans="1:9">
      <c r="A536" s="7" t="s">
        <v>342</v>
      </c>
      <c r="B536" s="15">
        <v>46186</v>
      </c>
      <c r="C536" s="5" t="s">
        <v>344</v>
      </c>
      <c r="D536" s="14">
        <v>3</v>
      </c>
      <c r="E536" s="5" t="s">
        <v>456</v>
      </c>
      <c r="F536" s="4" t="s">
        <v>450</v>
      </c>
      <c r="G536" s="6" t="s">
        <v>457</v>
      </c>
      <c r="H536" s="6" t="s">
        <v>347</v>
      </c>
      <c r="I536" s="6" t="s">
        <v>1003</v>
      </c>
    </row>
    <row r="537" spans="1:9">
      <c r="A537" s="7" t="s">
        <v>342</v>
      </c>
      <c r="B537" s="15">
        <v>46186</v>
      </c>
      <c r="C537" s="5" t="s">
        <v>344</v>
      </c>
      <c r="D537" s="14">
        <v>4</v>
      </c>
      <c r="E537" s="5" t="s">
        <v>459</v>
      </c>
      <c r="F537" s="4" t="s">
        <v>450</v>
      </c>
      <c r="G537" s="6" t="s">
        <v>460</v>
      </c>
      <c r="H537" s="6" t="s">
        <v>347</v>
      </c>
      <c r="I537" s="6" t="s">
        <v>1004</v>
      </c>
    </row>
    <row r="538" spans="1:9">
      <c r="A538" s="7" t="s">
        <v>342</v>
      </c>
      <c r="B538" s="15">
        <v>46186</v>
      </c>
      <c r="C538" s="5" t="s">
        <v>344</v>
      </c>
      <c r="D538" s="14">
        <v>5</v>
      </c>
      <c r="E538" s="5" t="s">
        <v>462</v>
      </c>
      <c r="F538" s="4" t="s">
        <v>450</v>
      </c>
      <c r="G538" s="6" t="s">
        <v>463</v>
      </c>
      <c r="H538" s="6" t="s">
        <v>347</v>
      </c>
      <c r="I538" s="6" t="s">
        <v>1005</v>
      </c>
    </row>
    <row r="539" spans="1:9">
      <c r="A539" s="7" t="s">
        <v>342</v>
      </c>
      <c r="B539" s="15">
        <v>46186</v>
      </c>
      <c r="C539" s="5" t="s">
        <v>344</v>
      </c>
      <c r="D539" s="14">
        <v>6</v>
      </c>
      <c r="E539" s="5" t="s">
        <v>465</v>
      </c>
      <c r="F539" s="4" t="s">
        <v>450</v>
      </c>
      <c r="G539" s="6" t="s">
        <v>466</v>
      </c>
      <c r="H539" s="6" t="s">
        <v>347</v>
      </c>
      <c r="I539" s="6" t="s">
        <v>1006</v>
      </c>
    </row>
    <row r="540" spans="1:9">
      <c r="A540" s="7" t="s">
        <v>342</v>
      </c>
      <c r="B540" s="15">
        <v>46186</v>
      </c>
      <c r="C540" s="5" t="s">
        <v>344</v>
      </c>
      <c r="D540" s="14">
        <v>7</v>
      </c>
      <c r="E540" s="5" t="s">
        <v>468</v>
      </c>
      <c r="F540" s="4" t="s">
        <v>450</v>
      </c>
      <c r="G540" s="6" t="s">
        <v>469</v>
      </c>
      <c r="H540" s="6" t="s">
        <v>347</v>
      </c>
      <c r="I540" s="6" t="s">
        <v>1007</v>
      </c>
    </row>
    <row r="541" spans="1:9">
      <c r="A541" s="7" t="s">
        <v>342</v>
      </c>
      <c r="B541" s="15">
        <v>46186</v>
      </c>
      <c r="C541" s="5" t="s">
        <v>344</v>
      </c>
      <c r="D541" s="14">
        <v>8</v>
      </c>
      <c r="E541" s="5" t="s">
        <v>471</v>
      </c>
      <c r="F541" s="4" t="s">
        <v>450</v>
      </c>
      <c r="G541" s="6" t="s">
        <v>472</v>
      </c>
      <c r="H541" s="6" t="s">
        <v>347</v>
      </c>
      <c r="I541" s="6" t="s">
        <v>1008</v>
      </c>
    </row>
    <row r="542" spans="1:9">
      <c r="A542" s="7" t="s">
        <v>342</v>
      </c>
      <c r="B542" s="15">
        <v>46186</v>
      </c>
      <c r="C542" s="5" t="s">
        <v>344</v>
      </c>
      <c r="D542" s="14">
        <v>9</v>
      </c>
      <c r="E542" s="5" t="s">
        <v>474</v>
      </c>
      <c r="F542" s="4" t="s">
        <v>498</v>
      </c>
      <c r="G542" s="6" t="s">
        <v>475</v>
      </c>
      <c r="H542" s="6" t="s">
        <v>347</v>
      </c>
      <c r="I542" s="6" t="s">
        <v>1009</v>
      </c>
    </row>
    <row r="543" spans="1:9">
      <c r="A543" s="7" t="s">
        <v>342</v>
      </c>
      <c r="B543" s="15">
        <v>46186</v>
      </c>
      <c r="C543" s="5" t="s">
        <v>344</v>
      </c>
      <c r="D543" s="14">
        <v>10</v>
      </c>
      <c r="E543" s="5" t="s">
        <v>477</v>
      </c>
      <c r="F543" s="4" t="s">
        <v>450</v>
      </c>
      <c r="G543" s="6" t="s">
        <v>478</v>
      </c>
      <c r="H543" s="6" t="s">
        <v>347</v>
      </c>
      <c r="I543" s="6" t="s">
        <v>1010</v>
      </c>
    </row>
    <row r="544" spans="1:9">
      <c r="A544" s="7" t="s">
        <v>348</v>
      </c>
      <c r="B544" s="15">
        <v>46038</v>
      </c>
      <c r="C544" s="5" t="s">
        <v>350</v>
      </c>
      <c r="D544" s="14">
        <v>1</v>
      </c>
      <c r="E544" s="5" t="s">
        <v>449</v>
      </c>
      <c r="F544" s="4" t="s">
        <v>450</v>
      </c>
      <c r="G544" s="6" t="s">
        <v>451</v>
      </c>
      <c r="H544" s="6" t="s">
        <v>353</v>
      </c>
      <c r="I544" s="6" t="s">
        <v>1011</v>
      </c>
    </row>
    <row r="545" spans="1:9">
      <c r="A545" s="7" t="s">
        <v>348</v>
      </c>
      <c r="B545" s="15">
        <v>46038</v>
      </c>
      <c r="C545" s="5" t="s">
        <v>350</v>
      </c>
      <c r="D545" s="14">
        <v>2</v>
      </c>
      <c r="E545" s="5" t="s">
        <v>453</v>
      </c>
      <c r="F545" s="4" t="s">
        <v>450</v>
      </c>
      <c r="G545" s="6" t="s">
        <v>454</v>
      </c>
      <c r="H545" s="6" t="s">
        <v>353</v>
      </c>
      <c r="I545" s="6" t="s">
        <v>1012</v>
      </c>
    </row>
    <row r="546" spans="1:9">
      <c r="A546" s="7" t="s">
        <v>348</v>
      </c>
      <c r="B546" s="15">
        <v>46038</v>
      </c>
      <c r="C546" s="5" t="s">
        <v>350</v>
      </c>
      <c r="D546" s="14">
        <v>3</v>
      </c>
      <c r="E546" s="5" t="s">
        <v>456</v>
      </c>
      <c r="F546" s="4" t="s">
        <v>450</v>
      </c>
      <c r="G546" s="6" t="s">
        <v>457</v>
      </c>
      <c r="H546" s="6" t="s">
        <v>353</v>
      </c>
      <c r="I546" s="6" t="s">
        <v>1013</v>
      </c>
    </row>
    <row r="547" spans="1:9">
      <c r="A547" s="7" t="s">
        <v>348</v>
      </c>
      <c r="B547" s="15">
        <v>46038</v>
      </c>
      <c r="C547" s="5" t="s">
        <v>350</v>
      </c>
      <c r="D547" s="14">
        <v>4</v>
      </c>
      <c r="E547" s="5" t="s">
        <v>459</v>
      </c>
      <c r="F547" s="4" t="s">
        <v>450</v>
      </c>
      <c r="G547" s="6" t="s">
        <v>460</v>
      </c>
      <c r="H547" s="6" t="s">
        <v>353</v>
      </c>
      <c r="I547" s="6" t="s">
        <v>1014</v>
      </c>
    </row>
    <row r="548" spans="1:9">
      <c r="A548" s="7" t="s">
        <v>348</v>
      </c>
      <c r="B548" s="15">
        <v>46038</v>
      </c>
      <c r="C548" s="5" t="s">
        <v>350</v>
      </c>
      <c r="D548" s="14">
        <v>5</v>
      </c>
      <c r="E548" s="5" t="s">
        <v>462</v>
      </c>
      <c r="F548" s="4" t="s">
        <v>450</v>
      </c>
      <c r="G548" s="6" t="s">
        <v>463</v>
      </c>
      <c r="H548" s="6" t="s">
        <v>353</v>
      </c>
      <c r="I548" s="6" t="s">
        <v>1015</v>
      </c>
    </row>
    <row r="549" spans="1:9">
      <c r="A549" s="7" t="s">
        <v>348</v>
      </c>
      <c r="B549" s="15">
        <v>46038</v>
      </c>
      <c r="C549" s="5" t="s">
        <v>350</v>
      </c>
      <c r="D549" s="14">
        <v>6</v>
      </c>
      <c r="E549" s="5" t="s">
        <v>465</v>
      </c>
      <c r="F549" s="4" t="s">
        <v>498</v>
      </c>
      <c r="G549" s="6" t="s">
        <v>466</v>
      </c>
      <c r="H549" s="6" t="s">
        <v>353</v>
      </c>
      <c r="I549" s="6" t="s">
        <v>1016</v>
      </c>
    </row>
    <row r="550" spans="1:9">
      <c r="A550" s="7" t="s">
        <v>348</v>
      </c>
      <c r="B550" s="15">
        <v>46038</v>
      </c>
      <c r="C550" s="5" t="s">
        <v>350</v>
      </c>
      <c r="D550" s="14">
        <v>7</v>
      </c>
      <c r="E550" s="5" t="s">
        <v>468</v>
      </c>
      <c r="F550" s="4" t="s">
        <v>450</v>
      </c>
      <c r="G550" s="6" t="s">
        <v>469</v>
      </c>
      <c r="H550" s="6" t="s">
        <v>353</v>
      </c>
      <c r="I550" s="6" t="s">
        <v>1017</v>
      </c>
    </row>
    <row r="551" spans="1:9">
      <c r="A551" s="7" t="s">
        <v>348</v>
      </c>
      <c r="B551" s="15">
        <v>46038</v>
      </c>
      <c r="C551" s="5" t="s">
        <v>350</v>
      </c>
      <c r="D551" s="14">
        <v>8</v>
      </c>
      <c r="E551" s="5" t="s">
        <v>471</v>
      </c>
      <c r="F551" s="4" t="s">
        <v>450</v>
      </c>
      <c r="G551" s="6" t="s">
        <v>472</v>
      </c>
      <c r="H551" s="6" t="s">
        <v>353</v>
      </c>
      <c r="I551" s="6" t="s">
        <v>1018</v>
      </c>
    </row>
    <row r="552" spans="1:9">
      <c r="A552" s="7" t="s">
        <v>348</v>
      </c>
      <c r="B552" s="15">
        <v>46038</v>
      </c>
      <c r="C552" s="5" t="s">
        <v>350</v>
      </c>
      <c r="D552" s="14">
        <v>9</v>
      </c>
      <c r="E552" s="5" t="s">
        <v>474</v>
      </c>
      <c r="F552" s="4" t="s">
        <v>450</v>
      </c>
      <c r="G552" s="6" t="s">
        <v>475</v>
      </c>
      <c r="H552" s="6" t="s">
        <v>353</v>
      </c>
      <c r="I552" s="6" t="s">
        <v>1019</v>
      </c>
    </row>
    <row r="553" spans="1:9">
      <c r="A553" s="7" t="s">
        <v>348</v>
      </c>
      <c r="B553" s="15">
        <v>46038</v>
      </c>
      <c r="C553" s="5" t="s">
        <v>350</v>
      </c>
      <c r="D553" s="14">
        <v>10</v>
      </c>
      <c r="E553" s="5" t="s">
        <v>477</v>
      </c>
      <c r="F553" s="4" t="s">
        <v>450</v>
      </c>
      <c r="G553" s="6" t="s">
        <v>478</v>
      </c>
      <c r="H553" s="6" t="s">
        <v>353</v>
      </c>
      <c r="I553" s="6" t="s">
        <v>1020</v>
      </c>
    </row>
    <row r="554" spans="1:9">
      <c r="A554" s="7" t="s">
        <v>354</v>
      </c>
      <c r="B554" s="15">
        <v>46072</v>
      </c>
      <c r="C554" s="5" t="s">
        <v>356</v>
      </c>
      <c r="D554" s="14">
        <v>1</v>
      </c>
      <c r="E554" s="5" t="s">
        <v>449</v>
      </c>
      <c r="F554" s="4" t="s">
        <v>450</v>
      </c>
      <c r="G554" s="6" t="s">
        <v>451</v>
      </c>
      <c r="H554" s="6" t="s">
        <v>359</v>
      </c>
      <c r="I554" s="6" t="s">
        <v>1021</v>
      </c>
    </row>
    <row r="555" spans="1:9">
      <c r="A555" s="7" t="s">
        <v>354</v>
      </c>
      <c r="B555" s="15">
        <v>46072</v>
      </c>
      <c r="C555" s="5" t="s">
        <v>356</v>
      </c>
      <c r="D555" s="14">
        <v>2</v>
      </c>
      <c r="E555" s="5" t="s">
        <v>453</v>
      </c>
      <c r="F555" s="4" t="s">
        <v>450</v>
      </c>
      <c r="G555" s="6" t="s">
        <v>454</v>
      </c>
      <c r="H555" s="6" t="s">
        <v>359</v>
      </c>
      <c r="I555" s="6" t="s">
        <v>1022</v>
      </c>
    </row>
    <row r="556" spans="1:9">
      <c r="A556" s="7" t="s">
        <v>354</v>
      </c>
      <c r="B556" s="15">
        <v>46072</v>
      </c>
      <c r="C556" s="5" t="s">
        <v>356</v>
      </c>
      <c r="D556" s="14">
        <v>3</v>
      </c>
      <c r="E556" s="5" t="s">
        <v>456</v>
      </c>
      <c r="F556" s="4" t="s">
        <v>498</v>
      </c>
      <c r="G556" s="6" t="s">
        <v>457</v>
      </c>
      <c r="H556" s="6" t="s">
        <v>359</v>
      </c>
      <c r="I556" s="6" t="s">
        <v>1023</v>
      </c>
    </row>
    <row r="557" spans="1:9">
      <c r="A557" s="7" t="s">
        <v>354</v>
      </c>
      <c r="B557" s="15">
        <v>46072</v>
      </c>
      <c r="C557" s="5" t="s">
        <v>356</v>
      </c>
      <c r="D557" s="14">
        <v>4</v>
      </c>
      <c r="E557" s="5" t="s">
        <v>459</v>
      </c>
      <c r="F557" s="4" t="s">
        <v>450</v>
      </c>
      <c r="G557" s="6" t="s">
        <v>460</v>
      </c>
      <c r="H557" s="6" t="s">
        <v>359</v>
      </c>
      <c r="I557" s="6" t="s">
        <v>1024</v>
      </c>
    </row>
    <row r="558" spans="1:9">
      <c r="A558" s="7" t="s">
        <v>354</v>
      </c>
      <c r="B558" s="15">
        <v>46072</v>
      </c>
      <c r="C558" s="5" t="s">
        <v>356</v>
      </c>
      <c r="D558" s="14">
        <v>5</v>
      </c>
      <c r="E558" s="5" t="s">
        <v>462</v>
      </c>
      <c r="F558" s="4" t="s">
        <v>450</v>
      </c>
      <c r="G558" s="6" t="s">
        <v>463</v>
      </c>
      <c r="H558" s="6" t="s">
        <v>359</v>
      </c>
      <c r="I558" s="6" t="s">
        <v>1025</v>
      </c>
    </row>
    <row r="559" spans="1:9">
      <c r="A559" s="7" t="s">
        <v>354</v>
      </c>
      <c r="B559" s="15">
        <v>46072</v>
      </c>
      <c r="C559" s="5" t="s">
        <v>356</v>
      </c>
      <c r="D559" s="14">
        <v>6</v>
      </c>
      <c r="E559" s="5" t="s">
        <v>465</v>
      </c>
      <c r="F559" s="4" t="s">
        <v>450</v>
      </c>
      <c r="G559" s="6" t="s">
        <v>466</v>
      </c>
      <c r="H559" s="6" t="s">
        <v>359</v>
      </c>
      <c r="I559" s="6" t="s">
        <v>1026</v>
      </c>
    </row>
    <row r="560" spans="1:9">
      <c r="A560" s="7" t="s">
        <v>354</v>
      </c>
      <c r="B560" s="15">
        <v>46072</v>
      </c>
      <c r="C560" s="5" t="s">
        <v>356</v>
      </c>
      <c r="D560" s="14">
        <v>7</v>
      </c>
      <c r="E560" s="5" t="s">
        <v>468</v>
      </c>
      <c r="F560" s="4" t="s">
        <v>450</v>
      </c>
      <c r="G560" s="6" t="s">
        <v>469</v>
      </c>
      <c r="H560" s="6" t="s">
        <v>359</v>
      </c>
      <c r="I560" s="6" t="s">
        <v>1027</v>
      </c>
    </row>
    <row r="561" spans="1:9">
      <c r="A561" s="7" t="s">
        <v>354</v>
      </c>
      <c r="B561" s="15">
        <v>46072</v>
      </c>
      <c r="C561" s="5" t="s">
        <v>356</v>
      </c>
      <c r="D561" s="14">
        <v>8</v>
      </c>
      <c r="E561" s="5" t="s">
        <v>471</v>
      </c>
      <c r="F561" s="4" t="s">
        <v>450</v>
      </c>
      <c r="G561" s="6" t="s">
        <v>472</v>
      </c>
      <c r="H561" s="6" t="s">
        <v>359</v>
      </c>
      <c r="I561" s="6" t="s">
        <v>1028</v>
      </c>
    </row>
    <row r="562" spans="1:9">
      <c r="A562" s="7" t="s">
        <v>354</v>
      </c>
      <c r="B562" s="15">
        <v>46072</v>
      </c>
      <c r="C562" s="5" t="s">
        <v>356</v>
      </c>
      <c r="D562" s="14">
        <v>9</v>
      </c>
      <c r="E562" s="5" t="s">
        <v>474</v>
      </c>
      <c r="F562" s="4" t="s">
        <v>450</v>
      </c>
      <c r="G562" s="6" t="s">
        <v>475</v>
      </c>
      <c r="H562" s="6" t="s">
        <v>359</v>
      </c>
      <c r="I562" s="6" t="s">
        <v>1029</v>
      </c>
    </row>
    <row r="563" spans="1:9">
      <c r="A563" s="7" t="s">
        <v>354</v>
      </c>
      <c r="B563" s="15">
        <v>46072</v>
      </c>
      <c r="C563" s="5" t="s">
        <v>356</v>
      </c>
      <c r="D563" s="14">
        <v>10</v>
      </c>
      <c r="E563" s="5" t="s">
        <v>477</v>
      </c>
      <c r="F563" s="4" t="s">
        <v>450</v>
      </c>
      <c r="G563" s="6" t="s">
        <v>478</v>
      </c>
      <c r="H563" s="6" t="s">
        <v>359</v>
      </c>
      <c r="I563" s="6" t="s">
        <v>1030</v>
      </c>
    </row>
    <row r="564" spans="1:9">
      <c r="A564" s="7" t="s">
        <v>360</v>
      </c>
      <c r="B564" s="15">
        <v>46103</v>
      </c>
      <c r="C564" s="5" t="s">
        <v>362</v>
      </c>
      <c r="D564" s="14">
        <v>1</v>
      </c>
      <c r="E564" s="5" t="s">
        <v>449</v>
      </c>
      <c r="F564" s="4" t="s">
        <v>450</v>
      </c>
      <c r="G564" s="6" t="s">
        <v>451</v>
      </c>
      <c r="H564" s="6" t="s">
        <v>365</v>
      </c>
      <c r="I564" s="6" t="s">
        <v>1031</v>
      </c>
    </row>
    <row r="565" spans="1:9">
      <c r="A565" s="7" t="s">
        <v>360</v>
      </c>
      <c r="B565" s="15">
        <v>46103</v>
      </c>
      <c r="C565" s="5" t="s">
        <v>362</v>
      </c>
      <c r="D565" s="14">
        <v>2</v>
      </c>
      <c r="E565" s="5" t="s">
        <v>453</v>
      </c>
      <c r="F565" s="4" t="s">
        <v>450</v>
      </c>
      <c r="G565" s="6" t="s">
        <v>454</v>
      </c>
      <c r="H565" s="6" t="s">
        <v>365</v>
      </c>
      <c r="I565" s="6" t="s">
        <v>1032</v>
      </c>
    </row>
    <row r="566" spans="1:9">
      <c r="A566" s="7" t="s">
        <v>360</v>
      </c>
      <c r="B566" s="15">
        <v>46103</v>
      </c>
      <c r="C566" s="5" t="s">
        <v>362</v>
      </c>
      <c r="D566" s="14">
        <v>3</v>
      </c>
      <c r="E566" s="5" t="s">
        <v>456</v>
      </c>
      <c r="F566" s="4" t="s">
        <v>450</v>
      </c>
      <c r="G566" s="6" t="s">
        <v>457</v>
      </c>
      <c r="H566" s="6" t="s">
        <v>365</v>
      </c>
      <c r="I566" s="6" t="s">
        <v>1033</v>
      </c>
    </row>
    <row r="567" spans="1:9">
      <c r="A567" s="7" t="s">
        <v>360</v>
      </c>
      <c r="B567" s="15">
        <v>46103</v>
      </c>
      <c r="C567" s="5" t="s">
        <v>362</v>
      </c>
      <c r="D567" s="14">
        <v>4</v>
      </c>
      <c r="E567" s="5" t="s">
        <v>459</v>
      </c>
      <c r="F567" s="4" t="s">
        <v>450</v>
      </c>
      <c r="G567" s="6" t="s">
        <v>460</v>
      </c>
      <c r="H567" s="6" t="s">
        <v>365</v>
      </c>
      <c r="I567" s="6" t="s">
        <v>1034</v>
      </c>
    </row>
    <row r="568" spans="1:9">
      <c r="A568" s="7" t="s">
        <v>360</v>
      </c>
      <c r="B568" s="15">
        <v>46103</v>
      </c>
      <c r="C568" s="5" t="s">
        <v>362</v>
      </c>
      <c r="D568" s="14">
        <v>5</v>
      </c>
      <c r="E568" s="5" t="s">
        <v>462</v>
      </c>
      <c r="F568" s="4" t="s">
        <v>450</v>
      </c>
      <c r="G568" s="6" t="s">
        <v>463</v>
      </c>
      <c r="H568" s="6" t="s">
        <v>365</v>
      </c>
      <c r="I568" s="6" t="s">
        <v>1035</v>
      </c>
    </row>
    <row r="569" spans="1:9">
      <c r="A569" s="7" t="s">
        <v>360</v>
      </c>
      <c r="B569" s="15">
        <v>46103</v>
      </c>
      <c r="C569" s="5" t="s">
        <v>362</v>
      </c>
      <c r="D569" s="14">
        <v>6</v>
      </c>
      <c r="E569" s="5" t="s">
        <v>465</v>
      </c>
      <c r="F569" s="4" t="s">
        <v>450</v>
      </c>
      <c r="G569" s="6" t="s">
        <v>466</v>
      </c>
      <c r="H569" s="6" t="s">
        <v>365</v>
      </c>
      <c r="I569" s="6" t="s">
        <v>1036</v>
      </c>
    </row>
    <row r="570" spans="1:9">
      <c r="A570" s="7" t="s">
        <v>360</v>
      </c>
      <c r="B570" s="15">
        <v>46103</v>
      </c>
      <c r="C570" s="5" t="s">
        <v>362</v>
      </c>
      <c r="D570" s="14">
        <v>7</v>
      </c>
      <c r="E570" s="5" t="s">
        <v>468</v>
      </c>
      <c r="F570" s="4" t="s">
        <v>450</v>
      </c>
      <c r="G570" s="6" t="s">
        <v>469</v>
      </c>
      <c r="H570" s="6" t="s">
        <v>365</v>
      </c>
      <c r="I570" s="6" t="s">
        <v>1037</v>
      </c>
    </row>
    <row r="571" spans="1:9">
      <c r="A571" s="7" t="s">
        <v>360</v>
      </c>
      <c r="B571" s="15">
        <v>46103</v>
      </c>
      <c r="C571" s="5" t="s">
        <v>362</v>
      </c>
      <c r="D571" s="14">
        <v>8</v>
      </c>
      <c r="E571" s="5" t="s">
        <v>471</v>
      </c>
      <c r="F571" s="4" t="s">
        <v>450</v>
      </c>
      <c r="G571" s="6" t="s">
        <v>472</v>
      </c>
      <c r="H571" s="6" t="s">
        <v>365</v>
      </c>
      <c r="I571" s="6" t="s">
        <v>1038</v>
      </c>
    </row>
    <row r="572" spans="1:9">
      <c r="A572" s="7" t="s">
        <v>360</v>
      </c>
      <c r="B572" s="15">
        <v>46103</v>
      </c>
      <c r="C572" s="5" t="s">
        <v>362</v>
      </c>
      <c r="D572" s="14">
        <v>9</v>
      </c>
      <c r="E572" s="5" t="s">
        <v>474</v>
      </c>
      <c r="F572" s="4" t="s">
        <v>450</v>
      </c>
      <c r="G572" s="6" t="s">
        <v>475</v>
      </c>
      <c r="H572" s="6" t="s">
        <v>365</v>
      </c>
      <c r="I572" s="6" t="s">
        <v>1039</v>
      </c>
    </row>
    <row r="573" spans="1:9">
      <c r="A573" s="7" t="s">
        <v>360</v>
      </c>
      <c r="B573" s="15">
        <v>46103</v>
      </c>
      <c r="C573" s="5" t="s">
        <v>362</v>
      </c>
      <c r="D573" s="14">
        <v>10</v>
      </c>
      <c r="E573" s="5" t="s">
        <v>477</v>
      </c>
      <c r="F573" s="4" t="s">
        <v>450</v>
      </c>
      <c r="G573" s="6" t="s">
        <v>478</v>
      </c>
      <c r="H573" s="6" t="s">
        <v>365</v>
      </c>
      <c r="I573" s="6" t="s">
        <v>1040</v>
      </c>
    </row>
    <row r="574" spans="1:9">
      <c r="A574" s="7" t="s">
        <v>366</v>
      </c>
      <c r="B574" s="15">
        <v>46137</v>
      </c>
      <c r="C574" s="5" t="s">
        <v>368</v>
      </c>
      <c r="D574" s="14">
        <v>1</v>
      </c>
      <c r="E574" s="5" t="s">
        <v>449</v>
      </c>
      <c r="F574" s="4" t="s">
        <v>450</v>
      </c>
      <c r="G574" s="6" t="s">
        <v>451</v>
      </c>
      <c r="H574" s="6" t="s">
        <v>371</v>
      </c>
      <c r="I574" s="6" t="s">
        <v>1041</v>
      </c>
    </row>
    <row r="575" spans="1:9">
      <c r="A575" s="7" t="s">
        <v>366</v>
      </c>
      <c r="B575" s="15">
        <v>46137</v>
      </c>
      <c r="C575" s="5" t="s">
        <v>368</v>
      </c>
      <c r="D575" s="14">
        <v>2</v>
      </c>
      <c r="E575" s="5" t="s">
        <v>453</v>
      </c>
      <c r="F575" s="4" t="s">
        <v>450</v>
      </c>
      <c r="G575" s="6" t="s">
        <v>454</v>
      </c>
      <c r="H575" s="6" t="s">
        <v>371</v>
      </c>
      <c r="I575" s="6" t="s">
        <v>1042</v>
      </c>
    </row>
    <row r="576" spans="1:9">
      <c r="A576" s="7" t="s">
        <v>366</v>
      </c>
      <c r="B576" s="15">
        <v>46137</v>
      </c>
      <c r="C576" s="5" t="s">
        <v>368</v>
      </c>
      <c r="D576" s="14">
        <v>3</v>
      </c>
      <c r="E576" s="5" t="s">
        <v>456</v>
      </c>
      <c r="F576" s="4" t="s">
        <v>450</v>
      </c>
      <c r="G576" s="6" t="s">
        <v>457</v>
      </c>
      <c r="H576" s="6" t="s">
        <v>371</v>
      </c>
      <c r="I576" s="6" t="s">
        <v>1043</v>
      </c>
    </row>
    <row r="577" spans="1:9">
      <c r="A577" s="7" t="s">
        <v>366</v>
      </c>
      <c r="B577" s="15">
        <v>46137</v>
      </c>
      <c r="C577" s="5" t="s">
        <v>368</v>
      </c>
      <c r="D577" s="14">
        <v>4</v>
      </c>
      <c r="E577" s="5" t="s">
        <v>459</v>
      </c>
      <c r="F577" s="4" t="s">
        <v>450</v>
      </c>
      <c r="G577" s="6" t="s">
        <v>460</v>
      </c>
      <c r="H577" s="6" t="s">
        <v>371</v>
      </c>
      <c r="I577" s="6" t="s">
        <v>1044</v>
      </c>
    </row>
    <row r="578" spans="1:9">
      <c r="A578" s="7" t="s">
        <v>366</v>
      </c>
      <c r="B578" s="15">
        <v>46137</v>
      </c>
      <c r="C578" s="5" t="s">
        <v>368</v>
      </c>
      <c r="D578" s="14">
        <v>5</v>
      </c>
      <c r="E578" s="5" t="s">
        <v>462</v>
      </c>
      <c r="F578" s="4" t="s">
        <v>450</v>
      </c>
      <c r="G578" s="6" t="s">
        <v>463</v>
      </c>
      <c r="H578" s="6" t="s">
        <v>371</v>
      </c>
      <c r="I578" s="6" t="s">
        <v>1045</v>
      </c>
    </row>
    <row r="579" spans="1:9">
      <c r="A579" s="7" t="s">
        <v>366</v>
      </c>
      <c r="B579" s="15">
        <v>46137</v>
      </c>
      <c r="C579" s="5" t="s">
        <v>368</v>
      </c>
      <c r="D579" s="14">
        <v>6</v>
      </c>
      <c r="E579" s="5" t="s">
        <v>465</v>
      </c>
      <c r="F579" s="4" t="s">
        <v>450</v>
      </c>
      <c r="G579" s="6" t="s">
        <v>466</v>
      </c>
      <c r="H579" s="6" t="s">
        <v>371</v>
      </c>
      <c r="I579" s="6" t="s">
        <v>1046</v>
      </c>
    </row>
    <row r="580" spans="1:9">
      <c r="A580" s="7" t="s">
        <v>366</v>
      </c>
      <c r="B580" s="15">
        <v>46137</v>
      </c>
      <c r="C580" s="5" t="s">
        <v>368</v>
      </c>
      <c r="D580" s="14">
        <v>7</v>
      </c>
      <c r="E580" s="5" t="s">
        <v>468</v>
      </c>
      <c r="F580" s="4" t="s">
        <v>450</v>
      </c>
      <c r="G580" s="6" t="s">
        <v>469</v>
      </c>
      <c r="H580" s="6" t="s">
        <v>371</v>
      </c>
      <c r="I580" s="6" t="s">
        <v>1047</v>
      </c>
    </row>
    <row r="581" spans="1:9">
      <c r="A581" s="7" t="s">
        <v>366</v>
      </c>
      <c r="B581" s="15">
        <v>46137</v>
      </c>
      <c r="C581" s="5" t="s">
        <v>368</v>
      </c>
      <c r="D581" s="14">
        <v>8</v>
      </c>
      <c r="E581" s="5" t="s">
        <v>471</v>
      </c>
      <c r="F581" s="4" t="s">
        <v>450</v>
      </c>
      <c r="G581" s="6" t="s">
        <v>472</v>
      </c>
      <c r="H581" s="6" t="s">
        <v>371</v>
      </c>
      <c r="I581" s="6" t="s">
        <v>1048</v>
      </c>
    </row>
    <row r="582" spans="1:9">
      <c r="A582" s="7" t="s">
        <v>366</v>
      </c>
      <c r="B582" s="15">
        <v>46137</v>
      </c>
      <c r="C582" s="5" t="s">
        <v>368</v>
      </c>
      <c r="D582" s="14">
        <v>9</v>
      </c>
      <c r="E582" s="5" t="s">
        <v>474</v>
      </c>
      <c r="F582" s="4" t="s">
        <v>450</v>
      </c>
      <c r="G582" s="6" t="s">
        <v>475</v>
      </c>
      <c r="H582" s="6" t="s">
        <v>371</v>
      </c>
      <c r="I582" s="6" t="s">
        <v>1049</v>
      </c>
    </row>
    <row r="583" spans="1:9">
      <c r="A583" s="7" t="s">
        <v>366</v>
      </c>
      <c r="B583" s="15">
        <v>46137</v>
      </c>
      <c r="C583" s="5" t="s">
        <v>368</v>
      </c>
      <c r="D583" s="14">
        <v>10</v>
      </c>
      <c r="E583" s="5" t="s">
        <v>477</v>
      </c>
      <c r="F583" s="4" t="s">
        <v>450</v>
      </c>
      <c r="G583" s="6" t="s">
        <v>478</v>
      </c>
      <c r="H583" s="6" t="s">
        <v>371</v>
      </c>
      <c r="I583" s="6" t="s">
        <v>1050</v>
      </c>
    </row>
    <row r="584" spans="1:9">
      <c r="A584" s="7" t="s">
        <v>372</v>
      </c>
      <c r="B584" s="15">
        <v>46145</v>
      </c>
      <c r="C584" s="5" t="s">
        <v>374</v>
      </c>
      <c r="D584" s="14">
        <v>1</v>
      </c>
      <c r="E584" s="5" t="s">
        <v>449</v>
      </c>
      <c r="F584" s="4" t="s">
        <v>450</v>
      </c>
      <c r="G584" s="6" t="s">
        <v>451</v>
      </c>
      <c r="H584" s="6" t="s">
        <v>377</v>
      </c>
      <c r="I584" s="6" t="s">
        <v>1051</v>
      </c>
    </row>
    <row r="585" spans="1:9">
      <c r="A585" s="7" t="s">
        <v>372</v>
      </c>
      <c r="B585" s="15">
        <v>46145</v>
      </c>
      <c r="C585" s="5" t="s">
        <v>374</v>
      </c>
      <c r="D585" s="14">
        <v>2</v>
      </c>
      <c r="E585" s="5" t="s">
        <v>453</v>
      </c>
      <c r="F585" s="4" t="s">
        <v>450</v>
      </c>
      <c r="G585" s="6" t="s">
        <v>454</v>
      </c>
      <c r="H585" s="6" t="s">
        <v>377</v>
      </c>
      <c r="I585" s="6" t="s">
        <v>1052</v>
      </c>
    </row>
    <row r="586" spans="1:9">
      <c r="A586" s="7" t="s">
        <v>372</v>
      </c>
      <c r="B586" s="15">
        <v>46145</v>
      </c>
      <c r="C586" s="5" t="s">
        <v>374</v>
      </c>
      <c r="D586" s="14">
        <v>3</v>
      </c>
      <c r="E586" s="5" t="s">
        <v>456</v>
      </c>
      <c r="F586" s="4" t="s">
        <v>450</v>
      </c>
      <c r="G586" s="6" t="s">
        <v>457</v>
      </c>
      <c r="H586" s="6" t="s">
        <v>377</v>
      </c>
      <c r="I586" s="6" t="s">
        <v>1053</v>
      </c>
    </row>
    <row r="587" spans="1:9">
      <c r="A587" s="7" t="s">
        <v>372</v>
      </c>
      <c r="B587" s="15">
        <v>46145</v>
      </c>
      <c r="C587" s="5" t="s">
        <v>374</v>
      </c>
      <c r="D587" s="14">
        <v>4</v>
      </c>
      <c r="E587" s="5" t="s">
        <v>459</v>
      </c>
      <c r="F587" s="4" t="s">
        <v>450</v>
      </c>
      <c r="G587" s="6" t="s">
        <v>460</v>
      </c>
      <c r="H587" s="6" t="s">
        <v>377</v>
      </c>
      <c r="I587" s="6" t="s">
        <v>1054</v>
      </c>
    </row>
    <row r="588" spans="1:9">
      <c r="A588" s="7" t="s">
        <v>372</v>
      </c>
      <c r="B588" s="15">
        <v>46145</v>
      </c>
      <c r="C588" s="5" t="s">
        <v>374</v>
      </c>
      <c r="D588" s="14">
        <v>5</v>
      </c>
      <c r="E588" s="5" t="s">
        <v>462</v>
      </c>
      <c r="F588" s="4" t="s">
        <v>450</v>
      </c>
      <c r="G588" s="6" t="s">
        <v>463</v>
      </c>
      <c r="H588" s="6" t="s">
        <v>377</v>
      </c>
      <c r="I588" s="6" t="s">
        <v>1055</v>
      </c>
    </row>
    <row r="589" spans="1:9">
      <c r="A589" s="7" t="s">
        <v>372</v>
      </c>
      <c r="B589" s="15">
        <v>46145</v>
      </c>
      <c r="C589" s="5" t="s">
        <v>374</v>
      </c>
      <c r="D589" s="14">
        <v>6</v>
      </c>
      <c r="E589" s="5" t="s">
        <v>465</v>
      </c>
      <c r="F589" s="4" t="s">
        <v>450</v>
      </c>
      <c r="G589" s="6" t="s">
        <v>466</v>
      </c>
      <c r="H589" s="6" t="s">
        <v>377</v>
      </c>
      <c r="I589" s="6" t="s">
        <v>1056</v>
      </c>
    </row>
    <row r="590" spans="1:9">
      <c r="A590" s="7" t="s">
        <v>372</v>
      </c>
      <c r="B590" s="15">
        <v>46145</v>
      </c>
      <c r="C590" s="5" t="s">
        <v>374</v>
      </c>
      <c r="D590" s="14">
        <v>7</v>
      </c>
      <c r="E590" s="5" t="s">
        <v>468</v>
      </c>
      <c r="F590" s="4" t="s">
        <v>450</v>
      </c>
      <c r="G590" s="6" t="s">
        <v>469</v>
      </c>
      <c r="H590" s="6" t="s">
        <v>377</v>
      </c>
      <c r="I590" s="6" t="s">
        <v>1057</v>
      </c>
    </row>
    <row r="591" spans="1:9">
      <c r="A591" s="7" t="s">
        <v>372</v>
      </c>
      <c r="B591" s="15">
        <v>46145</v>
      </c>
      <c r="C591" s="5" t="s">
        <v>374</v>
      </c>
      <c r="D591" s="14">
        <v>8</v>
      </c>
      <c r="E591" s="5" t="s">
        <v>471</v>
      </c>
      <c r="F591" s="4" t="s">
        <v>450</v>
      </c>
      <c r="G591" s="6" t="s">
        <v>472</v>
      </c>
      <c r="H591" s="6" t="s">
        <v>377</v>
      </c>
      <c r="I591" s="6" t="s">
        <v>1058</v>
      </c>
    </row>
    <row r="592" spans="1:9">
      <c r="A592" s="7" t="s">
        <v>372</v>
      </c>
      <c r="B592" s="15">
        <v>46145</v>
      </c>
      <c r="C592" s="5" t="s">
        <v>374</v>
      </c>
      <c r="D592" s="14">
        <v>9</v>
      </c>
      <c r="E592" s="5" t="s">
        <v>474</v>
      </c>
      <c r="F592" s="4" t="s">
        <v>450</v>
      </c>
      <c r="G592" s="6" t="s">
        <v>475</v>
      </c>
      <c r="H592" s="6" t="s">
        <v>377</v>
      </c>
      <c r="I592" s="6" t="s">
        <v>1059</v>
      </c>
    </row>
    <row r="593" spans="1:9">
      <c r="A593" s="7" t="s">
        <v>372</v>
      </c>
      <c r="B593" s="15">
        <v>46145</v>
      </c>
      <c r="C593" s="5" t="s">
        <v>374</v>
      </c>
      <c r="D593" s="14">
        <v>10</v>
      </c>
      <c r="E593" s="5" t="s">
        <v>477</v>
      </c>
      <c r="F593" s="4" t="s">
        <v>450</v>
      </c>
      <c r="G593" s="6" t="s">
        <v>478</v>
      </c>
      <c r="H593" s="6" t="s">
        <v>377</v>
      </c>
      <c r="I593" s="6" t="s">
        <v>1060</v>
      </c>
    </row>
    <row r="594" spans="1:9">
      <c r="A594" s="7" t="s">
        <v>378</v>
      </c>
      <c r="B594" s="15">
        <v>46058</v>
      </c>
      <c r="C594" s="5" t="s">
        <v>380</v>
      </c>
      <c r="D594" s="14">
        <v>1</v>
      </c>
      <c r="E594" s="5" t="s">
        <v>449</v>
      </c>
      <c r="F594" s="4" t="s">
        <v>498</v>
      </c>
      <c r="G594" s="6" t="s">
        <v>451</v>
      </c>
      <c r="H594" s="6" t="s">
        <v>383</v>
      </c>
      <c r="I594" s="6" t="s">
        <v>1061</v>
      </c>
    </row>
    <row r="595" spans="1:9">
      <c r="A595" s="7" t="s">
        <v>378</v>
      </c>
      <c r="B595" s="15">
        <v>46058</v>
      </c>
      <c r="C595" s="5" t="s">
        <v>380</v>
      </c>
      <c r="D595" s="14">
        <v>2</v>
      </c>
      <c r="E595" s="5" t="s">
        <v>453</v>
      </c>
      <c r="F595" s="4" t="s">
        <v>450</v>
      </c>
      <c r="G595" s="6" t="s">
        <v>454</v>
      </c>
      <c r="H595" s="6" t="s">
        <v>383</v>
      </c>
      <c r="I595" s="6" t="s">
        <v>1062</v>
      </c>
    </row>
    <row r="596" spans="1:9">
      <c r="A596" s="7" t="s">
        <v>378</v>
      </c>
      <c r="B596" s="15">
        <v>46058</v>
      </c>
      <c r="C596" s="5" t="s">
        <v>380</v>
      </c>
      <c r="D596" s="14">
        <v>3</v>
      </c>
      <c r="E596" s="5" t="s">
        <v>456</v>
      </c>
      <c r="F596" s="4" t="s">
        <v>450</v>
      </c>
      <c r="G596" s="6" t="s">
        <v>457</v>
      </c>
      <c r="H596" s="6" t="s">
        <v>383</v>
      </c>
      <c r="I596" s="6" t="s">
        <v>1063</v>
      </c>
    </row>
    <row r="597" spans="1:9">
      <c r="A597" s="7" t="s">
        <v>378</v>
      </c>
      <c r="B597" s="15">
        <v>46058</v>
      </c>
      <c r="C597" s="5" t="s">
        <v>380</v>
      </c>
      <c r="D597" s="14">
        <v>4</v>
      </c>
      <c r="E597" s="5" t="s">
        <v>459</v>
      </c>
      <c r="F597" s="4" t="s">
        <v>450</v>
      </c>
      <c r="G597" s="6" t="s">
        <v>460</v>
      </c>
      <c r="H597" s="6" t="s">
        <v>383</v>
      </c>
      <c r="I597" s="6" t="s">
        <v>1064</v>
      </c>
    </row>
    <row r="598" spans="1:9">
      <c r="A598" s="7" t="s">
        <v>378</v>
      </c>
      <c r="B598" s="15">
        <v>46058</v>
      </c>
      <c r="C598" s="5" t="s">
        <v>380</v>
      </c>
      <c r="D598" s="14">
        <v>5</v>
      </c>
      <c r="E598" s="5" t="s">
        <v>462</v>
      </c>
      <c r="F598" s="4" t="s">
        <v>450</v>
      </c>
      <c r="G598" s="6" t="s">
        <v>463</v>
      </c>
      <c r="H598" s="6" t="s">
        <v>383</v>
      </c>
      <c r="I598" s="6" t="s">
        <v>1065</v>
      </c>
    </row>
    <row r="599" spans="1:9">
      <c r="A599" s="7" t="s">
        <v>378</v>
      </c>
      <c r="B599" s="15">
        <v>46058</v>
      </c>
      <c r="C599" s="5" t="s">
        <v>380</v>
      </c>
      <c r="D599" s="14">
        <v>6</v>
      </c>
      <c r="E599" s="5" t="s">
        <v>465</v>
      </c>
      <c r="F599" s="4" t="s">
        <v>450</v>
      </c>
      <c r="G599" s="6" t="s">
        <v>466</v>
      </c>
      <c r="H599" s="6" t="s">
        <v>383</v>
      </c>
      <c r="I599" s="6" t="s">
        <v>1066</v>
      </c>
    </row>
    <row r="600" spans="1:9">
      <c r="A600" s="7" t="s">
        <v>378</v>
      </c>
      <c r="B600" s="15">
        <v>46058</v>
      </c>
      <c r="C600" s="5" t="s">
        <v>380</v>
      </c>
      <c r="D600" s="14">
        <v>7</v>
      </c>
      <c r="E600" s="5" t="s">
        <v>468</v>
      </c>
      <c r="F600" s="4" t="s">
        <v>450</v>
      </c>
      <c r="G600" s="6" t="s">
        <v>469</v>
      </c>
      <c r="H600" s="6" t="s">
        <v>383</v>
      </c>
      <c r="I600" s="6" t="s">
        <v>1067</v>
      </c>
    </row>
    <row r="601" spans="1:9">
      <c r="A601" s="7" t="s">
        <v>378</v>
      </c>
      <c r="B601" s="15">
        <v>46058</v>
      </c>
      <c r="C601" s="5" t="s">
        <v>380</v>
      </c>
      <c r="D601" s="14">
        <v>8</v>
      </c>
      <c r="E601" s="5" t="s">
        <v>471</v>
      </c>
      <c r="F601" s="4" t="s">
        <v>450</v>
      </c>
      <c r="G601" s="6" t="s">
        <v>472</v>
      </c>
      <c r="H601" s="6" t="s">
        <v>383</v>
      </c>
      <c r="I601" s="6" t="s">
        <v>1068</v>
      </c>
    </row>
    <row r="602" spans="1:9">
      <c r="A602" s="7" t="s">
        <v>378</v>
      </c>
      <c r="B602" s="15">
        <v>46058</v>
      </c>
      <c r="C602" s="5" t="s">
        <v>380</v>
      </c>
      <c r="D602" s="14">
        <v>9</v>
      </c>
      <c r="E602" s="5" t="s">
        <v>474</v>
      </c>
      <c r="F602" s="4" t="s">
        <v>450</v>
      </c>
      <c r="G602" s="6" t="s">
        <v>475</v>
      </c>
      <c r="H602" s="6" t="s">
        <v>383</v>
      </c>
      <c r="I602" s="6" t="s">
        <v>1069</v>
      </c>
    </row>
    <row r="603" spans="1:9">
      <c r="A603" s="7" t="s">
        <v>378</v>
      </c>
      <c r="B603" s="15">
        <v>46058</v>
      </c>
      <c r="C603" s="5" t="s">
        <v>380</v>
      </c>
      <c r="D603" s="14">
        <v>10</v>
      </c>
      <c r="E603" s="5" t="s">
        <v>477</v>
      </c>
      <c r="F603" s="4" t="s">
        <v>450</v>
      </c>
      <c r="G603" s="6" t="s">
        <v>478</v>
      </c>
      <c r="H603" s="6" t="s">
        <v>383</v>
      </c>
      <c r="I603" s="6" t="s">
        <v>1070</v>
      </c>
    </row>
    <row r="604" spans="1:9">
      <c r="A604" s="7" t="s">
        <v>384</v>
      </c>
      <c r="B604" s="15">
        <v>46179</v>
      </c>
      <c r="C604" s="5" t="s">
        <v>386</v>
      </c>
      <c r="D604" s="14">
        <v>1</v>
      </c>
      <c r="E604" s="5" t="s">
        <v>449</v>
      </c>
      <c r="F604" s="4" t="s">
        <v>450</v>
      </c>
      <c r="G604" s="6" t="s">
        <v>451</v>
      </c>
      <c r="H604" s="6" t="s">
        <v>389</v>
      </c>
      <c r="I604" s="6" t="s">
        <v>1071</v>
      </c>
    </row>
    <row r="605" spans="1:9">
      <c r="A605" s="7" t="s">
        <v>384</v>
      </c>
      <c r="B605" s="15">
        <v>46179</v>
      </c>
      <c r="C605" s="5" t="s">
        <v>386</v>
      </c>
      <c r="D605" s="14">
        <v>2</v>
      </c>
      <c r="E605" s="5" t="s">
        <v>453</v>
      </c>
      <c r="F605" s="4" t="s">
        <v>450</v>
      </c>
      <c r="G605" s="6" t="s">
        <v>454</v>
      </c>
      <c r="H605" s="6" t="s">
        <v>389</v>
      </c>
      <c r="I605" s="6" t="s">
        <v>1072</v>
      </c>
    </row>
    <row r="606" spans="1:9">
      <c r="A606" s="7" t="s">
        <v>384</v>
      </c>
      <c r="B606" s="15">
        <v>46179</v>
      </c>
      <c r="C606" s="5" t="s">
        <v>386</v>
      </c>
      <c r="D606" s="14">
        <v>3</v>
      </c>
      <c r="E606" s="5" t="s">
        <v>456</v>
      </c>
      <c r="F606" s="4" t="s">
        <v>450</v>
      </c>
      <c r="G606" s="6" t="s">
        <v>457</v>
      </c>
      <c r="H606" s="6" t="s">
        <v>389</v>
      </c>
      <c r="I606" s="6" t="s">
        <v>1073</v>
      </c>
    </row>
    <row r="607" spans="1:9">
      <c r="A607" s="7" t="s">
        <v>384</v>
      </c>
      <c r="B607" s="15">
        <v>46179</v>
      </c>
      <c r="C607" s="5" t="s">
        <v>386</v>
      </c>
      <c r="D607" s="14">
        <v>4</v>
      </c>
      <c r="E607" s="5" t="s">
        <v>459</v>
      </c>
      <c r="F607" s="4" t="s">
        <v>450</v>
      </c>
      <c r="G607" s="6" t="s">
        <v>460</v>
      </c>
      <c r="H607" s="6" t="s">
        <v>389</v>
      </c>
      <c r="I607" s="6" t="s">
        <v>1074</v>
      </c>
    </row>
    <row r="608" spans="1:9">
      <c r="A608" s="7" t="s">
        <v>384</v>
      </c>
      <c r="B608" s="15">
        <v>46179</v>
      </c>
      <c r="C608" s="5" t="s">
        <v>386</v>
      </c>
      <c r="D608" s="14">
        <v>5</v>
      </c>
      <c r="E608" s="5" t="s">
        <v>462</v>
      </c>
      <c r="F608" s="4" t="s">
        <v>450</v>
      </c>
      <c r="G608" s="6" t="s">
        <v>463</v>
      </c>
      <c r="H608" s="6" t="s">
        <v>389</v>
      </c>
      <c r="I608" s="6" t="s">
        <v>1075</v>
      </c>
    </row>
    <row r="609" spans="1:9">
      <c r="A609" s="7" t="s">
        <v>384</v>
      </c>
      <c r="B609" s="15">
        <v>46179</v>
      </c>
      <c r="C609" s="5" t="s">
        <v>386</v>
      </c>
      <c r="D609" s="14">
        <v>6</v>
      </c>
      <c r="E609" s="5" t="s">
        <v>465</v>
      </c>
      <c r="F609" s="4" t="s">
        <v>450</v>
      </c>
      <c r="G609" s="6" t="s">
        <v>466</v>
      </c>
      <c r="H609" s="6" t="s">
        <v>389</v>
      </c>
      <c r="I609" s="6" t="s">
        <v>1076</v>
      </c>
    </row>
    <row r="610" spans="1:9">
      <c r="A610" s="7" t="s">
        <v>384</v>
      </c>
      <c r="B610" s="15">
        <v>46179</v>
      </c>
      <c r="C610" s="5" t="s">
        <v>386</v>
      </c>
      <c r="D610" s="14">
        <v>7</v>
      </c>
      <c r="E610" s="5" t="s">
        <v>468</v>
      </c>
      <c r="F610" s="4" t="s">
        <v>450</v>
      </c>
      <c r="G610" s="6" t="s">
        <v>469</v>
      </c>
      <c r="H610" s="6" t="s">
        <v>389</v>
      </c>
      <c r="I610" s="6" t="s">
        <v>1077</v>
      </c>
    </row>
    <row r="611" spans="1:9">
      <c r="A611" s="7" t="s">
        <v>384</v>
      </c>
      <c r="B611" s="15">
        <v>46179</v>
      </c>
      <c r="C611" s="5" t="s">
        <v>386</v>
      </c>
      <c r="D611" s="14">
        <v>8</v>
      </c>
      <c r="E611" s="5" t="s">
        <v>471</v>
      </c>
      <c r="F611" s="4" t="s">
        <v>498</v>
      </c>
      <c r="G611" s="6" t="s">
        <v>472</v>
      </c>
      <c r="H611" s="6" t="s">
        <v>389</v>
      </c>
      <c r="I611" s="6" t="s">
        <v>1078</v>
      </c>
    </row>
    <row r="612" spans="1:9">
      <c r="A612" s="7" t="s">
        <v>384</v>
      </c>
      <c r="B612" s="15">
        <v>46179</v>
      </c>
      <c r="C612" s="5" t="s">
        <v>386</v>
      </c>
      <c r="D612" s="14">
        <v>9</v>
      </c>
      <c r="E612" s="5" t="s">
        <v>474</v>
      </c>
      <c r="F612" s="4" t="s">
        <v>450</v>
      </c>
      <c r="G612" s="6" t="s">
        <v>475</v>
      </c>
      <c r="H612" s="6" t="s">
        <v>389</v>
      </c>
      <c r="I612" s="6" t="s">
        <v>1079</v>
      </c>
    </row>
    <row r="613" spans="1:9">
      <c r="A613" s="7" t="s">
        <v>384</v>
      </c>
      <c r="B613" s="15">
        <v>46179</v>
      </c>
      <c r="C613" s="5" t="s">
        <v>386</v>
      </c>
      <c r="D613" s="14">
        <v>10</v>
      </c>
      <c r="E613" s="5" t="s">
        <v>477</v>
      </c>
      <c r="F613" s="4" t="s">
        <v>450</v>
      </c>
      <c r="G613" s="6" t="s">
        <v>478</v>
      </c>
      <c r="H613" s="6" t="s">
        <v>389</v>
      </c>
      <c r="I613" s="6" t="s">
        <v>1080</v>
      </c>
    </row>
    <row r="614" spans="1:9">
      <c r="A614" s="7" t="s">
        <v>390</v>
      </c>
      <c r="B614" s="15">
        <v>46031</v>
      </c>
      <c r="C614" s="5" t="s">
        <v>392</v>
      </c>
      <c r="D614" s="14">
        <v>1</v>
      </c>
      <c r="E614" s="5" t="s">
        <v>449</v>
      </c>
      <c r="F614" s="4" t="s">
        <v>450</v>
      </c>
      <c r="G614" s="6" t="s">
        <v>451</v>
      </c>
      <c r="H614" s="6" t="s">
        <v>395</v>
      </c>
      <c r="I614" s="6" t="s">
        <v>1081</v>
      </c>
    </row>
    <row r="615" spans="1:9">
      <c r="A615" s="7" t="s">
        <v>390</v>
      </c>
      <c r="B615" s="15">
        <v>46031</v>
      </c>
      <c r="C615" s="5" t="s">
        <v>392</v>
      </c>
      <c r="D615" s="14">
        <v>2</v>
      </c>
      <c r="E615" s="5" t="s">
        <v>453</v>
      </c>
      <c r="F615" s="4" t="s">
        <v>450</v>
      </c>
      <c r="G615" s="6" t="s">
        <v>454</v>
      </c>
      <c r="H615" s="6" t="s">
        <v>395</v>
      </c>
      <c r="I615" s="6" t="s">
        <v>1082</v>
      </c>
    </row>
    <row r="616" spans="1:9">
      <c r="A616" s="7" t="s">
        <v>390</v>
      </c>
      <c r="B616" s="15">
        <v>46031</v>
      </c>
      <c r="C616" s="5" t="s">
        <v>392</v>
      </c>
      <c r="D616" s="14">
        <v>3</v>
      </c>
      <c r="E616" s="5" t="s">
        <v>456</v>
      </c>
      <c r="F616" s="4" t="s">
        <v>450</v>
      </c>
      <c r="G616" s="6" t="s">
        <v>457</v>
      </c>
      <c r="H616" s="6" t="s">
        <v>395</v>
      </c>
      <c r="I616" s="6" t="s">
        <v>1083</v>
      </c>
    </row>
    <row r="617" spans="1:9">
      <c r="A617" s="7" t="s">
        <v>390</v>
      </c>
      <c r="B617" s="15">
        <v>46031</v>
      </c>
      <c r="C617" s="5" t="s">
        <v>392</v>
      </c>
      <c r="D617" s="14">
        <v>4</v>
      </c>
      <c r="E617" s="5" t="s">
        <v>459</v>
      </c>
      <c r="F617" s="4" t="s">
        <v>450</v>
      </c>
      <c r="G617" s="6" t="s">
        <v>460</v>
      </c>
      <c r="H617" s="6" t="s">
        <v>395</v>
      </c>
      <c r="I617" s="6" t="s">
        <v>1084</v>
      </c>
    </row>
    <row r="618" spans="1:9">
      <c r="A618" s="7" t="s">
        <v>390</v>
      </c>
      <c r="B618" s="15">
        <v>46031</v>
      </c>
      <c r="C618" s="5" t="s">
        <v>392</v>
      </c>
      <c r="D618" s="14">
        <v>5</v>
      </c>
      <c r="E618" s="5" t="s">
        <v>462</v>
      </c>
      <c r="F618" s="4" t="s">
        <v>498</v>
      </c>
      <c r="G618" s="6" t="s">
        <v>463</v>
      </c>
      <c r="H618" s="6" t="s">
        <v>395</v>
      </c>
      <c r="I618" s="6" t="s">
        <v>1085</v>
      </c>
    </row>
    <row r="619" spans="1:9">
      <c r="A619" s="7" t="s">
        <v>390</v>
      </c>
      <c r="B619" s="15">
        <v>46031</v>
      </c>
      <c r="C619" s="5" t="s">
        <v>392</v>
      </c>
      <c r="D619" s="14">
        <v>6</v>
      </c>
      <c r="E619" s="5" t="s">
        <v>465</v>
      </c>
      <c r="F619" s="4" t="s">
        <v>450</v>
      </c>
      <c r="G619" s="6" t="s">
        <v>466</v>
      </c>
      <c r="H619" s="6" t="s">
        <v>395</v>
      </c>
      <c r="I619" s="6" t="s">
        <v>1086</v>
      </c>
    </row>
    <row r="620" spans="1:9">
      <c r="A620" s="7" t="s">
        <v>390</v>
      </c>
      <c r="B620" s="15">
        <v>46031</v>
      </c>
      <c r="C620" s="5" t="s">
        <v>392</v>
      </c>
      <c r="D620" s="14">
        <v>7</v>
      </c>
      <c r="E620" s="5" t="s">
        <v>468</v>
      </c>
      <c r="F620" s="4" t="s">
        <v>450</v>
      </c>
      <c r="G620" s="6" t="s">
        <v>469</v>
      </c>
      <c r="H620" s="6" t="s">
        <v>395</v>
      </c>
      <c r="I620" s="6" t="s">
        <v>1087</v>
      </c>
    </row>
    <row r="621" spans="1:9">
      <c r="A621" s="7" t="s">
        <v>390</v>
      </c>
      <c r="B621" s="15">
        <v>46031</v>
      </c>
      <c r="C621" s="5" t="s">
        <v>392</v>
      </c>
      <c r="D621" s="14">
        <v>8</v>
      </c>
      <c r="E621" s="5" t="s">
        <v>471</v>
      </c>
      <c r="F621" s="4" t="s">
        <v>450</v>
      </c>
      <c r="G621" s="6" t="s">
        <v>472</v>
      </c>
      <c r="H621" s="6" t="s">
        <v>395</v>
      </c>
      <c r="I621" s="6" t="s">
        <v>1088</v>
      </c>
    </row>
    <row r="622" spans="1:9">
      <c r="A622" s="7" t="s">
        <v>390</v>
      </c>
      <c r="B622" s="15">
        <v>46031</v>
      </c>
      <c r="C622" s="5" t="s">
        <v>392</v>
      </c>
      <c r="D622" s="14">
        <v>9</v>
      </c>
      <c r="E622" s="5" t="s">
        <v>474</v>
      </c>
      <c r="F622" s="4" t="s">
        <v>450</v>
      </c>
      <c r="G622" s="6" t="s">
        <v>475</v>
      </c>
      <c r="H622" s="6" t="s">
        <v>395</v>
      </c>
      <c r="I622" s="6" t="s">
        <v>1089</v>
      </c>
    </row>
    <row r="623" spans="1:9">
      <c r="A623" s="7" t="s">
        <v>390</v>
      </c>
      <c r="B623" s="15">
        <v>46031</v>
      </c>
      <c r="C623" s="5" t="s">
        <v>392</v>
      </c>
      <c r="D623" s="14">
        <v>10</v>
      </c>
      <c r="E623" s="5" t="s">
        <v>477</v>
      </c>
      <c r="F623" s="4" t="s">
        <v>450</v>
      </c>
      <c r="G623" s="6" t="s">
        <v>478</v>
      </c>
      <c r="H623" s="6" t="s">
        <v>395</v>
      </c>
      <c r="I623" s="6" t="s">
        <v>1090</v>
      </c>
    </row>
    <row r="624" spans="1:9">
      <c r="A624" s="7" t="s">
        <v>396</v>
      </c>
      <c r="B624" s="15">
        <v>46065</v>
      </c>
      <c r="C624" s="5" t="s">
        <v>398</v>
      </c>
      <c r="D624" s="14">
        <v>1</v>
      </c>
      <c r="E624" s="5" t="s">
        <v>449</v>
      </c>
      <c r="F624" s="4" t="s">
        <v>450</v>
      </c>
      <c r="G624" s="6" t="s">
        <v>451</v>
      </c>
      <c r="H624" s="6" t="s">
        <v>401</v>
      </c>
      <c r="I624" s="6" t="s">
        <v>1091</v>
      </c>
    </row>
    <row r="625" spans="1:9">
      <c r="A625" s="7" t="s">
        <v>396</v>
      </c>
      <c r="B625" s="15">
        <v>46065</v>
      </c>
      <c r="C625" s="5" t="s">
        <v>398</v>
      </c>
      <c r="D625" s="14">
        <v>2</v>
      </c>
      <c r="E625" s="5" t="s">
        <v>453</v>
      </c>
      <c r="F625" s="4" t="s">
        <v>498</v>
      </c>
      <c r="G625" s="6" t="s">
        <v>454</v>
      </c>
      <c r="H625" s="6" t="s">
        <v>401</v>
      </c>
      <c r="I625" s="6" t="s">
        <v>1092</v>
      </c>
    </row>
    <row r="626" spans="1:9">
      <c r="A626" s="7" t="s">
        <v>396</v>
      </c>
      <c r="B626" s="15">
        <v>46065</v>
      </c>
      <c r="C626" s="5" t="s">
        <v>398</v>
      </c>
      <c r="D626" s="14">
        <v>3</v>
      </c>
      <c r="E626" s="5" t="s">
        <v>456</v>
      </c>
      <c r="F626" s="4" t="s">
        <v>450</v>
      </c>
      <c r="G626" s="6" t="s">
        <v>457</v>
      </c>
      <c r="H626" s="6" t="s">
        <v>401</v>
      </c>
      <c r="I626" s="6" t="s">
        <v>1093</v>
      </c>
    </row>
    <row r="627" spans="1:9">
      <c r="A627" s="7" t="s">
        <v>396</v>
      </c>
      <c r="B627" s="15">
        <v>46065</v>
      </c>
      <c r="C627" s="5" t="s">
        <v>398</v>
      </c>
      <c r="D627" s="14">
        <v>4</v>
      </c>
      <c r="E627" s="5" t="s">
        <v>459</v>
      </c>
      <c r="F627" s="4" t="s">
        <v>450</v>
      </c>
      <c r="G627" s="6" t="s">
        <v>460</v>
      </c>
      <c r="H627" s="6" t="s">
        <v>401</v>
      </c>
      <c r="I627" s="6" t="s">
        <v>1094</v>
      </c>
    </row>
    <row r="628" spans="1:9">
      <c r="A628" s="7" t="s">
        <v>396</v>
      </c>
      <c r="B628" s="15">
        <v>46065</v>
      </c>
      <c r="C628" s="5" t="s">
        <v>398</v>
      </c>
      <c r="D628" s="14">
        <v>5</v>
      </c>
      <c r="E628" s="5" t="s">
        <v>462</v>
      </c>
      <c r="F628" s="4" t="s">
        <v>450</v>
      </c>
      <c r="G628" s="6" t="s">
        <v>463</v>
      </c>
      <c r="H628" s="6" t="s">
        <v>401</v>
      </c>
      <c r="I628" s="6" t="s">
        <v>1095</v>
      </c>
    </row>
    <row r="629" spans="1:9">
      <c r="A629" s="7" t="s">
        <v>396</v>
      </c>
      <c r="B629" s="15">
        <v>46065</v>
      </c>
      <c r="C629" s="5" t="s">
        <v>398</v>
      </c>
      <c r="D629" s="14">
        <v>6</v>
      </c>
      <c r="E629" s="5" t="s">
        <v>465</v>
      </c>
      <c r="F629" s="4" t="s">
        <v>450</v>
      </c>
      <c r="G629" s="6" t="s">
        <v>466</v>
      </c>
      <c r="H629" s="6" t="s">
        <v>401</v>
      </c>
      <c r="I629" s="6" t="s">
        <v>1096</v>
      </c>
    </row>
    <row r="630" spans="1:9">
      <c r="A630" s="7" t="s">
        <v>396</v>
      </c>
      <c r="B630" s="15">
        <v>46065</v>
      </c>
      <c r="C630" s="5" t="s">
        <v>398</v>
      </c>
      <c r="D630" s="14">
        <v>7</v>
      </c>
      <c r="E630" s="5" t="s">
        <v>468</v>
      </c>
      <c r="F630" s="4" t="s">
        <v>450</v>
      </c>
      <c r="G630" s="6" t="s">
        <v>469</v>
      </c>
      <c r="H630" s="6" t="s">
        <v>401</v>
      </c>
      <c r="I630" s="6" t="s">
        <v>1097</v>
      </c>
    </row>
    <row r="631" spans="1:9">
      <c r="A631" s="7" t="s">
        <v>396</v>
      </c>
      <c r="B631" s="15">
        <v>46065</v>
      </c>
      <c r="C631" s="5" t="s">
        <v>398</v>
      </c>
      <c r="D631" s="14">
        <v>8</v>
      </c>
      <c r="E631" s="5" t="s">
        <v>471</v>
      </c>
      <c r="F631" s="4" t="s">
        <v>450</v>
      </c>
      <c r="G631" s="6" t="s">
        <v>472</v>
      </c>
      <c r="H631" s="6" t="s">
        <v>401</v>
      </c>
      <c r="I631" s="6" t="s">
        <v>1098</v>
      </c>
    </row>
    <row r="632" spans="1:9">
      <c r="A632" s="7" t="s">
        <v>396</v>
      </c>
      <c r="B632" s="15">
        <v>46065</v>
      </c>
      <c r="C632" s="5" t="s">
        <v>398</v>
      </c>
      <c r="D632" s="14">
        <v>9</v>
      </c>
      <c r="E632" s="5" t="s">
        <v>474</v>
      </c>
      <c r="F632" s="4" t="s">
        <v>450</v>
      </c>
      <c r="G632" s="6" t="s">
        <v>475</v>
      </c>
      <c r="H632" s="6" t="s">
        <v>401</v>
      </c>
      <c r="I632" s="6" t="s">
        <v>1099</v>
      </c>
    </row>
    <row r="633" spans="1:9">
      <c r="A633" s="7" t="s">
        <v>396</v>
      </c>
      <c r="B633" s="15">
        <v>46065</v>
      </c>
      <c r="C633" s="5" t="s">
        <v>398</v>
      </c>
      <c r="D633" s="14">
        <v>10</v>
      </c>
      <c r="E633" s="5" t="s">
        <v>477</v>
      </c>
      <c r="F633" s="4" t="s">
        <v>450</v>
      </c>
      <c r="G633" s="6" t="s">
        <v>478</v>
      </c>
      <c r="H633" s="6" t="s">
        <v>401</v>
      </c>
      <c r="I633" s="6" t="s">
        <v>1100</v>
      </c>
    </row>
    <row r="634" spans="1:9">
      <c r="A634" s="7" t="s">
        <v>402</v>
      </c>
      <c r="B634" s="15">
        <v>46096</v>
      </c>
      <c r="C634" s="5" t="s">
        <v>404</v>
      </c>
      <c r="D634" s="14">
        <v>1</v>
      </c>
      <c r="E634" s="5" t="s">
        <v>449</v>
      </c>
      <c r="F634" s="4" t="s">
        <v>450</v>
      </c>
      <c r="G634" s="6" t="s">
        <v>451</v>
      </c>
      <c r="H634" s="6" t="s">
        <v>407</v>
      </c>
      <c r="I634" s="6" t="s">
        <v>1101</v>
      </c>
    </row>
    <row r="635" spans="1:9">
      <c r="A635" s="7" t="s">
        <v>402</v>
      </c>
      <c r="B635" s="15">
        <v>46096</v>
      </c>
      <c r="C635" s="5" t="s">
        <v>404</v>
      </c>
      <c r="D635" s="14">
        <v>2</v>
      </c>
      <c r="E635" s="5" t="s">
        <v>453</v>
      </c>
      <c r="F635" s="4" t="s">
        <v>450</v>
      </c>
      <c r="G635" s="6" t="s">
        <v>454</v>
      </c>
      <c r="H635" s="6" t="s">
        <v>407</v>
      </c>
      <c r="I635" s="6" t="s">
        <v>1102</v>
      </c>
    </row>
    <row r="636" spans="1:9">
      <c r="A636" s="7" t="s">
        <v>402</v>
      </c>
      <c r="B636" s="15">
        <v>46096</v>
      </c>
      <c r="C636" s="5" t="s">
        <v>404</v>
      </c>
      <c r="D636" s="14">
        <v>3</v>
      </c>
      <c r="E636" s="5" t="s">
        <v>456</v>
      </c>
      <c r="F636" s="4" t="s">
        <v>450</v>
      </c>
      <c r="G636" s="6" t="s">
        <v>457</v>
      </c>
      <c r="H636" s="6" t="s">
        <v>407</v>
      </c>
      <c r="I636" s="6" t="s">
        <v>1103</v>
      </c>
    </row>
    <row r="637" spans="1:9">
      <c r="A637" s="7" t="s">
        <v>402</v>
      </c>
      <c r="B637" s="15">
        <v>46096</v>
      </c>
      <c r="C637" s="5" t="s">
        <v>404</v>
      </c>
      <c r="D637" s="14">
        <v>4</v>
      </c>
      <c r="E637" s="5" t="s">
        <v>459</v>
      </c>
      <c r="F637" s="4" t="s">
        <v>450</v>
      </c>
      <c r="G637" s="6" t="s">
        <v>460</v>
      </c>
      <c r="H637" s="6" t="s">
        <v>407</v>
      </c>
      <c r="I637" s="6" t="s">
        <v>1104</v>
      </c>
    </row>
    <row r="638" spans="1:9">
      <c r="A638" s="7" t="s">
        <v>402</v>
      </c>
      <c r="B638" s="15">
        <v>46096</v>
      </c>
      <c r="C638" s="5" t="s">
        <v>404</v>
      </c>
      <c r="D638" s="14">
        <v>5</v>
      </c>
      <c r="E638" s="5" t="s">
        <v>462</v>
      </c>
      <c r="F638" s="4" t="s">
        <v>450</v>
      </c>
      <c r="G638" s="6" t="s">
        <v>463</v>
      </c>
      <c r="H638" s="6" t="s">
        <v>407</v>
      </c>
      <c r="I638" s="6" t="s">
        <v>1105</v>
      </c>
    </row>
    <row r="639" spans="1:9">
      <c r="A639" s="7" t="s">
        <v>402</v>
      </c>
      <c r="B639" s="15">
        <v>46096</v>
      </c>
      <c r="C639" s="5" t="s">
        <v>404</v>
      </c>
      <c r="D639" s="14">
        <v>6</v>
      </c>
      <c r="E639" s="5" t="s">
        <v>465</v>
      </c>
      <c r="F639" s="4" t="s">
        <v>450</v>
      </c>
      <c r="G639" s="6" t="s">
        <v>466</v>
      </c>
      <c r="H639" s="6" t="s">
        <v>407</v>
      </c>
      <c r="I639" s="6" t="s">
        <v>1106</v>
      </c>
    </row>
    <row r="640" spans="1:9">
      <c r="A640" s="7" t="s">
        <v>402</v>
      </c>
      <c r="B640" s="15">
        <v>46096</v>
      </c>
      <c r="C640" s="5" t="s">
        <v>404</v>
      </c>
      <c r="D640" s="14">
        <v>7</v>
      </c>
      <c r="E640" s="5" t="s">
        <v>468</v>
      </c>
      <c r="F640" s="4" t="s">
        <v>450</v>
      </c>
      <c r="G640" s="6" t="s">
        <v>469</v>
      </c>
      <c r="H640" s="6" t="s">
        <v>407</v>
      </c>
      <c r="I640" s="6" t="s">
        <v>1107</v>
      </c>
    </row>
    <row r="641" spans="1:9">
      <c r="A641" s="7" t="s">
        <v>402</v>
      </c>
      <c r="B641" s="15">
        <v>46096</v>
      </c>
      <c r="C641" s="5" t="s">
        <v>404</v>
      </c>
      <c r="D641" s="14">
        <v>8</v>
      </c>
      <c r="E641" s="5" t="s">
        <v>471</v>
      </c>
      <c r="F641" s="4" t="s">
        <v>450</v>
      </c>
      <c r="G641" s="6" t="s">
        <v>472</v>
      </c>
      <c r="H641" s="6" t="s">
        <v>407</v>
      </c>
      <c r="I641" s="6" t="s">
        <v>1108</v>
      </c>
    </row>
    <row r="642" spans="1:9">
      <c r="A642" s="7" t="s">
        <v>402</v>
      </c>
      <c r="B642" s="15">
        <v>46096</v>
      </c>
      <c r="C642" s="5" t="s">
        <v>404</v>
      </c>
      <c r="D642" s="14">
        <v>9</v>
      </c>
      <c r="E642" s="5" t="s">
        <v>474</v>
      </c>
      <c r="F642" s="4" t="s">
        <v>450</v>
      </c>
      <c r="G642" s="6" t="s">
        <v>475</v>
      </c>
      <c r="H642" s="6" t="s">
        <v>407</v>
      </c>
      <c r="I642" s="6" t="s">
        <v>1109</v>
      </c>
    </row>
    <row r="643" spans="1:9">
      <c r="A643" s="7" t="s">
        <v>402</v>
      </c>
      <c r="B643" s="15">
        <v>46096</v>
      </c>
      <c r="C643" s="5" t="s">
        <v>404</v>
      </c>
      <c r="D643" s="14">
        <v>10</v>
      </c>
      <c r="E643" s="5" t="s">
        <v>477</v>
      </c>
      <c r="F643" s="4" t="s">
        <v>450</v>
      </c>
      <c r="G643" s="6" t="s">
        <v>478</v>
      </c>
      <c r="H643" s="6" t="s">
        <v>407</v>
      </c>
      <c r="I643" s="6" t="s">
        <v>1110</v>
      </c>
    </row>
    <row r="644" spans="1:9">
      <c r="A644" s="7" t="s">
        <v>408</v>
      </c>
      <c r="B644" s="15">
        <v>46130</v>
      </c>
      <c r="C644" s="5" t="s">
        <v>410</v>
      </c>
      <c r="D644" s="14">
        <v>1</v>
      </c>
      <c r="E644" s="5" t="s">
        <v>449</v>
      </c>
      <c r="F644" s="4" t="s">
        <v>450</v>
      </c>
      <c r="G644" s="6" t="s">
        <v>451</v>
      </c>
      <c r="H644" s="6" t="s">
        <v>413</v>
      </c>
      <c r="I644" s="6" t="s">
        <v>1111</v>
      </c>
    </row>
    <row r="645" spans="1:9">
      <c r="A645" s="7" t="s">
        <v>408</v>
      </c>
      <c r="B645" s="15">
        <v>46130</v>
      </c>
      <c r="C645" s="5" t="s">
        <v>410</v>
      </c>
      <c r="D645" s="14">
        <v>2</v>
      </c>
      <c r="E645" s="5" t="s">
        <v>453</v>
      </c>
      <c r="F645" s="4" t="s">
        <v>450</v>
      </c>
      <c r="G645" s="6" t="s">
        <v>454</v>
      </c>
      <c r="H645" s="6" t="s">
        <v>413</v>
      </c>
      <c r="I645" s="6" t="s">
        <v>1112</v>
      </c>
    </row>
    <row r="646" spans="1:9">
      <c r="A646" s="7" t="s">
        <v>408</v>
      </c>
      <c r="B646" s="15">
        <v>46130</v>
      </c>
      <c r="C646" s="5" t="s">
        <v>410</v>
      </c>
      <c r="D646" s="14">
        <v>3</v>
      </c>
      <c r="E646" s="5" t="s">
        <v>456</v>
      </c>
      <c r="F646" s="4" t="s">
        <v>450</v>
      </c>
      <c r="G646" s="6" t="s">
        <v>457</v>
      </c>
      <c r="H646" s="6" t="s">
        <v>413</v>
      </c>
      <c r="I646" s="6" t="s">
        <v>1113</v>
      </c>
    </row>
    <row r="647" spans="1:9">
      <c r="A647" s="7" t="s">
        <v>408</v>
      </c>
      <c r="B647" s="15">
        <v>46130</v>
      </c>
      <c r="C647" s="5" t="s">
        <v>410</v>
      </c>
      <c r="D647" s="14">
        <v>4</v>
      </c>
      <c r="E647" s="5" t="s">
        <v>459</v>
      </c>
      <c r="F647" s="4" t="s">
        <v>450</v>
      </c>
      <c r="G647" s="6" t="s">
        <v>460</v>
      </c>
      <c r="H647" s="6" t="s">
        <v>413</v>
      </c>
      <c r="I647" s="6" t="s">
        <v>1114</v>
      </c>
    </row>
    <row r="648" spans="1:9">
      <c r="A648" s="7" t="s">
        <v>408</v>
      </c>
      <c r="B648" s="15">
        <v>46130</v>
      </c>
      <c r="C648" s="5" t="s">
        <v>410</v>
      </c>
      <c r="D648" s="14">
        <v>5</v>
      </c>
      <c r="E648" s="5" t="s">
        <v>462</v>
      </c>
      <c r="F648" s="4" t="s">
        <v>450</v>
      </c>
      <c r="G648" s="6" t="s">
        <v>463</v>
      </c>
      <c r="H648" s="6" t="s">
        <v>413</v>
      </c>
      <c r="I648" s="6" t="s">
        <v>1115</v>
      </c>
    </row>
    <row r="649" spans="1:9">
      <c r="A649" s="7" t="s">
        <v>408</v>
      </c>
      <c r="B649" s="15">
        <v>46130</v>
      </c>
      <c r="C649" s="5" t="s">
        <v>410</v>
      </c>
      <c r="D649" s="14">
        <v>6</v>
      </c>
      <c r="E649" s="5" t="s">
        <v>465</v>
      </c>
      <c r="F649" s="4" t="s">
        <v>450</v>
      </c>
      <c r="G649" s="6" t="s">
        <v>466</v>
      </c>
      <c r="H649" s="6" t="s">
        <v>413</v>
      </c>
      <c r="I649" s="6" t="s">
        <v>1116</v>
      </c>
    </row>
    <row r="650" spans="1:9">
      <c r="A650" s="7" t="s">
        <v>408</v>
      </c>
      <c r="B650" s="15">
        <v>46130</v>
      </c>
      <c r="C650" s="5" t="s">
        <v>410</v>
      </c>
      <c r="D650" s="14">
        <v>7</v>
      </c>
      <c r="E650" s="5" t="s">
        <v>468</v>
      </c>
      <c r="F650" s="4" t="s">
        <v>450</v>
      </c>
      <c r="G650" s="6" t="s">
        <v>469</v>
      </c>
      <c r="H650" s="6" t="s">
        <v>413</v>
      </c>
      <c r="I650" s="6" t="s">
        <v>1117</v>
      </c>
    </row>
    <row r="651" spans="1:9">
      <c r="A651" s="7" t="s">
        <v>408</v>
      </c>
      <c r="B651" s="15">
        <v>46130</v>
      </c>
      <c r="C651" s="5" t="s">
        <v>410</v>
      </c>
      <c r="D651" s="14">
        <v>8</v>
      </c>
      <c r="E651" s="5" t="s">
        <v>471</v>
      </c>
      <c r="F651" s="4" t="s">
        <v>450</v>
      </c>
      <c r="G651" s="6" t="s">
        <v>472</v>
      </c>
      <c r="H651" s="6" t="s">
        <v>413</v>
      </c>
      <c r="I651" s="6" t="s">
        <v>1118</v>
      </c>
    </row>
    <row r="652" spans="1:9">
      <c r="A652" s="7" t="s">
        <v>408</v>
      </c>
      <c r="B652" s="15">
        <v>46130</v>
      </c>
      <c r="C652" s="5" t="s">
        <v>410</v>
      </c>
      <c r="D652" s="14">
        <v>9</v>
      </c>
      <c r="E652" s="5" t="s">
        <v>474</v>
      </c>
      <c r="F652" s="4" t="s">
        <v>450</v>
      </c>
      <c r="G652" s="6" t="s">
        <v>475</v>
      </c>
      <c r="H652" s="6" t="s">
        <v>413</v>
      </c>
      <c r="I652" s="6" t="s">
        <v>1119</v>
      </c>
    </row>
    <row r="653" spans="1:9">
      <c r="A653" s="7" t="s">
        <v>408</v>
      </c>
      <c r="B653" s="15">
        <v>46130</v>
      </c>
      <c r="C653" s="5" t="s">
        <v>410</v>
      </c>
      <c r="D653" s="14">
        <v>10</v>
      </c>
      <c r="E653" s="5" t="s">
        <v>477</v>
      </c>
      <c r="F653" s="4" t="s">
        <v>450</v>
      </c>
      <c r="G653" s="6" t="s">
        <v>478</v>
      </c>
      <c r="H653" s="6" t="s">
        <v>413</v>
      </c>
      <c r="I653" s="6" t="s">
        <v>1120</v>
      </c>
    </row>
    <row r="654" spans="1:9">
      <c r="A654" s="7" t="s">
        <v>414</v>
      </c>
      <c r="B654" s="15">
        <v>46163</v>
      </c>
      <c r="C654" s="5" t="s">
        <v>416</v>
      </c>
      <c r="D654" s="14">
        <v>1</v>
      </c>
      <c r="E654" s="5" t="s">
        <v>449</v>
      </c>
      <c r="F654" s="4" t="s">
        <v>450</v>
      </c>
      <c r="G654" s="6" t="s">
        <v>451</v>
      </c>
      <c r="H654" s="6" t="s">
        <v>419</v>
      </c>
      <c r="I654" s="6" t="s">
        <v>1121</v>
      </c>
    </row>
    <row r="655" spans="1:9">
      <c r="A655" s="7" t="s">
        <v>414</v>
      </c>
      <c r="B655" s="15">
        <v>46163</v>
      </c>
      <c r="C655" s="5" t="s">
        <v>416</v>
      </c>
      <c r="D655" s="14">
        <v>2</v>
      </c>
      <c r="E655" s="5" t="s">
        <v>453</v>
      </c>
      <c r="F655" s="4" t="s">
        <v>450</v>
      </c>
      <c r="G655" s="6" t="s">
        <v>454</v>
      </c>
      <c r="H655" s="6" t="s">
        <v>419</v>
      </c>
      <c r="I655" s="6" t="s">
        <v>1122</v>
      </c>
    </row>
    <row r="656" spans="1:9">
      <c r="A656" s="7" t="s">
        <v>414</v>
      </c>
      <c r="B656" s="15">
        <v>46163</v>
      </c>
      <c r="C656" s="5" t="s">
        <v>416</v>
      </c>
      <c r="D656" s="14">
        <v>3</v>
      </c>
      <c r="E656" s="5" t="s">
        <v>456</v>
      </c>
      <c r="F656" s="4" t="s">
        <v>450</v>
      </c>
      <c r="G656" s="6" t="s">
        <v>457</v>
      </c>
      <c r="H656" s="6" t="s">
        <v>419</v>
      </c>
      <c r="I656" s="6" t="s">
        <v>1123</v>
      </c>
    </row>
    <row r="657" spans="1:9">
      <c r="A657" s="7" t="s">
        <v>414</v>
      </c>
      <c r="B657" s="15">
        <v>46163</v>
      </c>
      <c r="C657" s="5" t="s">
        <v>416</v>
      </c>
      <c r="D657" s="14">
        <v>4</v>
      </c>
      <c r="E657" s="5" t="s">
        <v>459</v>
      </c>
      <c r="F657" s="4" t="s">
        <v>450</v>
      </c>
      <c r="G657" s="6" t="s">
        <v>460</v>
      </c>
      <c r="H657" s="6" t="s">
        <v>419</v>
      </c>
      <c r="I657" s="6" t="s">
        <v>1124</v>
      </c>
    </row>
    <row r="658" spans="1:9">
      <c r="A658" s="7" t="s">
        <v>414</v>
      </c>
      <c r="B658" s="15">
        <v>46163</v>
      </c>
      <c r="C658" s="5" t="s">
        <v>416</v>
      </c>
      <c r="D658" s="14">
        <v>5</v>
      </c>
      <c r="E658" s="5" t="s">
        <v>462</v>
      </c>
      <c r="F658" s="4" t="s">
        <v>450</v>
      </c>
      <c r="G658" s="6" t="s">
        <v>463</v>
      </c>
      <c r="H658" s="6" t="s">
        <v>419</v>
      </c>
      <c r="I658" s="6" t="s">
        <v>1125</v>
      </c>
    </row>
    <row r="659" spans="1:9">
      <c r="A659" s="7" t="s">
        <v>414</v>
      </c>
      <c r="B659" s="15">
        <v>46163</v>
      </c>
      <c r="C659" s="5" t="s">
        <v>416</v>
      </c>
      <c r="D659" s="14">
        <v>6</v>
      </c>
      <c r="E659" s="5" t="s">
        <v>465</v>
      </c>
      <c r="F659" s="4" t="s">
        <v>450</v>
      </c>
      <c r="G659" s="6" t="s">
        <v>466</v>
      </c>
      <c r="H659" s="6" t="s">
        <v>419</v>
      </c>
      <c r="I659" s="6" t="s">
        <v>1126</v>
      </c>
    </row>
    <row r="660" spans="1:9">
      <c r="A660" s="7" t="s">
        <v>414</v>
      </c>
      <c r="B660" s="15">
        <v>46163</v>
      </c>
      <c r="C660" s="5" t="s">
        <v>416</v>
      </c>
      <c r="D660" s="14">
        <v>7</v>
      </c>
      <c r="E660" s="5" t="s">
        <v>468</v>
      </c>
      <c r="F660" s="4" t="s">
        <v>450</v>
      </c>
      <c r="G660" s="6" t="s">
        <v>469</v>
      </c>
      <c r="H660" s="6" t="s">
        <v>419</v>
      </c>
      <c r="I660" s="6" t="s">
        <v>1127</v>
      </c>
    </row>
    <row r="661" spans="1:9">
      <c r="A661" s="7" t="s">
        <v>414</v>
      </c>
      <c r="B661" s="15">
        <v>46163</v>
      </c>
      <c r="C661" s="5" t="s">
        <v>416</v>
      </c>
      <c r="D661" s="14">
        <v>8</v>
      </c>
      <c r="E661" s="5" t="s">
        <v>471</v>
      </c>
      <c r="F661" s="4" t="s">
        <v>450</v>
      </c>
      <c r="G661" s="6" t="s">
        <v>472</v>
      </c>
      <c r="H661" s="6" t="s">
        <v>419</v>
      </c>
      <c r="I661" s="6" t="s">
        <v>1128</v>
      </c>
    </row>
    <row r="662" spans="1:9">
      <c r="A662" s="7" t="s">
        <v>414</v>
      </c>
      <c r="B662" s="15">
        <v>46163</v>
      </c>
      <c r="C662" s="5" t="s">
        <v>416</v>
      </c>
      <c r="D662" s="14">
        <v>9</v>
      </c>
      <c r="E662" s="5" t="s">
        <v>474</v>
      </c>
      <c r="F662" s="4" t="s">
        <v>450</v>
      </c>
      <c r="G662" s="6" t="s">
        <v>475</v>
      </c>
      <c r="H662" s="6" t="s">
        <v>419</v>
      </c>
      <c r="I662" s="6" t="s">
        <v>1129</v>
      </c>
    </row>
    <row r="663" spans="1:9">
      <c r="A663" s="7" t="s">
        <v>414</v>
      </c>
      <c r="B663" s="15">
        <v>46163</v>
      </c>
      <c r="C663" s="5" t="s">
        <v>416</v>
      </c>
      <c r="D663" s="14">
        <v>10</v>
      </c>
      <c r="E663" s="5" t="s">
        <v>477</v>
      </c>
      <c r="F663" s="4" t="s">
        <v>498</v>
      </c>
      <c r="G663" s="6" t="s">
        <v>478</v>
      </c>
      <c r="H663" s="6" t="s">
        <v>419</v>
      </c>
      <c r="I663" s="6" t="s">
        <v>1130</v>
      </c>
    </row>
    <row r="664" spans="1:9">
      <c r="A664" s="7" t="s">
        <v>420</v>
      </c>
      <c r="B664" s="15">
        <v>46197</v>
      </c>
      <c r="C664" s="5" t="s">
        <v>422</v>
      </c>
      <c r="D664" s="14">
        <v>1</v>
      </c>
      <c r="E664" s="5" t="s">
        <v>449</v>
      </c>
      <c r="F664" s="4" t="s">
        <v>450</v>
      </c>
      <c r="G664" s="6" t="s">
        <v>451</v>
      </c>
      <c r="H664" s="6" t="s">
        <v>425</v>
      </c>
      <c r="I664" s="6" t="s">
        <v>1131</v>
      </c>
    </row>
    <row r="665" spans="1:9">
      <c r="A665" s="7" t="s">
        <v>420</v>
      </c>
      <c r="B665" s="15">
        <v>46197</v>
      </c>
      <c r="C665" s="5" t="s">
        <v>422</v>
      </c>
      <c r="D665" s="14">
        <v>2</v>
      </c>
      <c r="E665" s="5" t="s">
        <v>453</v>
      </c>
      <c r="F665" s="4" t="s">
        <v>450</v>
      </c>
      <c r="G665" s="6" t="s">
        <v>454</v>
      </c>
      <c r="H665" s="6" t="s">
        <v>425</v>
      </c>
      <c r="I665" s="6" t="s">
        <v>1132</v>
      </c>
    </row>
    <row r="666" spans="1:9">
      <c r="A666" s="7" t="s">
        <v>420</v>
      </c>
      <c r="B666" s="15">
        <v>46197</v>
      </c>
      <c r="C666" s="5" t="s">
        <v>422</v>
      </c>
      <c r="D666" s="14">
        <v>3</v>
      </c>
      <c r="E666" s="5" t="s">
        <v>456</v>
      </c>
      <c r="F666" s="4" t="s">
        <v>450</v>
      </c>
      <c r="G666" s="6" t="s">
        <v>457</v>
      </c>
      <c r="H666" s="6" t="s">
        <v>425</v>
      </c>
      <c r="I666" s="6" t="s">
        <v>1133</v>
      </c>
    </row>
    <row r="667" spans="1:9">
      <c r="A667" s="7" t="s">
        <v>420</v>
      </c>
      <c r="B667" s="15">
        <v>46197</v>
      </c>
      <c r="C667" s="5" t="s">
        <v>422</v>
      </c>
      <c r="D667" s="14">
        <v>4</v>
      </c>
      <c r="E667" s="5" t="s">
        <v>459</v>
      </c>
      <c r="F667" s="4" t="s">
        <v>450</v>
      </c>
      <c r="G667" s="6" t="s">
        <v>460</v>
      </c>
      <c r="H667" s="6" t="s">
        <v>425</v>
      </c>
      <c r="I667" s="6" t="s">
        <v>1134</v>
      </c>
    </row>
    <row r="668" spans="1:9">
      <c r="A668" s="7" t="s">
        <v>420</v>
      </c>
      <c r="B668" s="15">
        <v>46197</v>
      </c>
      <c r="C668" s="5" t="s">
        <v>422</v>
      </c>
      <c r="D668" s="14">
        <v>5</v>
      </c>
      <c r="E668" s="5" t="s">
        <v>462</v>
      </c>
      <c r="F668" s="4" t="s">
        <v>450</v>
      </c>
      <c r="G668" s="6" t="s">
        <v>463</v>
      </c>
      <c r="H668" s="6" t="s">
        <v>425</v>
      </c>
      <c r="I668" s="6" t="s">
        <v>1135</v>
      </c>
    </row>
    <row r="669" spans="1:9">
      <c r="A669" s="7" t="s">
        <v>420</v>
      </c>
      <c r="B669" s="15">
        <v>46197</v>
      </c>
      <c r="C669" s="5" t="s">
        <v>422</v>
      </c>
      <c r="D669" s="14">
        <v>6</v>
      </c>
      <c r="E669" s="5" t="s">
        <v>465</v>
      </c>
      <c r="F669" s="4" t="s">
        <v>450</v>
      </c>
      <c r="G669" s="6" t="s">
        <v>466</v>
      </c>
      <c r="H669" s="6" t="s">
        <v>425</v>
      </c>
      <c r="I669" s="6" t="s">
        <v>1136</v>
      </c>
    </row>
    <row r="670" spans="1:9">
      <c r="A670" s="7" t="s">
        <v>420</v>
      </c>
      <c r="B670" s="15">
        <v>46197</v>
      </c>
      <c r="C670" s="5" t="s">
        <v>422</v>
      </c>
      <c r="D670" s="14">
        <v>7</v>
      </c>
      <c r="E670" s="5" t="s">
        <v>468</v>
      </c>
      <c r="F670" s="4" t="s">
        <v>498</v>
      </c>
      <c r="G670" s="6" t="s">
        <v>469</v>
      </c>
      <c r="H670" s="6" t="s">
        <v>425</v>
      </c>
      <c r="I670" s="6" t="s">
        <v>1137</v>
      </c>
    </row>
    <row r="671" spans="1:9">
      <c r="A671" s="7" t="s">
        <v>420</v>
      </c>
      <c r="B671" s="15">
        <v>46197</v>
      </c>
      <c r="C671" s="5" t="s">
        <v>422</v>
      </c>
      <c r="D671" s="14">
        <v>8</v>
      </c>
      <c r="E671" s="5" t="s">
        <v>471</v>
      </c>
      <c r="F671" s="4" t="s">
        <v>450</v>
      </c>
      <c r="G671" s="6" t="s">
        <v>472</v>
      </c>
      <c r="H671" s="6" t="s">
        <v>425</v>
      </c>
      <c r="I671" s="6" t="s">
        <v>1138</v>
      </c>
    </row>
    <row r="672" spans="1:9">
      <c r="A672" s="7" t="s">
        <v>420</v>
      </c>
      <c r="B672" s="15">
        <v>46197</v>
      </c>
      <c r="C672" s="5" t="s">
        <v>422</v>
      </c>
      <c r="D672" s="14">
        <v>9</v>
      </c>
      <c r="E672" s="5" t="s">
        <v>474</v>
      </c>
      <c r="F672" s="4" t="s">
        <v>450</v>
      </c>
      <c r="G672" s="6" t="s">
        <v>475</v>
      </c>
      <c r="H672" s="6" t="s">
        <v>425</v>
      </c>
      <c r="I672" s="6" t="s">
        <v>1139</v>
      </c>
    </row>
    <row r="673" spans="1:9">
      <c r="A673" s="7" t="s">
        <v>420</v>
      </c>
      <c r="B673" s="15">
        <v>46197</v>
      </c>
      <c r="C673" s="5" t="s">
        <v>422</v>
      </c>
      <c r="D673" s="14">
        <v>10</v>
      </c>
      <c r="E673" s="5" t="s">
        <v>477</v>
      </c>
      <c r="F673" s="4" t="s">
        <v>450</v>
      </c>
      <c r="G673" s="6" t="s">
        <v>478</v>
      </c>
      <c r="H673" s="6" t="s">
        <v>425</v>
      </c>
      <c r="I673" s="6" t="s">
        <v>1140</v>
      </c>
    </row>
    <row r="674" spans="1:9">
      <c r="A674" s="7" t="s">
        <v>426</v>
      </c>
      <c r="B674" s="15">
        <v>46024</v>
      </c>
      <c r="C674" s="5" t="s">
        <v>428</v>
      </c>
      <c r="D674" s="14">
        <v>1</v>
      </c>
      <c r="E674" s="5" t="s">
        <v>449</v>
      </c>
      <c r="F674" s="4" t="s">
        <v>450</v>
      </c>
      <c r="G674" s="6" t="s">
        <v>451</v>
      </c>
      <c r="H674" s="6" t="s">
        <v>431</v>
      </c>
      <c r="I674" s="6" t="s">
        <v>1141</v>
      </c>
    </row>
    <row r="675" spans="1:9">
      <c r="A675" s="7" t="s">
        <v>426</v>
      </c>
      <c r="B675" s="15">
        <v>46024</v>
      </c>
      <c r="C675" s="5" t="s">
        <v>428</v>
      </c>
      <c r="D675" s="14">
        <v>2</v>
      </c>
      <c r="E675" s="5" t="s">
        <v>453</v>
      </c>
      <c r="F675" s="4" t="s">
        <v>450</v>
      </c>
      <c r="G675" s="6" t="s">
        <v>454</v>
      </c>
      <c r="H675" s="6" t="s">
        <v>431</v>
      </c>
      <c r="I675" s="6" t="s">
        <v>1142</v>
      </c>
    </row>
    <row r="676" spans="1:9">
      <c r="A676" s="7" t="s">
        <v>426</v>
      </c>
      <c r="B676" s="15">
        <v>46024</v>
      </c>
      <c r="C676" s="5" t="s">
        <v>428</v>
      </c>
      <c r="D676" s="14">
        <v>3</v>
      </c>
      <c r="E676" s="5" t="s">
        <v>456</v>
      </c>
      <c r="F676" s="4" t="s">
        <v>450</v>
      </c>
      <c r="G676" s="6" t="s">
        <v>457</v>
      </c>
      <c r="H676" s="6" t="s">
        <v>431</v>
      </c>
      <c r="I676" s="6" t="s">
        <v>1143</v>
      </c>
    </row>
    <row r="677" spans="1:9">
      <c r="A677" s="7" t="s">
        <v>426</v>
      </c>
      <c r="B677" s="15">
        <v>46024</v>
      </c>
      <c r="C677" s="5" t="s">
        <v>428</v>
      </c>
      <c r="D677" s="14">
        <v>4</v>
      </c>
      <c r="E677" s="5" t="s">
        <v>459</v>
      </c>
      <c r="F677" s="4" t="s">
        <v>498</v>
      </c>
      <c r="G677" s="6" t="s">
        <v>460</v>
      </c>
      <c r="H677" s="6" t="s">
        <v>431</v>
      </c>
      <c r="I677" s="6" t="s">
        <v>1144</v>
      </c>
    </row>
    <row r="678" spans="1:9">
      <c r="A678" s="7" t="s">
        <v>426</v>
      </c>
      <c r="B678" s="15">
        <v>46024</v>
      </c>
      <c r="C678" s="5" t="s">
        <v>428</v>
      </c>
      <c r="D678" s="14">
        <v>5</v>
      </c>
      <c r="E678" s="5" t="s">
        <v>462</v>
      </c>
      <c r="F678" s="4" t="s">
        <v>450</v>
      </c>
      <c r="G678" s="6" t="s">
        <v>463</v>
      </c>
      <c r="H678" s="6" t="s">
        <v>431</v>
      </c>
      <c r="I678" s="6" t="s">
        <v>1145</v>
      </c>
    </row>
    <row r="679" spans="1:9">
      <c r="A679" s="7" t="s">
        <v>426</v>
      </c>
      <c r="B679" s="15">
        <v>46024</v>
      </c>
      <c r="C679" s="5" t="s">
        <v>428</v>
      </c>
      <c r="D679" s="14">
        <v>6</v>
      </c>
      <c r="E679" s="5" t="s">
        <v>465</v>
      </c>
      <c r="F679" s="4" t="s">
        <v>450</v>
      </c>
      <c r="G679" s="6" t="s">
        <v>466</v>
      </c>
      <c r="H679" s="6" t="s">
        <v>431</v>
      </c>
      <c r="I679" s="6" t="s">
        <v>1146</v>
      </c>
    </row>
    <row r="680" spans="1:9">
      <c r="A680" s="7" t="s">
        <v>426</v>
      </c>
      <c r="B680" s="15">
        <v>46024</v>
      </c>
      <c r="C680" s="5" t="s">
        <v>428</v>
      </c>
      <c r="D680" s="14">
        <v>7</v>
      </c>
      <c r="E680" s="5" t="s">
        <v>468</v>
      </c>
      <c r="F680" s="4" t="s">
        <v>450</v>
      </c>
      <c r="G680" s="6" t="s">
        <v>469</v>
      </c>
      <c r="H680" s="6" t="s">
        <v>431</v>
      </c>
      <c r="I680" s="6" t="s">
        <v>1147</v>
      </c>
    </row>
    <row r="681" spans="1:9">
      <c r="A681" s="7" t="s">
        <v>426</v>
      </c>
      <c r="B681" s="15">
        <v>46024</v>
      </c>
      <c r="C681" s="5" t="s">
        <v>428</v>
      </c>
      <c r="D681" s="14">
        <v>8</v>
      </c>
      <c r="E681" s="5" t="s">
        <v>471</v>
      </c>
      <c r="F681" s="4" t="s">
        <v>450</v>
      </c>
      <c r="G681" s="6" t="s">
        <v>472</v>
      </c>
      <c r="H681" s="6" t="s">
        <v>431</v>
      </c>
      <c r="I681" s="6" t="s">
        <v>1148</v>
      </c>
    </row>
    <row r="682" spans="1:9">
      <c r="A682" s="7" t="s">
        <v>426</v>
      </c>
      <c r="B682" s="15">
        <v>46024</v>
      </c>
      <c r="C682" s="5" t="s">
        <v>428</v>
      </c>
      <c r="D682" s="14">
        <v>9</v>
      </c>
      <c r="E682" s="5" t="s">
        <v>474</v>
      </c>
      <c r="F682" s="4" t="s">
        <v>450</v>
      </c>
      <c r="G682" s="6" t="s">
        <v>475</v>
      </c>
      <c r="H682" s="6" t="s">
        <v>431</v>
      </c>
      <c r="I682" s="6" t="s">
        <v>1149</v>
      </c>
    </row>
    <row r="683" spans="1:9">
      <c r="A683" s="7" t="s">
        <v>426</v>
      </c>
      <c r="B683" s="15">
        <v>46024</v>
      </c>
      <c r="C683" s="5" t="s">
        <v>428</v>
      </c>
      <c r="D683" s="14">
        <v>10</v>
      </c>
      <c r="E683" s="5" t="s">
        <v>477</v>
      </c>
      <c r="F683" s="4" t="s">
        <v>450</v>
      </c>
      <c r="G683" s="6" t="s">
        <v>478</v>
      </c>
      <c r="H683" s="6" t="s">
        <v>431</v>
      </c>
      <c r="I683" s="6" t="s">
        <v>1150</v>
      </c>
    </row>
    <row r="684" spans="1:9">
      <c r="A684" s="7" t="s">
        <v>432</v>
      </c>
      <c r="B684" s="15">
        <v>46089</v>
      </c>
      <c r="C684" s="5" t="s">
        <v>434</v>
      </c>
      <c r="D684" s="14">
        <v>1</v>
      </c>
      <c r="E684" s="5" t="s">
        <v>449</v>
      </c>
      <c r="F684" s="4" t="s">
        <v>450</v>
      </c>
      <c r="G684" s="6" t="s">
        <v>451</v>
      </c>
      <c r="H684" s="6" t="s">
        <v>437</v>
      </c>
      <c r="I684" s="6" t="s">
        <v>1151</v>
      </c>
    </row>
    <row r="685" spans="1:9">
      <c r="A685" s="7" t="s">
        <v>432</v>
      </c>
      <c r="B685" s="15">
        <v>46089</v>
      </c>
      <c r="C685" s="5" t="s">
        <v>434</v>
      </c>
      <c r="D685" s="14">
        <v>2</v>
      </c>
      <c r="E685" s="5" t="s">
        <v>453</v>
      </c>
      <c r="F685" s="4" t="s">
        <v>450</v>
      </c>
      <c r="G685" s="6" t="s">
        <v>454</v>
      </c>
      <c r="H685" s="6" t="s">
        <v>437</v>
      </c>
      <c r="I685" s="6" t="s">
        <v>1152</v>
      </c>
    </row>
    <row r="686" spans="1:9">
      <c r="A686" s="7" t="s">
        <v>432</v>
      </c>
      <c r="B686" s="15">
        <v>46089</v>
      </c>
      <c r="C686" s="5" t="s">
        <v>434</v>
      </c>
      <c r="D686" s="14">
        <v>3</v>
      </c>
      <c r="E686" s="5" t="s">
        <v>456</v>
      </c>
      <c r="F686" s="4" t="s">
        <v>450</v>
      </c>
      <c r="G686" s="6" t="s">
        <v>457</v>
      </c>
      <c r="H686" s="6" t="s">
        <v>437</v>
      </c>
      <c r="I686" s="6" t="s">
        <v>1153</v>
      </c>
    </row>
    <row r="687" spans="1:9">
      <c r="A687" s="7" t="s">
        <v>432</v>
      </c>
      <c r="B687" s="15">
        <v>46089</v>
      </c>
      <c r="C687" s="5" t="s">
        <v>434</v>
      </c>
      <c r="D687" s="14">
        <v>4</v>
      </c>
      <c r="E687" s="5" t="s">
        <v>459</v>
      </c>
      <c r="F687" s="4" t="s">
        <v>450</v>
      </c>
      <c r="G687" s="6" t="s">
        <v>460</v>
      </c>
      <c r="H687" s="6" t="s">
        <v>437</v>
      </c>
      <c r="I687" s="6" t="s">
        <v>1154</v>
      </c>
    </row>
    <row r="688" spans="1:9">
      <c r="A688" s="7" t="s">
        <v>432</v>
      </c>
      <c r="B688" s="15">
        <v>46089</v>
      </c>
      <c r="C688" s="5" t="s">
        <v>434</v>
      </c>
      <c r="D688" s="14">
        <v>5</v>
      </c>
      <c r="E688" s="5" t="s">
        <v>462</v>
      </c>
      <c r="F688" s="4" t="s">
        <v>450</v>
      </c>
      <c r="G688" s="6" t="s">
        <v>463</v>
      </c>
      <c r="H688" s="6" t="s">
        <v>437</v>
      </c>
      <c r="I688" s="6" t="s">
        <v>1155</v>
      </c>
    </row>
    <row r="689" spans="1:9">
      <c r="A689" s="7" t="s">
        <v>432</v>
      </c>
      <c r="B689" s="15">
        <v>46089</v>
      </c>
      <c r="C689" s="5" t="s">
        <v>434</v>
      </c>
      <c r="D689" s="14">
        <v>6</v>
      </c>
      <c r="E689" s="5" t="s">
        <v>465</v>
      </c>
      <c r="F689" s="4" t="s">
        <v>450</v>
      </c>
      <c r="G689" s="6" t="s">
        <v>466</v>
      </c>
      <c r="H689" s="6" t="s">
        <v>437</v>
      </c>
      <c r="I689" s="6" t="s">
        <v>1156</v>
      </c>
    </row>
    <row r="690" spans="1:9">
      <c r="A690" s="7" t="s">
        <v>432</v>
      </c>
      <c r="B690" s="15">
        <v>46089</v>
      </c>
      <c r="C690" s="5" t="s">
        <v>434</v>
      </c>
      <c r="D690" s="14">
        <v>7</v>
      </c>
      <c r="E690" s="5" t="s">
        <v>468</v>
      </c>
      <c r="F690" s="4" t="s">
        <v>450</v>
      </c>
      <c r="G690" s="6" t="s">
        <v>469</v>
      </c>
      <c r="H690" s="6" t="s">
        <v>437</v>
      </c>
      <c r="I690" s="6" t="s">
        <v>1157</v>
      </c>
    </row>
    <row r="691" spans="1:9">
      <c r="A691" s="7" t="s">
        <v>432</v>
      </c>
      <c r="B691" s="15">
        <v>46089</v>
      </c>
      <c r="C691" s="5" t="s">
        <v>434</v>
      </c>
      <c r="D691" s="14">
        <v>8</v>
      </c>
      <c r="E691" s="5" t="s">
        <v>471</v>
      </c>
      <c r="F691" s="4" t="s">
        <v>450</v>
      </c>
      <c r="G691" s="6" t="s">
        <v>472</v>
      </c>
      <c r="H691" s="6" t="s">
        <v>437</v>
      </c>
      <c r="I691" s="6" t="s">
        <v>1158</v>
      </c>
    </row>
    <row r="692" spans="1:9">
      <c r="A692" s="7" t="s">
        <v>432</v>
      </c>
      <c r="B692" s="15">
        <v>46089</v>
      </c>
      <c r="C692" s="5" t="s">
        <v>434</v>
      </c>
      <c r="D692" s="14">
        <v>9</v>
      </c>
      <c r="E692" s="5" t="s">
        <v>474</v>
      </c>
      <c r="F692" s="4" t="s">
        <v>450</v>
      </c>
      <c r="G692" s="6" t="s">
        <v>475</v>
      </c>
      <c r="H692" s="6" t="s">
        <v>437</v>
      </c>
      <c r="I692" s="6" t="s">
        <v>1159</v>
      </c>
    </row>
    <row r="693" spans="1:9">
      <c r="A693" s="7" t="s">
        <v>432</v>
      </c>
      <c r="B693" s="15">
        <v>46089</v>
      </c>
      <c r="C693" s="5" t="s">
        <v>434</v>
      </c>
      <c r="D693" s="14">
        <v>10</v>
      </c>
      <c r="E693" s="5" t="s">
        <v>477</v>
      </c>
      <c r="F693" s="4" t="s">
        <v>450</v>
      </c>
      <c r="G693" s="6" t="s">
        <v>478</v>
      </c>
      <c r="H693" s="6" t="s">
        <v>437</v>
      </c>
      <c r="I693" s="6" t="s">
        <v>1160</v>
      </c>
    </row>
    <row r="694" spans="1:9">
      <c r="A694" s="7" t="s">
        <v>438</v>
      </c>
      <c r="B694" s="15">
        <v>46123</v>
      </c>
      <c r="C694" s="5" t="s">
        <v>440</v>
      </c>
      <c r="D694" s="14">
        <v>1</v>
      </c>
      <c r="E694" s="5" t="s">
        <v>449</v>
      </c>
      <c r="F694" s="4" t="s">
        <v>450</v>
      </c>
      <c r="G694" s="6" t="s">
        <v>451</v>
      </c>
      <c r="H694" s="6" t="s">
        <v>443</v>
      </c>
      <c r="I694" s="6" t="s">
        <v>1161</v>
      </c>
    </row>
    <row r="695" spans="1:9">
      <c r="A695" s="7" t="s">
        <v>438</v>
      </c>
      <c r="B695" s="15">
        <v>46123</v>
      </c>
      <c r="C695" s="5" t="s">
        <v>440</v>
      </c>
      <c r="D695" s="14">
        <v>2</v>
      </c>
      <c r="E695" s="5" t="s">
        <v>453</v>
      </c>
      <c r="F695" s="4" t="s">
        <v>450</v>
      </c>
      <c r="G695" s="6" t="s">
        <v>454</v>
      </c>
      <c r="H695" s="6" t="s">
        <v>443</v>
      </c>
      <c r="I695" s="6" t="s">
        <v>1162</v>
      </c>
    </row>
    <row r="696" spans="1:9">
      <c r="A696" s="7" t="s">
        <v>438</v>
      </c>
      <c r="B696" s="15">
        <v>46123</v>
      </c>
      <c r="C696" s="5" t="s">
        <v>440</v>
      </c>
      <c r="D696" s="14">
        <v>3</v>
      </c>
      <c r="E696" s="5" t="s">
        <v>456</v>
      </c>
      <c r="F696" s="4" t="s">
        <v>450</v>
      </c>
      <c r="G696" s="6" t="s">
        <v>457</v>
      </c>
      <c r="H696" s="6" t="s">
        <v>443</v>
      </c>
      <c r="I696" s="6" t="s">
        <v>1163</v>
      </c>
    </row>
    <row r="697" spans="1:9">
      <c r="A697" s="7" t="s">
        <v>438</v>
      </c>
      <c r="B697" s="15">
        <v>46123</v>
      </c>
      <c r="C697" s="5" t="s">
        <v>440</v>
      </c>
      <c r="D697" s="14">
        <v>4</v>
      </c>
      <c r="E697" s="5" t="s">
        <v>459</v>
      </c>
      <c r="F697" s="4" t="s">
        <v>450</v>
      </c>
      <c r="G697" s="6" t="s">
        <v>460</v>
      </c>
      <c r="H697" s="6" t="s">
        <v>443</v>
      </c>
      <c r="I697" s="6" t="s">
        <v>1164</v>
      </c>
    </row>
    <row r="698" spans="1:9">
      <c r="A698" s="7" t="s">
        <v>438</v>
      </c>
      <c r="B698" s="15">
        <v>46123</v>
      </c>
      <c r="C698" s="5" t="s">
        <v>440</v>
      </c>
      <c r="D698" s="14">
        <v>5</v>
      </c>
      <c r="E698" s="5" t="s">
        <v>462</v>
      </c>
      <c r="F698" s="4" t="s">
        <v>450</v>
      </c>
      <c r="G698" s="6" t="s">
        <v>463</v>
      </c>
      <c r="H698" s="6" t="s">
        <v>443</v>
      </c>
      <c r="I698" s="6" t="s">
        <v>1165</v>
      </c>
    </row>
    <row r="699" spans="1:9">
      <c r="A699" s="7" t="s">
        <v>438</v>
      </c>
      <c r="B699" s="15">
        <v>46123</v>
      </c>
      <c r="C699" s="5" t="s">
        <v>440</v>
      </c>
      <c r="D699" s="14">
        <v>6</v>
      </c>
      <c r="E699" s="5" t="s">
        <v>465</v>
      </c>
      <c r="F699" s="4" t="s">
        <v>450</v>
      </c>
      <c r="G699" s="6" t="s">
        <v>466</v>
      </c>
      <c r="H699" s="6" t="s">
        <v>443</v>
      </c>
      <c r="I699" s="6" t="s">
        <v>1166</v>
      </c>
    </row>
    <row r="700" spans="1:9">
      <c r="A700" s="7" t="s">
        <v>438</v>
      </c>
      <c r="B700" s="15">
        <v>46123</v>
      </c>
      <c r="C700" s="5" t="s">
        <v>440</v>
      </c>
      <c r="D700" s="14">
        <v>7</v>
      </c>
      <c r="E700" s="5" t="s">
        <v>468</v>
      </c>
      <c r="F700" s="4" t="s">
        <v>450</v>
      </c>
      <c r="G700" s="6" t="s">
        <v>469</v>
      </c>
      <c r="H700" s="6" t="s">
        <v>443</v>
      </c>
      <c r="I700" s="6" t="s">
        <v>1167</v>
      </c>
    </row>
    <row r="701" spans="1:9">
      <c r="A701" s="7" t="s">
        <v>438</v>
      </c>
      <c r="B701" s="15">
        <v>46123</v>
      </c>
      <c r="C701" s="5" t="s">
        <v>440</v>
      </c>
      <c r="D701" s="14">
        <v>8</v>
      </c>
      <c r="E701" s="5" t="s">
        <v>471</v>
      </c>
      <c r="F701" s="4" t="s">
        <v>450</v>
      </c>
      <c r="G701" s="6" t="s">
        <v>472</v>
      </c>
      <c r="H701" s="6" t="s">
        <v>443</v>
      </c>
      <c r="I701" s="6" t="s">
        <v>1168</v>
      </c>
    </row>
    <row r="702" spans="1:9">
      <c r="A702" s="7" t="s">
        <v>438</v>
      </c>
      <c r="B702" s="15">
        <v>46123</v>
      </c>
      <c r="C702" s="5" t="s">
        <v>440</v>
      </c>
      <c r="D702" s="14">
        <v>9</v>
      </c>
      <c r="E702" s="5" t="s">
        <v>474</v>
      </c>
      <c r="F702" s="4" t="s">
        <v>450</v>
      </c>
      <c r="G702" s="6" t="s">
        <v>475</v>
      </c>
      <c r="H702" s="6" t="s">
        <v>443</v>
      </c>
      <c r="I702" s="6" t="s">
        <v>1169</v>
      </c>
    </row>
    <row r="703" spans="1:9">
      <c r="A703" s="7" t="s">
        <v>438</v>
      </c>
      <c r="B703" s="15">
        <v>46123</v>
      </c>
      <c r="C703" s="5" t="s">
        <v>440</v>
      </c>
      <c r="D703" s="14">
        <v>10</v>
      </c>
      <c r="E703" s="5" t="s">
        <v>477</v>
      </c>
      <c r="F703" s="4" t="s">
        <v>450</v>
      </c>
      <c r="G703" s="6" t="s">
        <v>478</v>
      </c>
      <c r="H703" s="6" t="s">
        <v>443</v>
      </c>
      <c r="I703" s="6" t="s">
        <v>1170</v>
      </c>
    </row>
  </sheetData>
  <mergeCells count="2">
    <mergeCell ref="A1:I1"/>
    <mergeCell ref="A2:I2"/>
  </mergeCells>
  <dataValidations count="2">
    <dataValidation type="whole" operator="greaterThanOrEqual" sqref="D4:D1048576" xr:uid="{00000000-0002-0000-0100-000000000000}">
      <formula1>1</formula1>
    </dataValidation>
    <dataValidation type="list" sqref="F4:F1048576" xr:uid="{00000000-0002-0000-0100-000001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10"/>
  <sheetViews>
    <sheetView showGridLines="0" zoomScale="166" zoomScaleNormal="100" workbookViewId="0">
      <pane xSplit="1" ySplit="3" topLeftCell="B4" activePane="bottomRight" state="frozen"/>
      <selection pane="topRight"/>
      <selection pane="bottomLeft"/>
      <selection pane="bottomRight" activeCell="A5" sqref="A5"/>
    </sheetView>
  </sheetViews>
  <sheetFormatPr baseColWidth="10" defaultColWidth="8.83203125" defaultRowHeight="15"/>
  <cols>
    <col min="1" max="1" width="32" customWidth="1"/>
    <col min="2" max="2" width="16" customWidth="1"/>
    <col min="3" max="3" width="19" customWidth="1"/>
    <col min="4" max="4" width="12" customWidth="1"/>
    <col min="5" max="5" width="40" customWidth="1"/>
    <col min="6" max="6" width="42" customWidth="1"/>
    <col min="7" max="7" width="24" customWidth="1"/>
    <col min="8" max="8" width="18" customWidth="1"/>
    <col min="9" max="9" width="20" customWidth="1"/>
    <col min="10" max="10" width="22" customWidth="1"/>
  </cols>
  <sheetData>
    <row r="1" spans="1:10" ht="28" customHeight="1">
      <c r="A1" s="38" t="s">
        <v>1171</v>
      </c>
      <c r="B1" s="38"/>
      <c r="C1" s="38"/>
      <c r="D1" s="38"/>
      <c r="E1" s="38"/>
      <c r="F1" s="38"/>
      <c r="G1" s="38"/>
      <c r="H1" s="38"/>
      <c r="I1" s="38"/>
      <c r="J1" s="38"/>
    </row>
    <row r="2" spans="1:10" ht="32" customHeight="1">
      <c r="A2" s="40" t="s">
        <v>3095</v>
      </c>
      <c r="B2" s="40"/>
      <c r="C2" s="40"/>
      <c r="D2" s="40"/>
      <c r="E2" s="40"/>
      <c r="F2" s="40"/>
      <c r="G2" s="40"/>
      <c r="H2" s="40"/>
      <c r="I2" s="40"/>
      <c r="J2" s="40"/>
    </row>
    <row r="3" spans="1:10" ht="34" customHeight="1">
      <c r="A3" s="1" t="s">
        <v>1</v>
      </c>
      <c r="B3" s="2" t="s">
        <v>2</v>
      </c>
      <c r="C3" s="2" t="s">
        <v>9</v>
      </c>
      <c r="D3" s="2" t="s">
        <v>1172</v>
      </c>
      <c r="E3" s="2" t="s">
        <v>1173</v>
      </c>
      <c r="F3" s="2" t="s">
        <v>1174</v>
      </c>
      <c r="G3" s="2" t="s">
        <v>1175</v>
      </c>
      <c r="H3" s="2" t="s">
        <v>1176</v>
      </c>
      <c r="I3" s="2" t="s">
        <v>13</v>
      </c>
      <c r="J3" s="3" t="s">
        <v>1177</v>
      </c>
    </row>
    <row r="4" spans="1:10" ht="30">
      <c r="A4" s="7" t="s">
        <v>16</v>
      </c>
      <c r="B4" s="15">
        <v>46026</v>
      </c>
      <c r="C4" s="5" t="s">
        <v>19</v>
      </c>
      <c r="D4" s="13">
        <v>1</v>
      </c>
      <c r="E4" s="4" t="s">
        <v>1178</v>
      </c>
      <c r="F4" s="4" t="s">
        <v>1179</v>
      </c>
      <c r="G4" s="4" t="s">
        <v>1180</v>
      </c>
      <c r="H4" s="13">
        <v>2</v>
      </c>
      <c r="I4" s="6" t="s">
        <v>22</v>
      </c>
      <c r="J4" s="6" t="s">
        <v>1181</v>
      </c>
    </row>
    <row r="5" spans="1:10" ht="30">
      <c r="A5" s="7" t="s">
        <v>16</v>
      </c>
      <c r="B5" s="15">
        <v>46026</v>
      </c>
      <c r="C5" s="5" t="s">
        <v>19</v>
      </c>
      <c r="D5" s="13">
        <v>2</v>
      </c>
      <c r="E5" s="4" t="s">
        <v>1182</v>
      </c>
      <c r="F5" s="4" t="s">
        <v>1183</v>
      </c>
      <c r="G5" s="4" t="s">
        <v>1184</v>
      </c>
      <c r="H5" s="13">
        <v>5</v>
      </c>
      <c r="I5" s="6" t="s">
        <v>22</v>
      </c>
      <c r="J5" s="6" t="s">
        <v>1185</v>
      </c>
    </row>
    <row r="6" spans="1:10" ht="30">
      <c r="A6" s="7" t="s">
        <v>16</v>
      </c>
      <c r="B6" s="15">
        <v>46026</v>
      </c>
      <c r="C6" s="5" t="s">
        <v>19</v>
      </c>
      <c r="D6" s="13">
        <v>3</v>
      </c>
      <c r="E6" s="4" t="s">
        <v>1186</v>
      </c>
      <c r="F6" s="4" t="s">
        <v>1187</v>
      </c>
      <c r="G6" s="4" t="s">
        <v>1188</v>
      </c>
      <c r="H6" s="13">
        <v>8</v>
      </c>
      <c r="I6" s="6" t="s">
        <v>22</v>
      </c>
      <c r="J6" s="6" t="s">
        <v>1189</v>
      </c>
    </row>
    <row r="7" spans="1:10">
      <c r="A7" s="7" t="s">
        <v>25</v>
      </c>
      <c r="B7" s="15">
        <v>46060</v>
      </c>
      <c r="C7" s="5" t="s">
        <v>28</v>
      </c>
      <c r="D7" s="13">
        <v>1</v>
      </c>
      <c r="E7" s="4" t="s">
        <v>1190</v>
      </c>
      <c r="F7" s="4" t="s">
        <v>1179</v>
      </c>
      <c r="G7" s="4" t="s">
        <v>1180</v>
      </c>
      <c r="H7" s="13">
        <v>3</v>
      </c>
      <c r="I7" s="6" t="s">
        <v>31</v>
      </c>
      <c r="J7" s="6" t="s">
        <v>1191</v>
      </c>
    </row>
    <row r="8" spans="1:10" ht="30">
      <c r="A8" s="7" t="s">
        <v>25</v>
      </c>
      <c r="B8" s="15">
        <v>46060</v>
      </c>
      <c r="C8" s="5" t="s">
        <v>28</v>
      </c>
      <c r="D8" s="13">
        <v>2</v>
      </c>
      <c r="E8" s="4" t="s">
        <v>1192</v>
      </c>
      <c r="F8" s="4" t="s">
        <v>1183</v>
      </c>
      <c r="G8" s="4" t="s">
        <v>1184</v>
      </c>
      <c r="H8" s="13">
        <v>6</v>
      </c>
      <c r="I8" s="6" t="s">
        <v>31</v>
      </c>
      <c r="J8" s="6" t="s">
        <v>1193</v>
      </c>
    </row>
    <row r="9" spans="1:10" ht="30">
      <c r="A9" s="7" t="s">
        <v>25</v>
      </c>
      <c r="B9" s="15">
        <v>46060</v>
      </c>
      <c r="C9" s="5" t="s">
        <v>28</v>
      </c>
      <c r="D9" s="13">
        <v>3</v>
      </c>
      <c r="E9" s="4" t="s">
        <v>1194</v>
      </c>
      <c r="F9" s="4" t="s">
        <v>1187</v>
      </c>
      <c r="G9" s="4" t="s">
        <v>1188</v>
      </c>
      <c r="H9" s="13">
        <v>9</v>
      </c>
      <c r="I9" s="6" t="s">
        <v>31</v>
      </c>
      <c r="J9" s="6" t="s">
        <v>1195</v>
      </c>
    </row>
    <row r="10" spans="1:10" ht="30">
      <c r="A10" s="7" t="s">
        <v>25</v>
      </c>
      <c r="B10" s="15">
        <v>46060</v>
      </c>
      <c r="C10" s="5" t="s">
        <v>28</v>
      </c>
      <c r="D10" s="13">
        <v>4</v>
      </c>
      <c r="E10" s="4" t="s">
        <v>1196</v>
      </c>
      <c r="F10" s="4" t="s">
        <v>1197</v>
      </c>
      <c r="G10" s="4" t="s">
        <v>1198</v>
      </c>
      <c r="H10" s="13">
        <v>12</v>
      </c>
      <c r="I10" s="6" t="s">
        <v>31</v>
      </c>
      <c r="J10" s="6" t="s">
        <v>1199</v>
      </c>
    </row>
    <row r="11" spans="1:10">
      <c r="A11" s="7" t="s">
        <v>32</v>
      </c>
      <c r="B11" s="15">
        <v>46091</v>
      </c>
      <c r="C11" s="5" t="s">
        <v>36</v>
      </c>
      <c r="D11" s="13">
        <v>1</v>
      </c>
      <c r="E11" s="4" t="s">
        <v>1200</v>
      </c>
      <c r="F11" s="4" t="s">
        <v>1201</v>
      </c>
      <c r="G11" s="4" t="s">
        <v>1202</v>
      </c>
      <c r="H11" s="13">
        <v>4</v>
      </c>
      <c r="I11" s="6" t="s">
        <v>39</v>
      </c>
      <c r="J11" s="6" t="s">
        <v>1203</v>
      </c>
    </row>
    <row r="12" spans="1:10">
      <c r="A12" s="7" t="s">
        <v>32</v>
      </c>
      <c r="B12" s="15">
        <v>46091</v>
      </c>
      <c r="C12" s="5" t="s">
        <v>36</v>
      </c>
      <c r="D12" s="13">
        <v>2</v>
      </c>
      <c r="E12" s="4" t="s">
        <v>1204</v>
      </c>
      <c r="F12" s="4" t="s">
        <v>1205</v>
      </c>
      <c r="G12" s="4" t="s">
        <v>1206</v>
      </c>
      <c r="H12" s="13">
        <v>7</v>
      </c>
      <c r="I12" s="6" t="s">
        <v>39</v>
      </c>
      <c r="J12" s="6" t="s">
        <v>1207</v>
      </c>
    </row>
    <row r="13" spans="1:10">
      <c r="A13" s="7" t="s">
        <v>32</v>
      </c>
      <c r="B13" s="15">
        <v>46091</v>
      </c>
      <c r="C13" s="5" t="s">
        <v>36</v>
      </c>
      <c r="D13" s="13">
        <v>3</v>
      </c>
      <c r="E13" s="4" t="s">
        <v>1208</v>
      </c>
      <c r="F13" s="4" t="s">
        <v>1209</v>
      </c>
      <c r="G13" s="4" t="s">
        <v>1210</v>
      </c>
      <c r="H13" s="13">
        <v>10</v>
      </c>
      <c r="I13" s="6" t="s">
        <v>39</v>
      </c>
      <c r="J13" s="6" t="s">
        <v>1211</v>
      </c>
    </row>
    <row r="14" spans="1:10">
      <c r="A14" s="7" t="s">
        <v>32</v>
      </c>
      <c r="B14" s="15">
        <v>46091</v>
      </c>
      <c r="C14" s="5" t="s">
        <v>36</v>
      </c>
      <c r="D14" s="13">
        <v>4</v>
      </c>
      <c r="E14" s="4" t="s">
        <v>1212</v>
      </c>
      <c r="F14" s="4" t="s">
        <v>1213</v>
      </c>
      <c r="G14" s="4" t="s">
        <v>1214</v>
      </c>
      <c r="H14" s="13">
        <v>13</v>
      </c>
      <c r="I14" s="6" t="s">
        <v>39</v>
      </c>
      <c r="J14" s="6" t="s">
        <v>1215</v>
      </c>
    </row>
    <row r="15" spans="1:10" ht="30">
      <c r="A15" s="7" t="s">
        <v>40</v>
      </c>
      <c r="B15" s="15">
        <v>46125</v>
      </c>
      <c r="C15" s="5" t="s">
        <v>43</v>
      </c>
      <c r="D15" s="13">
        <v>1</v>
      </c>
      <c r="E15" s="4" t="s">
        <v>1216</v>
      </c>
      <c r="F15" s="4" t="s">
        <v>1217</v>
      </c>
      <c r="G15" s="4" t="s">
        <v>1218</v>
      </c>
      <c r="H15" s="13">
        <v>5</v>
      </c>
      <c r="I15" s="6" t="s">
        <v>46</v>
      </c>
      <c r="J15" s="6" t="s">
        <v>1219</v>
      </c>
    </row>
    <row r="16" spans="1:10" ht="30">
      <c r="A16" s="7" t="s">
        <v>40</v>
      </c>
      <c r="B16" s="15">
        <v>46125</v>
      </c>
      <c r="C16" s="5" t="s">
        <v>43</v>
      </c>
      <c r="D16" s="13">
        <v>2</v>
      </c>
      <c r="E16" s="4" t="s">
        <v>1220</v>
      </c>
      <c r="F16" s="4" t="s">
        <v>1221</v>
      </c>
      <c r="G16" s="4" t="s">
        <v>1222</v>
      </c>
      <c r="H16" s="13">
        <v>8</v>
      </c>
      <c r="I16" s="6" t="s">
        <v>46</v>
      </c>
      <c r="J16" s="6" t="s">
        <v>1223</v>
      </c>
    </row>
    <row r="17" spans="1:10" ht="30">
      <c r="A17" s="7" t="s">
        <v>47</v>
      </c>
      <c r="B17" s="15">
        <v>46158</v>
      </c>
      <c r="C17" s="5" t="s">
        <v>50</v>
      </c>
      <c r="D17" s="13">
        <v>1</v>
      </c>
      <c r="E17" s="4" t="s">
        <v>1224</v>
      </c>
      <c r="F17" s="4" t="s">
        <v>1225</v>
      </c>
      <c r="G17" s="4" t="s">
        <v>1202</v>
      </c>
      <c r="H17" s="13">
        <v>6</v>
      </c>
      <c r="I17" s="6" t="s">
        <v>53</v>
      </c>
      <c r="J17" s="6" t="s">
        <v>1226</v>
      </c>
    </row>
    <row r="18" spans="1:10" ht="30">
      <c r="A18" s="7" t="s">
        <v>47</v>
      </c>
      <c r="B18" s="15">
        <v>46158</v>
      </c>
      <c r="C18" s="5" t="s">
        <v>50</v>
      </c>
      <c r="D18" s="13">
        <v>2</v>
      </c>
      <c r="E18" s="4" t="s">
        <v>1227</v>
      </c>
      <c r="F18" s="4" t="s">
        <v>1228</v>
      </c>
      <c r="G18" s="4" t="s">
        <v>1184</v>
      </c>
      <c r="H18" s="13">
        <v>9</v>
      </c>
      <c r="I18" s="6" t="s">
        <v>53</v>
      </c>
      <c r="J18" s="6" t="s">
        <v>1229</v>
      </c>
    </row>
    <row r="19" spans="1:10" ht="30">
      <c r="A19" s="7" t="s">
        <v>47</v>
      </c>
      <c r="B19" s="15">
        <v>46158</v>
      </c>
      <c r="C19" s="5" t="s">
        <v>50</v>
      </c>
      <c r="D19" s="13">
        <v>3</v>
      </c>
      <c r="E19" s="4" t="s">
        <v>1230</v>
      </c>
      <c r="F19" s="4" t="s">
        <v>1231</v>
      </c>
      <c r="G19" s="4" t="s">
        <v>1232</v>
      </c>
      <c r="H19" s="13">
        <v>12</v>
      </c>
      <c r="I19" s="6" t="s">
        <v>53</v>
      </c>
      <c r="J19" s="6" t="s">
        <v>1233</v>
      </c>
    </row>
    <row r="20" spans="1:10" ht="30">
      <c r="A20" s="7" t="s">
        <v>54</v>
      </c>
      <c r="B20" s="15">
        <v>46192</v>
      </c>
      <c r="C20" s="5" t="s">
        <v>56</v>
      </c>
      <c r="D20" s="13">
        <v>1</v>
      </c>
      <c r="E20" s="4" t="s">
        <v>1234</v>
      </c>
      <c r="F20" s="4" t="s">
        <v>1235</v>
      </c>
      <c r="G20" s="4" t="s">
        <v>1202</v>
      </c>
      <c r="H20" s="13">
        <v>7</v>
      </c>
      <c r="I20" s="6" t="s">
        <v>59</v>
      </c>
      <c r="J20" s="6" t="s">
        <v>1236</v>
      </c>
    </row>
    <row r="21" spans="1:10" ht="30">
      <c r="A21" s="7" t="s">
        <v>54</v>
      </c>
      <c r="B21" s="15">
        <v>46192</v>
      </c>
      <c r="C21" s="5" t="s">
        <v>56</v>
      </c>
      <c r="D21" s="13">
        <v>2</v>
      </c>
      <c r="E21" s="4" t="s">
        <v>1237</v>
      </c>
      <c r="F21" s="4" t="s">
        <v>1187</v>
      </c>
      <c r="G21" s="4" t="s">
        <v>1238</v>
      </c>
      <c r="H21" s="13">
        <v>10</v>
      </c>
      <c r="I21" s="6" t="s">
        <v>59</v>
      </c>
      <c r="J21" s="6" t="s">
        <v>1239</v>
      </c>
    </row>
    <row r="22" spans="1:10" ht="30">
      <c r="A22" s="7" t="s">
        <v>54</v>
      </c>
      <c r="B22" s="15">
        <v>46192</v>
      </c>
      <c r="C22" s="5" t="s">
        <v>56</v>
      </c>
      <c r="D22" s="13">
        <v>3</v>
      </c>
      <c r="E22" s="4" t="s">
        <v>1240</v>
      </c>
      <c r="F22" s="4" t="s">
        <v>1241</v>
      </c>
      <c r="G22" s="4" t="s">
        <v>1242</v>
      </c>
      <c r="H22" s="13">
        <v>13</v>
      </c>
      <c r="I22" s="6" t="s">
        <v>59</v>
      </c>
      <c r="J22" s="6" t="s">
        <v>1243</v>
      </c>
    </row>
    <row r="23" spans="1:10" ht="30">
      <c r="A23" s="7" t="s">
        <v>54</v>
      </c>
      <c r="B23" s="15">
        <v>46192</v>
      </c>
      <c r="C23" s="5" t="s">
        <v>56</v>
      </c>
      <c r="D23" s="13">
        <v>4</v>
      </c>
      <c r="E23" s="4" t="s">
        <v>1244</v>
      </c>
      <c r="F23" s="4" t="s">
        <v>1245</v>
      </c>
      <c r="G23" s="4" t="s">
        <v>1246</v>
      </c>
      <c r="H23" s="13">
        <v>16</v>
      </c>
      <c r="I23" s="6" t="s">
        <v>59</v>
      </c>
      <c r="J23" s="6" t="s">
        <v>1247</v>
      </c>
    </row>
    <row r="24" spans="1:10" ht="30">
      <c r="A24" s="7" t="s">
        <v>60</v>
      </c>
      <c r="B24" s="15">
        <v>46044</v>
      </c>
      <c r="C24" s="5" t="s">
        <v>62</v>
      </c>
      <c r="D24" s="13">
        <v>1</v>
      </c>
      <c r="E24" s="4" t="s">
        <v>1248</v>
      </c>
      <c r="F24" s="4" t="s">
        <v>1249</v>
      </c>
      <c r="G24" s="4" t="s">
        <v>1202</v>
      </c>
      <c r="H24" s="13">
        <v>8</v>
      </c>
      <c r="I24" s="6" t="s">
        <v>65</v>
      </c>
      <c r="J24" s="6" t="s">
        <v>1250</v>
      </c>
    </row>
    <row r="25" spans="1:10" ht="30">
      <c r="A25" s="7" t="s">
        <v>60</v>
      </c>
      <c r="B25" s="15">
        <v>46044</v>
      </c>
      <c r="C25" s="5" t="s">
        <v>62</v>
      </c>
      <c r="D25" s="13">
        <v>2</v>
      </c>
      <c r="E25" s="4" t="s">
        <v>1251</v>
      </c>
      <c r="F25" s="4" t="s">
        <v>1252</v>
      </c>
      <c r="G25" s="4" t="s">
        <v>1253</v>
      </c>
      <c r="H25" s="13">
        <v>11</v>
      </c>
      <c r="I25" s="6" t="s">
        <v>65</v>
      </c>
      <c r="J25" s="6" t="s">
        <v>1254</v>
      </c>
    </row>
    <row r="26" spans="1:10">
      <c r="A26" s="7" t="s">
        <v>60</v>
      </c>
      <c r="B26" s="15">
        <v>46044</v>
      </c>
      <c r="C26" s="5" t="s">
        <v>62</v>
      </c>
      <c r="D26" s="13">
        <v>3</v>
      </c>
      <c r="E26" s="4" t="s">
        <v>1255</v>
      </c>
      <c r="F26" s="4" t="s">
        <v>1187</v>
      </c>
      <c r="G26" s="4" t="s">
        <v>1256</v>
      </c>
      <c r="H26" s="13">
        <v>14</v>
      </c>
      <c r="I26" s="6" t="s">
        <v>65</v>
      </c>
      <c r="J26" s="6" t="s">
        <v>1257</v>
      </c>
    </row>
    <row r="27" spans="1:10" ht="30">
      <c r="A27" s="7" t="s">
        <v>60</v>
      </c>
      <c r="B27" s="15">
        <v>46044</v>
      </c>
      <c r="C27" s="5" t="s">
        <v>62</v>
      </c>
      <c r="D27" s="13">
        <v>4</v>
      </c>
      <c r="E27" s="4" t="s">
        <v>1258</v>
      </c>
      <c r="F27" s="4" t="s">
        <v>1259</v>
      </c>
      <c r="G27" s="4" t="s">
        <v>1260</v>
      </c>
      <c r="H27" s="13">
        <v>17</v>
      </c>
      <c r="I27" s="6" t="s">
        <v>65</v>
      </c>
      <c r="J27" s="6" t="s">
        <v>1261</v>
      </c>
    </row>
    <row r="28" spans="1:10">
      <c r="A28" s="7" t="s">
        <v>66</v>
      </c>
      <c r="B28" s="15">
        <v>46078</v>
      </c>
      <c r="C28" s="5" t="s">
        <v>68</v>
      </c>
      <c r="D28" s="13">
        <v>1</v>
      </c>
      <c r="E28" s="4" t="s">
        <v>1262</v>
      </c>
      <c r="F28" s="4" t="s">
        <v>1249</v>
      </c>
      <c r="G28" s="4" t="s">
        <v>1202</v>
      </c>
      <c r="H28" s="13">
        <v>9</v>
      </c>
      <c r="I28" s="6" t="s">
        <v>71</v>
      </c>
      <c r="J28" s="6" t="s">
        <v>1263</v>
      </c>
    </row>
    <row r="29" spans="1:10" ht="30">
      <c r="A29" s="7" t="s">
        <v>66</v>
      </c>
      <c r="B29" s="15">
        <v>46078</v>
      </c>
      <c r="C29" s="5" t="s">
        <v>68</v>
      </c>
      <c r="D29" s="13">
        <v>2</v>
      </c>
      <c r="E29" s="4" t="s">
        <v>1264</v>
      </c>
      <c r="F29" s="4" t="s">
        <v>1252</v>
      </c>
      <c r="G29" s="4" t="s">
        <v>1253</v>
      </c>
      <c r="H29" s="13">
        <v>12</v>
      </c>
      <c r="I29" s="6" t="s">
        <v>71</v>
      </c>
      <c r="J29" s="6" t="s">
        <v>1265</v>
      </c>
    </row>
    <row r="30" spans="1:10" ht="30">
      <c r="A30" s="7" t="s">
        <v>72</v>
      </c>
      <c r="B30" s="15">
        <v>46084</v>
      </c>
      <c r="C30" s="5" t="s">
        <v>74</v>
      </c>
      <c r="D30" s="13">
        <v>1</v>
      </c>
      <c r="E30" s="4" t="s">
        <v>1266</v>
      </c>
      <c r="F30" s="4" t="s">
        <v>1249</v>
      </c>
      <c r="G30" s="4" t="s">
        <v>1202</v>
      </c>
      <c r="H30" s="13">
        <v>10</v>
      </c>
      <c r="I30" s="6" t="s">
        <v>77</v>
      </c>
      <c r="J30" s="6" t="s">
        <v>1267</v>
      </c>
    </row>
    <row r="31" spans="1:10" ht="30">
      <c r="A31" s="7" t="s">
        <v>72</v>
      </c>
      <c r="B31" s="15">
        <v>46084</v>
      </c>
      <c r="C31" s="5" t="s">
        <v>74</v>
      </c>
      <c r="D31" s="13">
        <v>2</v>
      </c>
      <c r="E31" s="4" t="s">
        <v>1268</v>
      </c>
      <c r="F31" s="4" t="s">
        <v>1252</v>
      </c>
      <c r="G31" s="4" t="s">
        <v>1253</v>
      </c>
      <c r="H31" s="13">
        <v>2</v>
      </c>
      <c r="I31" s="6" t="s">
        <v>77</v>
      </c>
      <c r="J31" s="6" t="s">
        <v>1269</v>
      </c>
    </row>
    <row r="32" spans="1:10">
      <c r="A32" s="7" t="s">
        <v>72</v>
      </c>
      <c r="B32" s="15">
        <v>46084</v>
      </c>
      <c r="C32" s="5" t="s">
        <v>74</v>
      </c>
      <c r="D32" s="13">
        <v>3</v>
      </c>
      <c r="E32" s="4" t="s">
        <v>1270</v>
      </c>
      <c r="F32" s="4" t="s">
        <v>1187</v>
      </c>
      <c r="G32" s="4" t="s">
        <v>1256</v>
      </c>
      <c r="H32" s="13">
        <v>5</v>
      </c>
      <c r="I32" s="6" t="s">
        <v>77</v>
      </c>
      <c r="J32" s="6" t="s">
        <v>1271</v>
      </c>
    </row>
    <row r="33" spans="1:10" ht="30">
      <c r="A33" s="7" t="s">
        <v>78</v>
      </c>
      <c r="B33" s="15">
        <v>46118</v>
      </c>
      <c r="C33" s="5" t="s">
        <v>80</v>
      </c>
      <c r="D33" s="13">
        <v>1</v>
      </c>
      <c r="E33" s="4" t="s">
        <v>1272</v>
      </c>
      <c r="F33" s="4" t="s">
        <v>1249</v>
      </c>
      <c r="G33" s="4" t="s">
        <v>1202</v>
      </c>
      <c r="H33" s="13">
        <v>11</v>
      </c>
      <c r="I33" s="6" t="s">
        <v>83</v>
      </c>
      <c r="J33" s="6" t="s">
        <v>1273</v>
      </c>
    </row>
    <row r="34" spans="1:10" ht="30">
      <c r="A34" s="7" t="s">
        <v>78</v>
      </c>
      <c r="B34" s="15">
        <v>46118</v>
      </c>
      <c r="C34" s="5" t="s">
        <v>80</v>
      </c>
      <c r="D34" s="13">
        <v>2</v>
      </c>
      <c r="E34" s="4" t="s">
        <v>1274</v>
      </c>
      <c r="F34" s="4" t="s">
        <v>1252</v>
      </c>
      <c r="G34" s="4" t="s">
        <v>1253</v>
      </c>
      <c r="H34" s="13">
        <v>14</v>
      </c>
      <c r="I34" s="6" t="s">
        <v>83</v>
      </c>
      <c r="J34" s="6" t="s">
        <v>1275</v>
      </c>
    </row>
    <row r="35" spans="1:10">
      <c r="A35" s="7" t="s">
        <v>78</v>
      </c>
      <c r="B35" s="15">
        <v>46118</v>
      </c>
      <c r="C35" s="5" t="s">
        <v>80</v>
      </c>
      <c r="D35" s="13">
        <v>3</v>
      </c>
      <c r="E35" s="4" t="s">
        <v>1276</v>
      </c>
      <c r="F35" s="4" t="s">
        <v>1187</v>
      </c>
      <c r="G35" s="4" t="s">
        <v>1256</v>
      </c>
      <c r="H35" s="13">
        <v>17</v>
      </c>
      <c r="I35" s="6" t="s">
        <v>83</v>
      </c>
      <c r="J35" s="6" t="s">
        <v>1277</v>
      </c>
    </row>
    <row r="36" spans="1:10" ht="30">
      <c r="A36" s="7" t="s">
        <v>78</v>
      </c>
      <c r="B36" s="15">
        <v>46118</v>
      </c>
      <c r="C36" s="5" t="s">
        <v>80</v>
      </c>
      <c r="D36" s="13">
        <v>4</v>
      </c>
      <c r="E36" s="4" t="s">
        <v>1278</v>
      </c>
      <c r="F36" s="4" t="s">
        <v>1259</v>
      </c>
      <c r="G36" s="4" t="s">
        <v>1260</v>
      </c>
      <c r="H36" s="13">
        <v>2</v>
      </c>
      <c r="I36" s="6" t="s">
        <v>83</v>
      </c>
      <c r="J36" s="6" t="s">
        <v>1279</v>
      </c>
    </row>
    <row r="37" spans="1:10" ht="30">
      <c r="A37" s="7" t="s">
        <v>84</v>
      </c>
      <c r="B37" s="15">
        <v>46151</v>
      </c>
      <c r="C37" s="5" t="s">
        <v>86</v>
      </c>
      <c r="D37" s="13">
        <v>1</v>
      </c>
      <c r="E37" s="4" t="s">
        <v>1280</v>
      </c>
      <c r="F37" s="4" t="s">
        <v>1281</v>
      </c>
      <c r="G37" s="4" t="s">
        <v>1202</v>
      </c>
      <c r="H37" s="13">
        <v>12</v>
      </c>
      <c r="I37" s="6" t="s">
        <v>89</v>
      </c>
      <c r="J37" s="6" t="s">
        <v>1282</v>
      </c>
    </row>
    <row r="38" spans="1:10" ht="30">
      <c r="A38" s="7" t="s">
        <v>84</v>
      </c>
      <c r="B38" s="15">
        <v>46151</v>
      </c>
      <c r="C38" s="5" t="s">
        <v>86</v>
      </c>
      <c r="D38" s="13">
        <v>2</v>
      </c>
      <c r="E38" s="4" t="s">
        <v>1283</v>
      </c>
      <c r="F38" s="4" t="s">
        <v>1284</v>
      </c>
      <c r="G38" s="4" t="s">
        <v>1285</v>
      </c>
      <c r="H38" s="13">
        <v>15</v>
      </c>
      <c r="I38" s="6" t="s">
        <v>89</v>
      </c>
      <c r="J38" s="6" t="s">
        <v>1286</v>
      </c>
    </row>
    <row r="39" spans="1:10" ht="30">
      <c r="A39" s="7" t="s">
        <v>84</v>
      </c>
      <c r="B39" s="15">
        <v>46151</v>
      </c>
      <c r="C39" s="5" t="s">
        <v>86</v>
      </c>
      <c r="D39" s="13">
        <v>3</v>
      </c>
      <c r="E39" s="4" t="s">
        <v>1287</v>
      </c>
      <c r="F39" s="4" t="s">
        <v>1288</v>
      </c>
      <c r="G39" s="4" t="s">
        <v>1289</v>
      </c>
      <c r="H39" s="13">
        <v>18</v>
      </c>
      <c r="I39" s="6" t="s">
        <v>89</v>
      </c>
      <c r="J39" s="6" t="s">
        <v>1290</v>
      </c>
    </row>
    <row r="40" spans="1:10">
      <c r="A40" s="7" t="s">
        <v>90</v>
      </c>
      <c r="B40" s="15">
        <v>46185</v>
      </c>
      <c r="C40" s="5" t="s">
        <v>92</v>
      </c>
      <c r="D40" s="13">
        <v>1</v>
      </c>
      <c r="E40" s="4" t="s">
        <v>1291</v>
      </c>
      <c r="F40" s="4" t="s">
        <v>1292</v>
      </c>
      <c r="G40" s="4" t="s">
        <v>1293</v>
      </c>
      <c r="H40" s="13">
        <v>13</v>
      </c>
      <c r="I40" s="6" t="s">
        <v>95</v>
      </c>
      <c r="J40" s="6" t="s">
        <v>1294</v>
      </c>
    </row>
    <row r="41" spans="1:10">
      <c r="A41" s="7" t="s">
        <v>90</v>
      </c>
      <c r="B41" s="15">
        <v>46185</v>
      </c>
      <c r="C41" s="5" t="s">
        <v>92</v>
      </c>
      <c r="D41" s="13">
        <v>2</v>
      </c>
      <c r="E41" s="4" t="s">
        <v>1295</v>
      </c>
      <c r="F41" s="4" t="s">
        <v>1296</v>
      </c>
      <c r="G41" s="4" t="s">
        <v>1202</v>
      </c>
      <c r="H41" s="13">
        <v>16</v>
      </c>
      <c r="I41" s="6" t="s">
        <v>95</v>
      </c>
      <c r="J41" s="6" t="s">
        <v>1297</v>
      </c>
    </row>
    <row r="42" spans="1:10">
      <c r="A42" s="7" t="s">
        <v>96</v>
      </c>
      <c r="B42" s="15">
        <v>46037</v>
      </c>
      <c r="C42" s="5" t="s">
        <v>98</v>
      </c>
      <c r="D42" s="13">
        <v>1</v>
      </c>
      <c r="E42" s="4" t="s">
        <v>1298</v>
      </c>
      <c r="F42" s="4" t="s">
        <v>1299</v>
      </c>
      <c r="G42" s="4" t="s">
        <v>1300</v>
      </c>
      <c r="H42" s="13">
        <v>14</v>
      </c>
      <c r="I42" s="6" t="s">
        <v>101</v>
      </c>
      <c r="J42" s="6" t="s">
        <v>1301</v>
      </c>
    </row>
    <row r="43" spans="1:10">
      <c r="A43" s="7" t="s">
        <v>96</v>
      </c>
      <c r="B43" s="15">
        <v>46037</v>
      </c>
      <c r="C43" s="5" t="s">
        <v>98</v>
      </c>
      <c r="D43" s="13">
        <v>2</v>
      </c>
      <c r="E43" s="4" t="s">
        <v>1302</v>
      </c>
      <c r="F43" s="4" t="s">
        <v>1303</v>
      </c>
      <c r="G43" s="4" t="s">
        <v>1304</v>
      </c>
      <c r="H43" s="13">
        <v>17</v>
      </c>
      <c r="I43" s="6" t="s">
        <v>101</v>
      </c>
      <c r="J43" s="6" t="s">
        <v>1305</v>
      </c>
    </row>
    <row r="44" spans="1:10">
      <c r="A44" s="7" t="s">
        <v>96</v>
      </c>
      <c r="B44" s="15">
        <v>46037</v>
      </c>
      <c r="C44" s="5" t="s">
        <v>98</v>
      </c>
      <c r="D44" s="13">
        <v>3</v>
      </c>
      <c r="E44" s="4" t="s">
        <v>1306</v>
      </c>
      <c r="F44" s="4" t="s">
        <v>1307</v>
      </c>
      <c r="G44" s="4" t="s">
        <v>1308</v>
      </c>
      <c r="H44" s="13">
        <v>20</v>
      </c>
      <c r="I44" s="6" t="s">
        <v>101</v>
      </c>
      <c r="J44" s="6" t="s">
        <v>1309</v>
      </c>
    </row>
    <row r="45" spans="1:10" ht="30">
      <c r="A45" s="7" t="s">
        <v>102</v>
      </c>
      <c r="B45" s="15">
        <v>46071</v>
      </c>
      <c r="C45" s="5" t="s">
        <v>104</v>
      </c>
      <c r="D45" s="13">
        <v>1</v>
      </c>
      <c r="E45" s="4" t="s">
        <v>1310</v>
      </c>
      <c r="F45" s="4" t="s">
        <v>1217</v>
      </c>
      <c r="G45" s="4" t="s">
        <v>1311</v>
      </c>
      <c r="H45" s="13">
        <v>15</v>
      </c>
      <c r="I45" s="6" t="s">
        <v>107</v>
      </c>
      <c r="J45" s="6" t="s">
        <v>1312</v>
      </c>
    </row>
    <row r="46" spans="1:10" ht="30">
      <c r="A46" s="7" t="s">
        <v>102</v>
      </c>
      <c r="B46" s="15">
        <v>46071</v>
      </c>
      <c r="C46" s="5" t="s">
        <v>104</v>
      </c>
      <c r="D46" s="13">
        <v>2</v>
      </c>
      <c r="E46" s="4" t="s">
        <v>1313</v>
      </c>
      <c r="F46" s="4" t="s">
        <v>1314</v>
      </c>
      <c r="G46" s="4" t="s">
        <v>1242</v>
      </c>
      <c r="H46" s="13">
        <v>18</v>
      </c>
      <c r="I46" s="6" t="s">
        <v>107</v>
      </c>
      <c r="J46" s="6" t="s">
        <v>1315</v>
      </c>
    </row>
    <row r="47" spans="1:10" ht="30">
      <c r="A47" s="7" t="s">
        <v>102</v>
      </c>
      <c r="B47" s="15">
        <v>46071</v>
      </c>
      <c r="C47" s="5" t="s">
        <v>104</v>
      </c>
      <c r="D47" s="13">
        <v>3</v>
      </c>
      <c r="E47" s="4" t="s">
        <v>1316</v>
      </c>
      <c r="F47" s="4" t="s">
        <v>1317</v>
      </c>
      <c r="G47" s="4" t="s">
        <v>1214</v>
      </c>
      <c r="H47" s="13">
        <v>21</v>
      </c>
      <c r="I47" s="6" t="s">
        <v>107</v>
      </c>
      <c r="J47" s="6" t="s">
        <v>1318</v>
      </c>
    </row>
    <row r="48" spans="1:10" ht="30">
      <c r="A48" s="7" t="s">
        <v>108</v>
      </c>
      <c r="B48" s="15">
        <v>46102</v>
      </c>
      <c r="C48" s="5" t="s">
        <v>110</v>
      </c>
      <c r="D48" s="13">
        <v>1</v>
      </c>
      <c r="E48" s="4" t="s">
        <v>1319</v>
      </c>
      <c r="F48" s="4" t="s">
        <v>1281</v>
      </c>
      <c r="G48" s="4" t="s">
        <v>1202</v>
      </c>
      <c r="H48" s="13">
        <v>16</v>
      </c>
      <c r="I48" s="6" t="s">
        <v>113</v>
      </c>
      <c r="J48" s="6" t="s">
        <v>1320</v>
      </c>
    </row>
    <row r="49" spans="1:10">
      <c r="A49" s="7" t="s">
        <v>108</v>
      </c>
      <c r="B49" s="15">
        <v>46102</v>
      </c>
      <c r="C49" s="5" t="s">
        <v>110</v>
      </c>
      <c r="D49" s="13">
        <v>2</v>
      </c>
      <c r="E49" s="4" t="s">
        <v>1321</v>
      </c>
      <c r="F49" s="4" t="s">
        <v>1284</v>
      </c>
      <c r="G49" s="4" t="s">
        <v>1285</v>
      </c>
      <c r="H49" s="13">
        <v>19</v>
      </c>
      <c r="I49" s="6" t="s">
        <v>113</v>
      </c>
      <c r="J49" s="6" t="s">
        <v>1322</v>
      </c>
    </row>
    <row r="50" spans="1:10" ht="30">
      <c r="A50" s="7" t="s">
        <v>108</v>
      </c>
      <c r="B50" s="15">
        <v>46102</v>
      </c>
      <c r="C50" s="5" t="s">
        <v>110</v>
      </c>
      <c r="D50" s="13">
        <v>3</v>
      </c>
      <c r="E50" s="4" t="s">
        <v>1323</v>
      </c>
      <c r="F50" s="4" t="s">
        <v>1288</v>
      </c>
      <c r="G50" s="4" t="s">
        <v>1289</v>
      </c>
      <c r="H50" s="13">
        <v>22</v>
      </c>
      <c r="I50" s="6" t="s">
        <v>113</v>
      </c>
      <c r="J50" s="6" t="s">
        <v>1324</v>
      </c>
    </row>
    <row r="51" spans="1:10" ht="30">
      <c r="A51" s="7" t="s">
        <v>114</v>
      </c>
      <c r="B51" s="15">
        <v>46136</v>
      </c>
      <c r="C51" s="5" t="s">
        <v>116</v>
      </c>
      <c r="D51" s="13">
        <v>1</v>
      </c>
      <c r="E51" s="4" t="s">
        <v>1325</v>
      </c>
      <c r="F51" s="4" t="s">
        <v>1281</v>
      </c>
      <c r="G51" s="4" t="s">
        <v>1202</v>
      </c>
      <c r="H51" s="13">
        <v>17</v>
      </c>
      <c r="I51" s="6" t="s">
        <v>119</v>
      </c>
      <c r="J51" s="6" t="s">
        <v>1326</v>
      </c>
    </row>
    <row r="52" spans="1:10" ht="30">
      <c r="A52" s="7" t="s">
        <v>114</v>
      </c>
      <c r="B52" s="15">
        <v>46136</v>
      </c>
      <c r="C52" s="5" t="s">
        <v>116</v>
      </c>
      <c r="D52" s="13">
        <v>2</v>
      </c>
      <c r="E52" s="4" t="s">
        <v>1327</v>
      </c>
      <c r="F52" s="4" t="s">
        <v>1284</v>
      </c>
      <c r="G52" s="4" t="s">
        <v>1285</v>
      </c>
      <c r="H52" s="13">
        <v>20</v>
      </c>
      <c r="I52" s="6" t="s">
        <v>119</v>
      </c>
      <c r="J52" s="6" t="s">
        <v>1328</v>
      </c>
    </row>
    <row r="53" spans="1:10" ht="30">
      <c r="A53" s="7" t="s">
        <v>120</v>
      </c>
      <c r="B53" s="15">
        <v>46144</v>
      </c>
      <c r="C53" s="5" t="s">
        <v>122</v>
      </c>
      <c r="D53" s="13">
        <v>1</v>
      </c>
      <c r="E53" s="4" t="s">
        <v>1329</v>
      </c>
      <c r="F53" s="4" t="s">
        <v>1281</v>
      </c>
      <c r="G53" s="4" t="s">
        <v>1202</v>
      </c>
      <c r="H53" s="13">
        <v>9</v>
      </c>
      <c r="I53" s="6" t="s">
        <v>125</v>
      </c>
      <c r="J53" s="6" t="s">
        <v>1330</v>
      </c>
    </row>
    <row r="54" spans="1:10" ht="30">
      <c r="A54" s="7" t="s">
        <v>120</v>
      </c>
      <c r="B54" s="15">
        <v>46144</v>
      </c>
      <c r="C54" s="5" t="s">
        <v>122</v>
      </c>
      <c r="D54" s="13">
        <v>2</v>
      </c>
      <c r="E54" s="4" t="s">
        <v>1331</v>
      </c>
      <c r="F54" s="4" t="s">
        <v>1284</v>
      </c>
      <c r="G54" s="4" t="s">
        <v>1285</v>
      </c>
      <c r="H54" s="13">
        <v>3</v>
      </c>
      <c r="I54" s="6" t="s">
        <v>125</v>
      </c>
      <c r="J54" s="6" t="s">
        <v>1332</v>
      </c>
    </row>
    <row r="55" spans="1:10" ht="30">
      <c r="A55" s="7" t="s">
        <v>120</v>
      </c>
      <c r="B55" s="15">
        <v>46144</v>
      </c>
      <c r="C55" s="5" t="s">
        <v>122</v>
      </c>
      <c r="D55" s="13">
        <v>3</v>
      </c>
      <c r="E55" s="4" t="s">
        <v>1333</v>
      </c>
      <c r="F55" s="4" t="s">
        <v>1288</v>
      </c>
      <c r="G55" s="4" t="s">
        <v>1289</v>
      </c>
      <c r="H55" s="13">
        <v>6</v>
      </c>
      <c r="I55" s="6" t="s">
        <v>125</v>
      </c>
      <c r="J55" s="6" t="s">
        <v>1334</v>
      </c>
    </row>
    <row r="56" spans="1:10" ht="30">
      <c r="A56" s="7" t="s">
        <v>126</v>
      </c>
      <c r="B56" s="15">
        <v>46178</v>
      </c>
      <c r="C56" s="5" t="s">
        <v>128</v>
      </c>
      <c r="D56" s="13">
        <v>1</v>
      </c>
      <c r="E56" s="4" t="s">
        <v>1335</v>
      </c>
      <c r="F56" s="4" t="s">
        <v>1249</v>
      </c>
      <c r="G56" s="4" t="s">
        <v>1202</v>
      </c>
      <c r="H56" s="13">
        <v>3</v>
      </c>
      <c r="I56" s="6" t="s">
        <v>131</v>
      </c>
      <c r="J56" s="6" t="s">
        <v>1336</v>
      </c>
    </row>
    <row r="57" spans="1:10" ht="30">
      <c r="A57" s="7" t="s">
        <v>126</v>
      </c>
      <c r="B57" s="15">
        <v>46178</v>
      </c>
      <c r="C57" s="5" t="s">
        <v>128</v>
      </c>
      <c r="D57" s="13">
        <v>2</v>
      </c>
      <c r="E57" s="4" t="s">
        <v>1337</v>
      </c>
      <c r="F57" s="4" t="s">
        <v>1252</v>
      </c>
      <c r="G57" s="4" t="s">
        <v>1253</v>
      </c>
      <c r="H57" s="13">
        <v>6</v>
      </c>
      <c r="I57" s="6" t="s">
        <v>131</v>
      </c>
      <c r="J57" s="6" t="s">
        <v>1338</v>
      </c>
    </row>
    <row r="58" spans="1:10">
      <c r="A58" s="7" t="s">
        <v>126</v>
      </c>
      <c r="B58" s="15">
        <v>46178</v>
      </c>
      <c r="C58" s="5" t="s">
        <v>128</v>
      </c>
      <c r="D58" s="13">
        <v>3</v>
      </c>
      <c r="E58" s="4" t="s">
        <v>1339</v>
      </c>
      <c r="F58" s="4" t="s">
        <v>1187</v>
      </c>
      <c r="G58" s="4" t="s">
        <v>1256</v>
      </c>
      <c r="H58" s="13">
        <v>9</v>
      </c>
      <c r="I58" s="6" t="s">
        <v>131</v>
      </c>
      <c r="J58" s="6" t="s">
        <v>1340</v>
      </c>
    </row>
    <row r="59" spans="1:10" ht="30">
      <c r="A59" s="7" t="s">
        <v>126</v>
      </c>
      <c r="B59" s="15">
        <v>46178</v>
      </c>
      <c r="C59" s="5" t="s">
        <v>128</v>
      </c>
      <c r="D59" s="13">
        <v>4</v>
      </c>
      <c r="E59" s="4" t="s">
        <v>1341</v>
      </c>
      <c r="F59" s="4" t="s">
        <v>1259</v>
      </c>
      <c r="G59" s="4" t="s">
        <v>1260</v>
      </c>
      <c r="H59" s="13">
        <v>12</v>
      </c>
      <c r="I59" s="6" t="s">
        <v>131</v>
      </c>
      <c r="J59" s="6" t="s">
        <v>1342</v>
      </c>
    </row>
    <row r="60" spans="1:10" ht="30">
      <c r="A60" s="7" t="s">
        <v>132</v>
      </c>
      <c r="B60" s="15">
        <v>46030</v>
      </c>
      <c r="C60" s="5" t="s">
        <v>134</v>
      </c>
      <c r="D60" s="13">
        <v>1</v>
      </c>
      <c r="E60" s="4" t="s">
        <v>1343</v>
      </c>
      <c r="F60" s="4" t="s">
        <v>1281</v>
      </c>
      <c r="G60" s="4" t="s">
        <v>1202</v>
      </c>
      <c r="H60" s="13">
        <v>20</v>
      </c>
      <c r="I60" s="6" t="s">
        <v>137</v>
      </c>
      <c r="J60" s="6" t="s">
        <v>1344</v>
      </c>
    </row>
    <row r="61" spans="1:10" ht="30">
      <c r="A61" s="7" t="s">
        <v>132</v>
      </c>
      <c r="B61" s="15">
        <v>46030</v>
      </c>
      <c r="C61" s="5" t="s">
        <v>134</v>
      </c>
      <c r="D61" s="13">
        <v>2</v>
      </c>
      <c r="E61" s="4" t="s">
        <v>1345</v>
      </c>
      <c r="F61" s="4" t="s">
        <v>1284</v>
      </c>
      <c r="G61" s="4" t="s">
        <v>1285</v>
      </c>
      <c r="H61" s="13">
        <v>23</v>
      </c>
      <c r="I61" s="6" t="s">
        <v>137</v>
      </c>
      <c r="J61" s="6" t="s">
        <v>1346</v>
      </c>
    </row>
    <row r="62" spans="1:10" ht="30">
      <c r="A62" s="7" t="s">
        <v>132</v>
      </c>
      <c r="B62" s="15">
        <v>46030</v>
      </c>
      <c r="C62" s="5" t="s">
        <v>134</v>
      </c>
      <c r="D62" s="13">
        <v>3</v>
      </c>
      <c r="E62" s="4" t="s">
        <v>1347</v>
      </c>
      <c r="F62" s="4" t="s">
        <v>1288</v>
      </c>
      <c r="G62" s="4" t="s">
        <v>1289</v>
      </c>
      <c r="H62" s="13">
        <v>3</v>
      </c>
      <c r="I62" s="6" t="s">
        <v>137</v>
      </c>
      <c r="J62" s="6" t="s">
        <v>1348</v>
      </c>
    </row>
    <row r="63" spans="1:10" ht="30">
      <c r="A63" s="7" t="s">
        <v>138</v>
      </c>
      <c r="B63" s="15">
        <v>46064</v>
      </c>
      <c r="C63" s="5" t="s">
        <v>140</v>
      </c>
      <c r="D63" s="13">
        <v>1</v>
      </c>
      <c r="E63" s="4" t="s">
        <v>1349</v>
      </c>
      <c r="F63" s="4" t="s">
        <v>1249</v>
      </c>
      <c r="G63" s="4" t="s">
        <v>1202</v>
      </c>
      <c r="H63" s="13">
        <v>21</v>
      </c>
      <c r="I63" s="6" t="s">
        <v>143</v>
      </c>
      <c r="J63" s="6" t="s">
        <v>1350</v>
      </c>
    </row>
    <row r="64" spans="1:10" ht="30">
      <c r="A64" s="7" t="s">
        <v>138</v>
      </c>
      <c r="B64" s="15">
        <v>46064</v>
      </c>
      <c r="C64" s="5" t="s">
        <v>140</v>
      </c>
      <c r="D64" s="13">
        <v>2</v>
      </c>
      <c r="E64" s="4" t="s">
        <v>1351</v>
      </c>
      <c r="F64" s="4" t="s">
        <v>1252</v>
      </c>
      <c r="G64" s="4" t="s">
        <v>1253</v>
      </c>
      <c r="H64" s="13">
        <v>24</v>
      </c>
      <c r="I64" s="6" t="s">
        <v>143</v>
      </c>
      <c r="J64" s="6" t="s">
        <v>1352</v>
      </c>
    </row>
    <row r="65" spans="1:10" ht="30">
      <c r="A65" s="7" t="s">
        <v>144</v>
      </c>
      <c r="B65" s="15">
        <v>46095</v>
      </c>
      <c r="C65" s="5" t="s">
        <v>146</v>
      </c>
      <c r="D65" s="13">
        <v>1</v>
      </c>
      <c r="E65" s="4" t="s">
        <v>1353</v>
      </c>
      <c r="F65" s="4" t="s">
        <v>1225</v>
      </c>
      <c r="G65" s="4" t="s">
        <v>1202</v>
      </c>
      <c r="H65" s="13">
        <v>22</v>
      </c>
      <c r="I65" s="6" t="s">
        <v>149</v>
      </c>
      <c r="J65" s="6" t="s">
        <v>1354</v>
      </c>
    </row>
    <row r="66" spans="1:10">
      <c r="A66" s="7" t="s">
        <v>144</v>
      </c>
      <c r="B66" s="15">
        <v>46095</v>
      </c>
      <c r="C66" s="5" t="s">
        <v>146</v>
      </c>
      <c r="D66" s="13">
        <v>2</v>
      </c>
      <c r="E66" s="4" t="s">
        <v>1355</v>
      </c>
      <c r="F66" s="4" t="s">
        <v>1228</v>
      </c>
      <c r="G66" s="4" t="s">
        <v>1184</v>
      </c>
      <c r="H66" s="13">
        <v>25</v>
      </c>
      <c r="I66" s="6" t="s">
        <v>149</v>
      </c>
      <c r="J66" s="6" t="s">
        <v>1356</v>
      </c>
    </row>
    <row r="67" spans="1:10">
      <c r="A67" s="7" t="s">
        <v>144</v>
      </c>
      <c r="B67" s="15">
        <v>46095</v>
      </c>
      <c r="C67" s="5" t="s">
        <v>146</v>
      </c>
      <c r="D67" s="13">
        <v>3</v>
      </c>
      <c r="E67" s="4" t="s">
        <v>1357</v>
      </c>
      <c r="F67" s="4" t="s">
        <v>1231</v>
      </c>
      <c r="G67" s="4" t="s">
        <v>1232</v>
      </c>
      <c r="H67" s="13">
        <v>28</v>
      </c>
      <c r="I67" s="6" t="s">
        <v>149</v>
      </c>
      <c r="J67" s="6" t="s">
        <v>1358</v>
      </c>
    </row>
    <row r="68" spans="1:10">
      <c r="A68" s="7" t="s">
        <v>150</v>
      </c>
      <c r="B68" s="15">
        <v>46129</v>
      </c>
      <c r="C68" s="5" t="s">
        <v>152</v>
      </c>
      <c r="D68" s="13">
        <v>1</v>
      </c>
      <c r="E68" s="4" t="s">
        <v>1359</v>
      </c>
      <c r="F68" s="4" t="s">
        <v>1225</v>
      </c>
      <c r="G68" s="4" t="s">
        <v>1202</v>
      </c>
      <c r="H68" s="13">
        <v>23</v>
      </c>
      <c r="I68" s="6" t="s">
        <v>155</v>
      </c>
      <c r="J68" s="6" t="s">
        <v>1360</v>
      </c>
    </row>
    <row r="69" spans="1:10">
      <c r="A69" s="7" t="s">
        <v>150</v>
      </c>
      <c r="B69" s="15">
        <v>46129</v>
      </c>
      <c r="C69" s="5" t="s">
        <v>152</v>
      </c>
      <c r="D69" s="13">
        <v>2</v>
      </c>
      <c r="E69" s="4" t="s">
        <v>1361</v>
      </c>
      <c r="F69" s="4" t="s">
        <v>1228</v>
      </c>
      <c r="G69" s="4" t="s">
        <v>1184</v>
      </c>
      <c r="H69" s="13">
        <v>26</v>
      </c>
      <c r="I69" s="6" t="s">
        <v>155</v>
      </c>
      <c r="J69" s="6" t="s">
        <v>1362</v>
      </c>
    </row>
    <row r="70" spans="1:10">
      <c r="A70" s="7" t="s">
        <v>150</v>
      </c>
      <c r="B70" s="15">
        <v>46129</v>
      </c>
      <c r="C70" s="5" t="s">
        <v>152</v>
      </c>
      <c r="D70" s="13">
        <v>3</v>
      </c>
      <c r="E70" s="4" t="s">
        <v>1363</v>
      </c>
      <c r="F70" s="4" t="s">
        <v>1231</v>
      </c>
      <c r="G70" s="4" t="s">
        <v>1232</v>
      </c>
      <c r="H70" s="13">
        <v>29</v>
      </c>
      <c r="I70" s="6" t="s">
        <v>155</v>
      </c>
      <c r="J70" s="6" t="s">
        <v>1364</v>
      </c>
    </row>
    <row r="71" spans="1:10">
      <c r="A71" s="7" t="s">
        <v>150</v>
      </c>
      <c r="B71" s="15">
        <v>46129</v>
      </c>
      <c r="C71" s="5" t="s">
        <v>152</v>
      </c>
      <c r="D71" s="13">
        <v>4</v>
      </c>
      <c r="E71" s="4" t="s">
        <v>1365</v>
      </c>
      <c r="F71" s="4" t="s">
        <v>1366</v>
      </c>
      <c r="G71" s="4" t="s">
        <v>1367</v>
      </c>
      <c r="H71" s="13">
        <v>32</v>
      </c>
      <c r="I71" s="6" t="s">
        <v>155</v>
      </c>
      <c r="J71" s="6" t="s">
        <v>1368</v>
      </c>
    </row>
    <row r="72" spans="1:10" ht="30">
      <c r="A72" s="7" t="s">
        <v>156</v>
      </c>
      <c r="B72" s="15">
        <v>46162</v>
      </c>
      <c r="C72" s="5" t="s">
        <v>158</v>
      </c>
      <c r="D72" s="13">
        <v>1</v>
      </c>
      <c r="E72" s="4" t="s">
        <v>1369</v>
      </c>
      <c r="F72" s="4" t="s">
        <v>1370</v>
      </c>
      <c r="G72" s="4" t="s">
        <v>1371</v>
      </c>
      <c r="H72" s="13">
        <v>24</v>
      </c>
      <c r="I72" s="6" t="s">
        <v>161</v>
      </c>
      <c r="J72" s="6" t="s">
        <v>1372</v>
      </c>
    </row>
    <row r="73" spans="1:10" ht="30">
      <c r="A73" s="7" t="s">
        <v>156</v>
      </c>
      <c r="B73" s="15">
        <v>46162</v>
      </c>
      <c r="C73" s="5" t="s">
        <v>158</v>
      </c>
      <c r="D73" s="13">
        <v>2</v>
      </c>
      <c r="E73" s="4" t="s">
        <v>1373</v>
      </c>
      <c r="F73" s="4" t="s">
        <v>1374</v>
      </c>
      <c r="G73" s="4" t="s">
        <v>1375</v>
      </c>
      <c r="H73" s="13">
        <v>27</v>
      </c>
      <c r="I73" s="6" t="s">
        <v>161</v>
      </c>
      <c r="J73" s="6" t="s">
        <v>1376</v>
      </c>
    </row>
    <row r="74" spans="1:10" ht="30">
      <c r="A74" s="7" t="s">
        <v>156</v>
      </c>
      <c r="B74" s="15">
        <v>46162</v>
      </c>
      <c r="C74" s="5" t="s">
        <v>158</v>
      </c>
      <c r="D74" s="13">
        <v>3</v>
      </c>
      <c r="E74" s="4" t="s">
        <v>1377</v>
      </c>
      <c r="F74" s="4" t="s">
        <v>1378</v>
      </c>
      <c r="G74" s="4" t="s">
        <v>1379</v>
      </c>
      <c r="H74" s="13">
        <v>30</v>
      </c>
      <c r="I74" s="6" t="s">
        <v>161</v>
      </c>
      <c r="J74" s="6" t="s">
        <v>1380</v>
      </c>
    </row>
    <row r="75" spans="1:10" ht="30">
      <c r="A75" s="7" t="s">
        <v>162</v>
      </c>
      <c r="B75" s="15">
        <v>46196</v>
      </c>
      <c r="C75" s="5" t="s">
        <v>164</v>
      </c>
      <c r="D75" s="13">
        <v>1</v>
      </c>
      <c r="E75" s="4" t="s">
        <v>1381</v>
      </c>
      <c r="F75" s="4" t="s">
        <v>1281</v>
      </c>
      <c r="G75" s="4" t="s">
        <v>1202</v>
      </c>
      <c r="H75" s="13">
        <v>25</v>
      </c>
      <c r="I75" s="6" t="s">
        <v>167</v>
      </c>
      <c r="J75" s="6" t="s">
        <v>1382</v>
      </c>
    </row>
    <row r="76" spans="1:10" ht="30">
      <c r="A76" s="7" t="s">
        <v>162</v>
      </c>
      <c r="B76" s="15">
        <v>46196</v>
      </c>
      <c r="C76" s="5" t="s">
        <v>164</v>
      </c>
      <c r="D76" s="13">
        <v>2</v>
      </c>
      <c r="E76" s="4" t="s">
        <v>1383</v>
      </c>
      <c r="F76" s="4" t="s">
        <v>1284</v>
      </c>
      <c r="G76" s="4" t="s">
        <v>1285</v>
      </c>
      <c r="H76" s="13">
        <v>28</v>
      </c>
      <c r="I76" s="6" t="s">
        <v>167</v>
      </c>
      <c r="J76" s="6" t="s">
        <v>1384</v>
      </c>
    </row>
    <row r="77" spans="1:10" ht="30">
      <c r="A77" s="7" t="s">
        <v>168</v>
      </c>
      <c r="B77" s="15">
        <v>46023</v>
      </c>
      <c r="C77" s="5" t="s">
        <v>170</v>
      </c>
      <c r="D77" s="13">
        <v>1</v>
      </c>
      <c r="E77" s="4" t="s">
        <v>1385</v>
      </c>
      <c r="F77" s="4" t="s">
        <v>1281</v>
      </c>
      <c r="G77" s="4" t="s">
        <v>1202</v>
      </c>
      <c r="H77" s="13">
        <v>5</v>
      </c>
      <c r="I77" s="6" t="s">
        <v>173</v>
      </c>
      <c r="J77" s="6" t="s">
        <v>1386</v>
      </c>
    </row>
    <row r="78" spans="1:10" ht="30">
      <c r="A78" s="7" t="s">
        <v>168</v>
      </c>
      <c r="B78" s="15">
        <v>46023</v>
      </c>
      <c r="C78" s="5" t="s">
        <v>170</v>
      </c>
      <c r="D78" s="13">
        <v>2</v>
      </c>
      <c r="E78" s="4" t="s">
        <v>1387</v>
      </c>
      <c r="F78" s="4" t="s">
        <v>1284</v>
      </c>
      <c r="G78" s="4" t="s">
        <v>1285</v>
      </c>
      <c r="H78" s="13">
        <v>1</v>
      </c>
      <c r="I78" s="6" t="s">
        <v>173</v>
      </c>
      <c r="J78" s="6" t="s">
        <v>1388</v>
      </c>
    </row>
    <row r="79" spans="1:10" ht="30">
      <c r="A79" s="7" t="s">
        <v>168</v>
      </c>
      <c r="B79" s="15">
        <v>46023</v>
      </c>
      <c r="C79" s="5" t="s">
        <v>170</v>
      </c>
      <c r="D79" s="13">
        <v>3</v>
      </c>
      <c r="E79" s="4" t="s">
        <v>1389</v>
      </c>
      <c r="F79" s="4" t="s">
        <v>1288</v>
      </c>
      <c r="G79" s="4" t="s">
        <v>1289</v>
      </c>
      <c r="H79" s="13">
        <v>4</v>
      </c>
      <c r="I79" s="6" t="s">
        <v>173</v>
      </c>
      <c r="J79" s="6" t="s">
        <v>1390</v>
      </c>
    </row>
    <row r="80" spans="1:10" ht="30">
      <c r="A80" s="7" t="s">
        <v>174</v>
      </c>
      <c r="B80" s="15">
        <v>46057</v>
      </c>
      <c r="C80" s="5" t="s">
        <v>176</v>
      </c>
      <c r="D80" s="13">
        <v>1</v>
      </c>
      <c r="E80" s="4" t="s">
        <v>1391</v>
      </c>
      <c r="F80" s="4" t="s">
        <v>1217</v>
      </c>
      <c r="G80" s="4" t="s">
        <v>1218</v>
      </c>
      <c r="H80" s="13">
        <v>13</v>
      </c>
      <c r="I80" s="6" t="s">
        <v>179</v>
      </c>
      <c r="J80" s="6" t="s">
        <v>1392</v>
      </c>
    </row>
    <row r="81" spans="1:10">
      <c r="A81" s="7" t="s">
        <v>174</v>
      </c>
      <c r="B81" s="15">
        <v>46057</v>
      </c>
      <c r="C81" s="5" t="s">
        <v>176</v>
      </c>
      <c r="D81" s="13">
        <v>2</v>
      </c>
      <c r="E81" s="4" t="s">
        <v>1393</v>
      </c>
      <c r="F81" s="4" t="s">
        <v>1221</v>
      </c>
      <c r="G81" s="4" t="s">
        <v>1222</v>
      </c>
      <c r="H81" s="13">
        <v>2</v>
      </c>
      <c r="I81" s="6" t="s">
        <v>179</v>
      </c>
      <c r="J81" s="6" t="s">
        <v>1394</v>
      </c>
    </row>
    <row r="82" spans="1:10" ht="30">
      <c r="A82" s="7" t="s">
        <v>174</v>
      </c>
      <c r="B82" s="15">
        <v>46057</v>
      </c>
      <c r="C82" s="5" t="s">
        <v>176</v>
      </c>
      <c r="D82" s="13">
        <v>3</v>
      </c>
      <c r="E82" s="4" t="s">
        <v>1395</v>
      </c>
      <c r="F82" s="4" t="s">
        <v>1396</v>
      </c>
      <c r="G82" s="4" t="s">
        <v>1397</v>
      </c>
      <c r="H82" s="13">
        <v>5</v>
      </c>
      <c r="I82" s="6" t="s">
        <v>179</v>
      </c>
      <c r="J82" s="6" t="s">
        <v>1398</v>
      </c>
    </row>
    <row r="83" spans="1:10">
      <c r="A83" s="7" t="s">
        <v>174</v>
      </c>
      <c r="B83" s="15">
        <v>46057</v>
      </c>
      <c r="C83" s="5" t="s">
        <v>176</v>
      </c>
      <c r="D83" s="13">
        <v>4</v>
      </c>
      <c r="E83" s="4" t="s">
        <v>1399</v>
      </c>
      <c r="F83" s="4" t="s">
        <v>1400</v>
      </c>
      <c r="G83" s="4" t="s">
        <v>1401</v>
      </c>
      <c r="H83" s="13">
        <v>8</v>
      </c>
      <c r="I83" s="6" t="s">
        <v>179</v>
      </c>
      <c r="J83" s="6" t="s">
        <v>1402</v>
      </c>
    </row>
    <row r="84" spans="1:10" ht="30">
      <c r="A84" s="7" t="s">
        <v>180</v>
      </c>
      <c r="B84" s="15">
        <v>46088</v>
      </c>
      <c r="C84" s="5" t="s">
        <v>182</v>
      </c>
      <c r="D84" s="13">
        <v>1</v>
      </c>
      <c r="E84" s="4" t="s">
        <v>1403</v>
      </c>
      <c r="F84" s="4" t="s">
        <v>1404</v>
      </c>
      <c r="G84" s="4" t="s">
        <v>1289</v>
      </c>
      <c r="H84" s="13">
        <v>7</v>
      </c>
      <c r="I84" s="6" t="s">
        <v>185</v>
      </c>
      <c r="J84" s="6" t="s">
        <v>1405</v>
      </c>
    </row>
    <row r="85" spans="1:10">
      <c r="A85" s="7" t="s">
        <v>180</v>
      </c>
      <c r="B85" s="15">
        <v>46088</v>
      </c>
      <c r="C85" s="5" t="s">
        <v>182</v>
      </c>
      <c r="D85" s="13">
        <v>2</v>
      </c>
      <c r="E85" s="4" t="s">
        <v>1406</v>
      </c>
      <c r="F85" s="4" t="s">
        <v>1407</v>
      </c>
      <c r="G85" s="4" t="s">
        <v>1232</v>
      </c>
      <c r="H85" s="13">
        <v>10</v>
      </c>
      <c r="I85" s="6" t="s">
        <v>185</v>
      </c>
      <c r="J85" s="6" t="s">
        <v>1408</v>
      </c>
    </row>
    <row r="86" spans="1:10">
      <c r="A86" s="7" t="s">
        <v>180</v>
      </c>
      <c r="B86" s="15">
        <v>46088</v>
      </c>
      <c r="C86" s="5" t="s">
        <v>182</v>
      </c>
      <c r="D86" s="13">
        <v>3</v>
      </c>
      <c r="E86" s="4" t="s">
        <v>1409</v>
      </c>
      <c r="F86" s="4" t="s">
        <v>1410</v>
      </c>
      <c r="G86" s="4" t="s">
        <v>1411</v>
      </c>
      <c r="H86" s="13">
        <v>13</v>
      </c>
      <c r="I86" s="6" t="s">
        <v>185</v>
      </c>
      <c r="J86" s="6" t="s">
        <v>1412</v>
      </c>
    </row>
    <row r="87" spans="1:10">
      <c r="A87" s="7" t="s">
        <v>186</v>
      </c>
      <c r="B87" s="15">
        <v>46122</v>
      </c>
      <c r="C87" s="5" t="s">
        <v>188</v>
      </c>
      <c r="D87" s="13">
        <v>1</v>
      </c>
      <c r="E87" s="4" t="s">
        <v>1413</v>
      </c>
      <c r="F87" s="4" t="s">
        <v>1414</v>
      </c>
      <c r="G87" s="4" t="s">
        <v>1293</v>
      </c>
      <c r="H87" s="13">
        <v>1</v>
      </c>
      <c r="I87" s="6" t="s">
        <v>191</v>
      </c>
      <c r="J87" s="6" t="s">
        <v>1415</v>
      </c>
    </row>
    <row r="88" spans="1:10">
      <c r="A88" s="7" t="s">
        <v>186</v>
      </c>
      <c r="B88" s="15">
        <v>46122</v>
      </c>
      <c r="C88" s="5" t="s">
        <v>188</v>
      </c>
      <c r="D88" s="13">
        <v>2</v>
      </c>
      <c r="E88" s="4" t="s">
        <v>1416</v>
      </c>
      <c r="F88" s="4" t="s">
        <v>1417</v>
      </c>
      <c r="G88" s="4" t="s">
        <v>1184</v>
      </c>
      <c r="H88" s="13">
        <v>4</v>
      </c>
      <c r="I88" s="6" t="s">
        <v>191</v>
      </c>
      <c r="J88" s="6" t="s">
        <v>1418</v>
      </c>
    </row>
    <row r="89" spans="1:10" ht="30">
      <c r="A89" s="7" t="s">
        <v>192</v>
      </c>
      <c r="B89" s="15">
        <v>46155</v>
      </c>
      <c r="C89" s="5" t="s">
        <v>194</v>
      </c>
      <c r="D89" s="13">
        <v>1</v>
      </c>
      <c r="E89" s="4" t="s">
        <v>1419</v>
      </c>
      <c r="F89" s="4" t="s">
        <v>1370</v>
      </c>
      <c r="G89" s="4" t="s">
        <v>1371</v>
      </c>
      <c r="H89" s="13">
        <v>30</v>
      </c>
      <c r="I89" s="6" t="s">
        <v>197</v>
      </c>
      <c r="J89" s="6" t="s">
        <v>1420</v>
      </c>
    </row>
    <row r="90" spans="1:10" ht="30">
      <c r="A90" s="7" t="s">
        <v>192</v>
      </c>
      <c r="B90" s="15">
        <v>46155</v>
      </c>
      <c r="C90" s="5" t="s">
        <v>194</v>
      </c>
      <c r="D90" s="13">
        <v>2</v>
      </c>
      <c r="E90" s="4" t="s">
        <v>1421</v>
      </c>
      <c r="F90" s="4" t="s">
        <v>1374</v>
      </c>
      <c r="G90" s="4" t="s">
        <v>1375</v>
      </c>
      <c r="H90" s="13">
        <v>33</v>
      </c>
      <c r="I90" s="6" t="s">
        <v>197</v>
      </c>
      <c r="J90" s="6" t="s">
        <v>1422</v>
      </c>
    </row>
    <row r="91" spans="1:10" ht="30">
      <c r="A91" s="7" t="s">
        <v>192</v>
      </c>
      <c r="B91" s="15">
        <v>46155</v>
      </c>
      <c r="C91" s="5" t="s">
        <v>194</v>
      </c>
      <c r="D91" s="13">
        <v>3</v>
      </c>
      <c r="E91" s="4" t="s">
        <v>1423</v>
      </c>
      <c r="F91" s="4" t="s">
        <v>1378</v>
      </c>
      <c r="G91" s="4" t="s">
        <v>1379</v>
      </c>
      <c r="H91" s="13">
        <v>1</v>
      </c>
      <c r="I91" s="6" t="s">
        <v>197</v>
      </c>
      <c r="J91" s="6" t="s">
        <v>1424</v>
      </c>
    </row>
    <row r="92" spans="1:10" ht="30">
      <c r="A92" s="7" t="s">
        <v>198</v>
      </c>
      <c r="B92" s="15">
        <v>46189</v>
      </c>
      <c r="C92" s="5" t="s">
        <v>200</v>
      </c>
      <c r="D92" s="13">
        <v>1</v>
      </c>
      <c r="E92" s="4" t="s">
        <v>1425</v>
      </c>
      <c r="F92" s="4" t="s">
        <v>1370</v>
      </c>
      <c r="G92" s="4" t="s">
        <v>1371</v>
      </c>
      <c r="H92" s="13">
        <v>31</v>
      </c>
      <c r="I92" s="6" t="s">
        <v>203</v>
      </c>
      <c r="J92" s="6" t="s">
        <v>1426</v>
      </c>
    </row>
    <row r="93" spans="1:10" ht="30">
      <c r="A93" s="7" t="s">
        <v>198</v>
      </c>
      <c r="B93" s="15">
        <v>46189</v>
      </c>
      <c r="C93" s="5" t="s">
        <v>200</v>
      </c>
      <c r="D93" s="13">
        <v>2</v>
      </c>
      <c r="E93" s="4" t="s">
        <v>1427</v>
      </c>
      <c r="F93" s="4" t="s">
        <v>1374</v>
      </c>
      <c r="G93" s="4" t="s">
        <v>1375</v>
      </c>
      <c r="H93" s="13">
        <v>34</v>
      </c>
      <c r="I93" s="6" t="s">
        <v>203</v>
      </c>
      <c r="J93" s="6" t="s">
        <v>1428</v>
      </c>
    </row>
    <row r="94" spans="1:10" ht="30">
      <c r="A94" s="7" t="s">
        <v>198</v>
      </c>
      <c r="B94" s="15">
        <v>46189</v>
      </c>
      <c r="C94" s="5" t="s">
        <v>200</v>
      </c>
      <c r="D94" s="13">
        <v>3</v>
      </c>
      <c r="E94" s="4" t="s">
        <v>1429</v>
      </c>
      <c r="F94" s="4" t="s">
        <v>1378</v>
      </c>
      <c r="G94" s="4" t="s">
        <v>1379</v>
      </c>
      <c r="H94" s="13">
        <v>37</v>
      </c>
      <c r="I94" s="6" t="s">
        <v>203</v>
      </c>
      <c r="J94" s="6" t="s">
        <v>1430</v>
      </c>
    </row>
    <row r="95" spans="1:10" ht="30">
      <c r="A95" s="7" t="s">
        <v>204</v>
      </c>
      <c r="B95" s="15">
        <v>46041</v>
      </c>
      <c r="C95" s="5" t="s">
        <v>206</v>
      </c>
      <c r="D95" s="13">
        <v>1</v>
      </c>
      <c r="E95" s="4" t="s">
        <v>1431</v>
      </c>
      <c r="F95" s="4" t="s">
        <v>1370</v>
      </c>
      <c r="G95" s="4" t="s">
        <v>1371</v>
      </c>
      <c r="H95" s="13">
        <v>32</v>
      </c>
      <c r="I95" s="6" t="s">
        <v>209</v>
      </c>
      <c r="J95" s="6" t="s">
        <v>1432</v>
      </c>
    </row>
    <row r="96" spans="1:10" ht="30">
      <c r="A96" s="7" t="s">
        <v>204</v>
      </c>
      <c r="B96" s="15">
        <v>46041</v>
      </c>
      <c r="C96" s="5" t="s">
        <v>206</v>
      </c>
      <c r="D96" s="13">
        <v>2</v>
      </c>
      <c r="E96" s="4" t="s">
        <v>1433</v>
      </c>
      <c r="F96" s="4" t="s">
        <v>1374</v>
      </c>
      <c r="G96" s="4" t="s">
        <v>1375</v>
      </c>
      <c r="H96" s="13">
        <v>35</v>
      </c>
      <c r="I96" s="6" t="s">
        <v>209</v>
      </c>
      <c r="J96" s="6" t="s">
        <v>1434</v>
      </c>
    </row>
    <row r="97" spans="1:10" ht="30">
      <c r="A97" s="7" t="s">
        <v>204</v>
      </c>
      <c r="B97" s="15">
        <v>46041</v>
      </c>
      <c r="C97" s="5" t="s">
        <v>206</v>
      </c>
      <c r="D97" s="13">
        <v>3</v>
      </c>
      <c r="E97" s="4" t="s">
        <v>1435</v>
      </c>
      <c r="F97" s="4" t="s">
        <v>1378</v>
      </c>
      <c r="G97" s="4" t="s">
        <v>1379</v>
      </c>
      <c r="H97" s="13">
        <v>38</v>
      </c>
      <c r="I97" s="6" t="s">
        <v>209</v>
      </c>
      <c r="J97" s="6" t="s">
        <v>1436</v>
      </c>
    </row>
    <row r="98" spans="1:10" ht="30">
      <c r="A98" s="7" t="s">
        <v>210</v>
      </c>
      <c r="B98" s="15">
        <v>46075</v>
      </c>
      <c r="C98" s="5" t="s">
        <v>212</v>
      </c>
      <c r="D98" s="13">
        <v>1</v>
      </c>
      <c r="E98" s="4" t="s">
        <v>1437</v>
      </c>
      <c r="F98" s="4" t="s">
        <v>1370</v>
      </c>
      <c r="G98" s="4" t="s">
        <v>1371</v>
      </c>
      <c r="H98" s="13">
        <v>33</v>
      </c>
      <c r="I98" s="6" t="s">
        <v>215</v>
      </c>
      <c r="J98" s="6" t="s">
        <v>1438</v>
      </c>
    </row>
    <row r="99" spans="1:10" ht="30">
      <c r="A99" s="7" t="s">
        <v>210</v>
      </c>
      <c r="B99" s="15">
        <v>46075</v>
      </c>
      <c r="C99" s="5" t="s">
        <v>212</v>
      </c>
      <c r="D99" s="13">
        <v>2</v>
      </c>
      <c r="E99" s="4" t="s">
        <v>1439</v>
      </c>
      <c r="F99" s="4" t="s">
        <v>1374</v>
      </c>
      <c r="G99" s="4" t="s">
        <v>1375</v>
      </c>
      <c r="H99" s="13">
        <v>36</v>
      </c>
      <c r="I99" s="6" t="s">
        <v>215</v>
      </c>
      <c r="J99" s="6" t="s">
        <v>1440</v>
      </c>
    </row>
    <row r="100" spans="1:10" ht="30">
      <c r="A100" s="7" t="s">
        <v>216</v>
      </c>
      <c r="B100" s="15">
        <v>46106</v>
      </c>
      <c r="C100" s="5" t="s">
        <v>218</v>
      </c>
      <c r="D100" s="13">
        <v>1</v>
      </c>
      <c r="E100" s="4" t="s">
        <v>1441</v>
      </c>
      <c r="F100" s="4" t="s">
        <v>1370</v>
      </c>
      <c r="G100" s="4" t="s">
        <v>1371</v>
      </c>
      <c r="H100" s="13">
        <v>34</v>
      </c>
      <c r="I100" s="6" t="s">
        <v>221</v>
      </c>
      <c r="J100" s="6" t="s">
        <v>1442</v>
      </c>
    </row>
    <row r="101" spans="1:10" ht="30">
      <c r="A101" s="7" t="s">
        <v>216</v>
      </c>
      <c r="B101" s="15">
        <v>46106</v>
      </c>
      <c r="C101" s="5" t="s">
        <v>218</v>
      </c>
      <c r="D101" s="13">
        <v>2</v>
      </c>
      <c r="E101" s="4" t="s">
        <v>1443</v>
      </c>
      <c r="F101" s="4" t="s">
        <v>1374</v>
      </c>
      <c r="G101" s="4" t="s">
        <v>1375</v>
      </c>
      <c r="H101" s="13">
        <v>37</v>
      </c>
      <c r="I101" s="6" t="s">
        <v>221</v>
      </c>
      <c r="J101" s="6" t="s">
        <v>1444</v>
      </c>
    </row>
    <row r="102" spans="1:10" ht="30">
      <c r="A102" s="7" t="s">
        <v>216</v>
      </c>
      <c r="B102" s="15">
        <v>46106</v>
      </c>
      <c r="C102" s="5" t="s">
        <v>218</v>
      </c>
      <c r="D102" s="13">
        <v>3</v>
      </c>
      <c r="E102" s="4" t="s">
        <v>1445</v>
      </c>
      <c r="F102" s="4" t="s">
        <v>1378</v>
      </c>
      <c r="G102" s="4" t="s">
        <v>1379</v>
      </c>
      <c r="H102" s="13">
        <v>40</v>
      </c>
      <c r="I102" s="6" t="s">
        <v>221</v>
      </c>
      <c r="J102" s="6" t="s">
        <v>1446</v>
      </c>
    </row>
    <row r="103" spans="1:10" ht="30">
      <c r="A103" s="7" t="s">
        <v>222</v>
      </c>
      <c r="B103" s="15">
        <v>46115</v>
      </c>
      <c r="C103" s="5" t="s">
        <v>224</v>
      </c>
      <c r="D103" s="13">
        <v>1</v>
      </c>
      <c r="E103" s="4" t="s">
        <v>1447</v>
      </c>
      <c r="F103" s="4" t="s">
        <v>1370</v>
      </c>
      <c r="G103" s="4" t="s">
        <v>1371</v>
      </c>
      <c r="H103" s="13">
        <v>11</v>
      </c>
      <c r="I103" s="6" t="s">
        <v>227</v>
      </c>
      <c r="J103" s="6" t="s">
        <v>1448</v>
      </c>
    </row>
    <row r="104" spans="1:10" ht="30">
      <c r="A104" s="7" t="s">
        <v>222</v>
      </c>
      <c r="B104" s="15">
        <v>46115</v>
      </c>
      <c r="C104" s="5" t="s">
        <v>224</v>
      </c>
      <c r="D104" s="13">
        <v>2</v>
      </c>
      <c r="E104" s="4" t="s">
        <v>1449</v>
      </c>
      <c r="F104" s="4" t="s">
        <v>1374</v>
      </c>
      <c r="G104" s="4" t="s">
        <v>1375</v>
      </c>
      <c r="H104" s="13">
        <v>2</v>
      </c>
      <c r="I104" s="6" t="s">
        <v>227</v>
      </c>
      <c r="J104" s="6" t="s">
        <v>1450</v>
      </c>
    </row>
    <row r="105" spans="1:10" ht="30">
      <c r="A105" s="7" t="s">
        <v>222</v>
      </c>
      <c r="B105" s="15">
        <v>46115</v>
      </c>
      <c r="C105" s="5" t="s">
        <v>224</v>
      </c>
      <c r="D105" s="13">
        <v>3</v>
      </c>
      <c r="E105" s="4" t="s">
        <v>1451</v>
      </c>
      <c r="F105" s="4" t="s">
        <v>1378</v>
      </c>
      <c r="G105" s="4" t="s">
        <v>1379</v>
      </c>
      <c r="H105" s="13">
        <v>5</v>
      </c>
      <c r="I105" s="6" t="s">
        <v>227</v>
      </c>
      <c r="J105" s="6" t="s">
        <v>1452</v>
      </c>
    </row>
    <row r="106" spans="1:10" ht="30">
      <c r="A106" s="7" t="s">
        <v>228</v>
      </c>
      <c r="B106" s="15">
        <v>46148</v>
      </c>
      <c r="C106" s="5" t="s">
        <v>230</v>
      </c>
      <c r="D106" s="13">
        <v>1</v>
      </c>
      <c r="E106" s="4" t="s">
        <v>1453</v>
      </c>
      <c r="F106" s="4" t="s">
        <v>1370</v>
      </c>
      <c r="G106" s="4" t="s">
        <v>1371</v>
      </c>
      <c r="H106" s="13">
        <v>17</v>
      </c>
      <c r="I106" s="6" t="s">
        <v>233</v>
      </c>
      <c r="J106" s="6" t="s">
        <v>1454</v>
      </c>
    </row>
    <row r="107" spans="1:10" ht="30">
      <c r="A107" s="7" t="s">
        <v>228</v>
      </c>
      <c r="B107" s="15">
        <v>46148</v>
      </c>
      <c r="C107" s="5" t="s">
        <v>230</v>
      </c>
      <c r="D107" s="13">
        <v>2</v>
      </c>
      <c r="E107" s="4" t="s">
        <v>1455</v>
      </c>
      <c r="F107" s="4" t="s">
        <v>1374</v>
      </c>
      <c r="G107" s="4" t="s">
        <v>1375</v>
      </c>
      <c r="H107" s="13">
        <v>1</v>
      </c>
      <c r="I107" s="6" t="s">
        <v>233</v>
      </c>
      <c r="J107" s="6" t="s">
        <v>1456</v>
      </c>
    </row>
    <row r="108" spans="1:10" ht="30">
      <c r="A108" s="7" t="s">
        <v>228</v>
      </c>
      <c r="B108" s="15">
        <v>46148</v>
      </c>
      <c r="C108" s="5" t="s">
        <v>230</v>
      </c>
      <c r="D108" s="13">
        <v>3</v>
      </c>
      <c r="E108" s="4" t="s">
        <v>1457</v>
      </c>
      <c r="F108" s="4" t="s">
        <v>1378</v>
      </c>
      <c r="G108" s="4" t="s">
        <v>1379</v>
      </c>
      <c r="H108" s="13">
        <v>4</v>
      </c>
      <c r="I108" s="6" t="s">
        <v>233</v>
      </c>
      <c r="J108" s="6" t="s">
        <v>1458</v>
      </c>
    </row>
    <row r="109" spans="1:10" ht="30">
      <c r="A109" s="7" t="s">
        <v>234</v>
      </c>
      <c r="B109" s="15">
        <v>46182</v>
      </c>
      <c r="C109" s="5" t="s">
        <v>236</v>
      </c>
      <c r="D109" s="13">
        <v>1</v>
      </c>
      <c r="E109" s="4" t="s">
        <v>1459</v>
      </c>
      <c r="F109" s="4" t="s">
        <v>1460</v>
      </c>
      <c r="G109" s="4" t="s">
        <v>1461</v>
      </c>
      <c r="H109" s="13">
        <v>11</v>
      </c>
      <c r="I109" s="6" t="s">
        <v>239</v>
      </c>
      <c r="J109" s="6" t="s">
        <v>1462</v>
      </c>
    </row>
    <row r="110" spans="1:10" ht="30">
      <c r="A110" s="7" t="s">
        <v>234</v>
      </c>
      <c r="B110" s="15">
        <v>46182</v>
      </c>
      <c r="C110" s="5" t="s">
        <v>236</v>
      </c>
      <c r="D110" s="13">
        <v>2</v>
      </c>
      <c r="E110" s="4" t="s">
        <v>1463</v>
      </c>
      <c r="F110" s="4" t="s">
        <v>1464</v>
      </c>
      <c r="G110" s="4" t="s">
        <v>1465</v>
      </c>
      <c r="H110" s="13">
        <v>14</v>
      </c>
      <c r="I110" s="6" t="s">
        <v>239</v>
      </c>
      <c r="J110" s="6" t="s">
        <v>1466</v>
      </c>
    </row>
    <row r="111" spans="1:10" ht="30">
      <c r="A111" s="7" t="s">
        <v>240</v>
      </c>
      <c r="B111" s="15">
        <v>46034</v>
      </c>
      <c r="C111" s="5" t="s">
        <v>242</v>
      </c>
      <c r="D111" s="13">
        <v>1</v>
      </c>
      <c r="E111" s="4" t="s">
        <v>1467</v>
      </c>
      <c r="F111" s="4" t="s">
        <v>1460</v>
      </c>
      <c r="G111" s="4" t="s">
        <v>1461</v>
      </c>
      <c r="H111" s="13">
        <v>5</v>
      </c>
      <c r="I111" s="6" t="s">
        <v>245</v>
      </c>
      <c r="J111" s="6" t="s">
        <v>1468</v>
      </c>
    </row>
    <row r="112" spans="1:10">
      <c r="A112" s="7" t="s">
        <v>240</v>
      </c>
      <c r="B112" s="15">
        <v>46034</v>
      </c>
      <c r="C112" s="5" t="s">
        <v>242</v>
      </c>
      <c r="D112" s="13">
        <v>2</v>
      </c>
      <c r="E112" s="4" t="s">
        <v>1469</v>
      </c>
      <c r="F112" s="4" t="s">
        <v>1464</v>
      </c>
      <c r="G112" s="4" t="s">
        <v>1465</v>
      </c>
      <c r="H112" s="13">
        <v>8</v>
      </c>
      <c r="I112" s="6" t="s">
        <v>245</v>
      </c>
      <c r="J112" s="6" t="s">
        <v>1470</v>
      </c>
    </row>
    <row r="113" spans="1:10" ht="30">
      <c r="A113" s="7" t="s">
        <v>240</v>
      </c>
      <c r="B113" s="15">
        <v>46034</v>
      </c>
      <c r="C113" s="5" t="s">
        <v>242</v>
      </c>
      <c r="D113" s="13">
        <v>3</v>
      </c>
      <c r="E113" s="4" t="s">
        <v>1471</v>
      </c>
      <c r="F113" s="4" t="s">
        <v>1472</v>
      </c>
      <c r="G113" s="4" t="s">
        <v>1473</v>
      </c>
      <c r="H113" s="13">
        <v>11</v>
      </c>
      <c r="I113" s="6" t="s">
        <v>245</v>
      </c>
      <c r="J113" s="6" t="s">
        <v>1474</v>
      </c>
    </row>
    <row r="114" spans="1:10" ht="30">
      <c r="A114" s="7" t="s">
        <v>246</v>
      </c>
      <c r="B114" s="15">
        <v>46068</v>
      </c>
      <c r="C114" s="5" t="s">
        <v>248</v>
      </c>
      <c r="D114" s="13">
        <v>1</v>
      </c>
      <c r="E114" s="4" t="s">
        <v>1475</v>
      </c>
      <c r="F114" s="4" t="s">
        <v>1476</v>
      </c>
      <c r="G114" s="4" t="s">
        <v>1477</v>
      </c>
      <c r="H114" s="13">
        <v>39</v>
      </c>
      <c r="I114" s="6" t="s">
        <v>251</v>
      </c>
      <c r="J114" s="6" t="s">
        <v>1478</v>
      </c>
    </row>
    <row r="115" spans="1:10" ht="30">
      <c r="A115" s="7" t="s">
        <v>246</v>
      </c>
      <c r="B115" s="15">
        <v>46068</v>
      </c>
      <c r="C115" s="5" t="s">
        <v>248</v>
      </c>
      <c r="D115" s="13">
        <v>2</v>
      </c>
      <c r="E115" s="4" t="s">
        <v>1479</v>
      </c>
      <c r="F115" s="4" t="s">
        <v>1480</v>
      </c>
      <c r="G115" s="4" t="s">
        <v>1184</v>
      </c>
      <c r="H115" s="13">
        <v>2</v>
      </c>
      <c r="I115" s="6" t="s">
        <v>251</v>
      </c>
      <c r="J115" s="6" t="s">
        <v>1481</v>
      </c>
    </row>
    <row r="116" spans="1:10" ht="30">
      <c r="A116" s="7" t="s">
        <v>246</v>
      </c>
      <c r="B116" s="15">
        <v>46068</v>
      </c>
      <c r="C116" s="5" t="s">
        <v>248</v>
      </c>
      <c r="D116" s="13">
        <v>3</v>
      </c>
      <c r="E116" s="4" t="s">
        <v>1482</v>
      </c>
      <c r="F116" s="4" t="s">
        <v>1483</v>
      </c>
      <c r="G116" s="4" t="s">
        <v>1289</v>
      </c>
      <c r="H116" s="13">
        <v>5</v>
      </c>
      <c r="I116" s="6" t="s">
        <v>251</v>
      </c>
      <c r="J116" s="6" t="s">
        <v>1484</v>
      </c>
    </row>
    <row r="117" spans="1:10" ht="30">
      <c r="A117" s="7" t="s">
        <v>252</v>
      </c>
      <c r="B117" s="15">
        <v>46099</v>
      </c>
      <c r="C117" s="5" t="s">
        <v>254</v>
      </c>
      <c r="D117" s="13">
        <v>1</v>
      </c>
      <c r="E117" s="4" t="s">
        <v>1485</v>
      </c>
      <c r="F117" s="4" t="s">
        <v>1476</v>
      </c>
      <c r="G117" s="4" t="s">
        <v>1477</v>
      </c>
      <c r="H117" s="13">
        <v>40</v>
      </c>
      <c r="I117" s="6" t="s">
        <v>257</v>
      </c>
      <c r="J117" s="6" t="s">
        <v>1486</v>
      </c>
    </row>
    <row r="118" spans="1:10">
      <c r="A118" s="7" t="s">
        <v>252</v>
      </c>
      <c r="B118" s="15">
        <v>46099</v>
      </c>
      <c r="C118" s="5" t="s">
        <v>254</v>
      </c>
      <c r="D118" s="13">
        <v>2</v>
      </c>
      <c r="E118" s="4" t="s">
        <v>1487</v>
      </c>
      <c r="F118" s="4" t="s">
        <v>1480</v>
      </c>
      <c r="G118" s="4" t="s">
        <v>1184</v>
      </c>
      <c r="H118" s="13">
        <v>43</v>
      </c>
      <c r="I118" s="6" t="s">
        <v>257</v>
      </c>
      <c r="J118" s="6" t="s">
        <v>1488</v>
      </c>
    </row>
    <row r="119" spans="1:10">
      <c r="A119" s="7" t="s">
        <v>252</v>
      </c>
      <c r="B119" s="15">
        <v>46099</v>
      </c>
      <c r="C119" s="5" t="s">
        <v>254</v>
      </c>
      <c r="D119" s="13">
        <v>3</v>
      </c>
      <c r="E119" s="4" t="s">
        <v>1489</v>
      </c>
      <c r="F119" s="4" t="s">
        <v>1483</v>
      </c>
      <c r="G119" s="4" t="s">
        <v>1289</v>
      </c>
      <c r="H119" s="13">
        <v>46</v>
      </c>
      <c r="I119" s="6" t="s">
        <v>257</v>
      </c>
      <c r="J119" s="6" t="s">
        <v>1490</v>
      </c>
    </row>
    <row r="120" spans="1:10">
      <c r="A120" s="7" t="s">
        <v>258</v>
      </c>
      <c r="B120" s="15">
        <v>46133</v>
      </c>
      <c r="C120" s="5" t="s">
        <v>260</v>
      </c>
      <c r="D120" s="13">
        <v>1</v>
      </c>
      <c r="E120" s="4" t="s">
        <v>1491</v>
      </c>
      <c r="F120" s="4" t="s">
        <v>1492</v>
      </c>
      <c r="G120" s="4" t="s">
        <v>1493</v>
      </c>
      <c r="H120" s="13">
        <v>41</v>
      </c>
      <c r="I120" s="6" t="s">
        <v>263</v>
      </c>
      <c r="J120" s="6" t="s">
        <v>1494</v>
      </c>
    </row>
    <row r="121" spans="1:10">
      <c r="A121" s="7" t="s">
        <v>258</v>
      </c>
      <c r="B121" s="15">
        <v>46133</v>
      </c>
      <c r="C121" s="5" t="s">
        <v>260</v>
      </c>
      <c r="D121" s="13">
        <v>2</v>
      </c>
      <c r="E121" s="4" t="s">
        <v>1495</v>
      </c>
      <c r="F121" s="4" t="s">
        <v>1496</v>
      </c>
      <c r="G121" s="4" t="s">
        <v>1497</v>
      </c>
      <c r="H121" s="13">
        <v>44</v>
      </c>
      <c r="I121" s="6" t="s">
        <v>263</v>
      </c>
      <c r="J121" s="6" t="s">
        <v>1498</v>
      </c>
    </row>
    <row r="122" spans="1:10">
      <c r="A122" s="7" t="s">
        <v>264</v>
      </c>
      <c r="B122" s="15">
        <v>46166</v>
      </c>
      <c r="C122" s="5" t="s">
        <v>266</v>
      </c>
      <c r="D122" s="13">
        <v>1</v>
      </c>
      <c r="E122" s="4" t="s">
        <v>1499</v>
      </c>
      <c r="F122" s="4" t="s">
        <v>1492</v>
      </c>
      <c r="G122" s="4" t="s">
        <v>1493</v>
      </c>
      <c r="H122" s="13">
        <v>42</v>
      </c>
      <c r="I122" s="6" t="s">
        <v>269</v>
      </c>
      <c r="J122" s="6" t="s">
        <v>1500</v>
      </c>
    </row>
    <row r="123" spans="1:10">
      <c r="A123" s="7" t="s">
        <v>264</v>
      </c>
      <c r="B123" s="15">
        <v>46166</v>
      </c>
      <c r="C123" s="5" t="s">
        <v>266</v>
      </c>
      <c r="D123" s="13">
        <v>2</v>
      </c>
      <c r="E123" s="4" t="s">
        <v>1501</v>
      </c>
      <c r="F123" s="4" t="s">
        <v>1496</v>
      </c>
      <c r="G123" s="4" t="s">
        <v>1497</v>
      </c>
      <c r="H123" s="13">
        <v>45</v>
      </c>
      <c r="I123" s="6" t="s">
        <v>269</v>
      </c>
      <c r="J123" s="6" t="s">
        <v>1502</v>
      </c>
    </row>
    <row r="124" spans="1:10">
      <c r="A124" s="7" t="s">
        <v>264</v>
      </c>
      <c r="B124" s="15">
        <v>46166</v>
      </c>
      <c r="C124" s="5" t="s">
        <v>266</v>
      </c>
      <c r="D124" s="13">
        <v>3</v>
      </c>
      <c r="E124" s="4" t="s">
        <v>1503</v>
      </c>
      <c r="F124" s="4" t="s">
        <v>1504</v>
      </c>
      <c r="G124" s="4" t="s">
        <v>1505</v>
      </c>
      <c r="H124" s="13">
        <v>48</v>
      </c>
      <c r="I124" s="6" t="s">
        <v>269</v>
      </c>
      <c r="J124" s="6" t="s">
        <v>1506</v>
      </c>
    </row>
    <row r="125" spans="1:10" ht="30">
      <c r="A125" s="7" t="s">
        <v>270</v>
      </c>
      <c r="B125" s="15">
        <v>46175</v>
      </c>
      <c r="C125" s="5" t="s">
        <v>272</v>
      </c>
      <c r="D125" s="13">
        <v>1</v>
      </c>
      <c r="E125" s="4" t="s">
        <v>1507</v>
      </c>
      <c r="F125" s="4" t="s">
        <v>1476</v>
      </c>
      <c r="G125" s="4" t="s">
        <v>1477</v>
      </c>
      <c r="H125" s="13">
        <v>3</v>
      </c>
      <c r="I125" s="6" t="s">
        <v>275</v>
      </c>
      <c r="J125" s="6" t="s">
        <v>1508</v>
      </c>
    </row>
    <row r="126" spans="1:10" ht="30">
      <c r="A126" s="7" t="s">
        <v>270</v>
      </c>
      <c r="B126" s="15">
        <v>46175</v>
      </c>
      <c r="C126" s="5" t="s">
        <v>272</v>
      </c>
      <c r="D126" s="13">
        <v>2</v>
      </c>
      <c r="E126" s="4" t="s">
        <v>1509</v>
      </c>
      <c r="F126" s="4" t="s">
        <v>1480</v>
      </c>
      <c r="G126" s="4" t="s">
        <v>1184</v>
      </c>
      <c r="H126" s="13">
        <v>6</v>
      </c>
      <c r="I126" s="6" t="s">
        <v>275</v>
      </c>
      <c r="J126" s="6" t="s">
        <v>1510</v>
      </c>
    </row>
    <row r="127" spans="1:10" ht="30">
      <c r="A127" s="7" t="s">
        <v>270</v>
      </c>
      <c r="B127" s="15">
        <v>46175</v>
      </c>
      <c r="C127" s="5" t="s">
        <v>272</v>
      </c>
      <c r="D127" s="13">
        <v>3</v>
      </c>
      <c r="E127" s="4" t="s">
        <v>1511</v>
      </c>
      <c r="F127" s="4" t="s">
        <v>1483</v>
      </c>
      <c r="G127" s="4" t="s">
        <v>1289</v>
      </c>
      <c r="H127" s="13">
        <v>9</v>
      </c>
      <c r="I127" s="6" t="s">
        <v>275</v>
      </c>
      <c r="J127" s="6" t="s">
        <v>1512</v>
      </c>
    </row>
    <row r="128" spans="1:10" ht="30">
      <c r="A128" s="7" t="s">
        <v>276</v>
      </c>
      <c r="B128" s="15">
        <v>46027</v>
      </c>
      <c r="C128" s="5" t="s">
        <v>278</v>
      </c>
      <c r="D128" s="13">
        <v>1</v>
      </c>
      <c r="E128" s="4" t="s">
        <v>1513</v>
      </c>
      <c r="F128" s="4" t="s">
        <v>1476</v>
      </c>
      <c r="G128" s="4" t="s">
        <v>1477</v>
      </c>
      <c r="H128" s="13">
        <v>10</v>
      </c>
      <c r="I128" s="6" t="s">
        <v>281</v>
      </c>
      <c r="J128" s="6" t="s">
        <v>1514</v>
      </c>
    </row>
    <row r="129" spans="1:10" ht="30">
      <c r="A129" s="7" t="s">
        <v>276</v>
      </c>
      <c r="B129" s="15">
        <v>46027</v>
      </c>
      <c r="C129" s="5" t="s">
        <v>278</v>
      </c>
      <c r="D129" s="13">
        <v>2</v>
      </c>
      <c r="E129" s="4" t="s">
        <v>1515</v>
      </c>
      <c r="F129" s="4" t="s">
        <v>1480</v>
      </c>
      <c r="G129" s="4" t="s">
        <v>1184</v>
      </c>
      <c r="H129" s="13">
        <v>13</v>
      </c>
      <c r="I129" s="6" t="s">
        <v>281</v>
      </c>
      <c r="J129" s="6" t="s">
        <v>1516</v>
      </c>
    </row>
    <row r="130" spans="1:10" ht="30">
      <c r="A130" s="7" t="s">
        <v>276</v>
      </c>
      <c r="B130" s="15">
        <v>46027</v>
      </c>
      <c r="C130" s="5" t="s">
        <v>278</v>
      </c>
      <c r="D130" s="13">
        <v>3</v>
      </c>
      <c r="E130" s="4" t="s">
        <v>1517</v>
      </c>
      <c r="F130" s="4" t="s">
        <v>1483</v>
      </c>
      <c r="G130" s="4" t="s">
        <v>1289</v>
      </c>
      <c r="H130" s="13">
        <v>16</v>
      </c>
      <c r="I130" s="6" t="s">
        <v>281</v>
      </c>
      <c r="J130" s="6" t="s">
        <v>1518</v>
      </c>
    </row>
    <row r="131" spans="1:10" ht="30">
      <c r="A131" s="7" t="s">
        <v>282</v>
      </c>
      <c r="B131" s="15">
        <v>46061</v>
      </c>
      <c r="C131" s="5" t="s">
        <v>284</v>
      </c>
      <c r="D131" s="13">
        <v>1</v>
      </c>
      <c r="E131" s="4" t="s">
        <v>1519</v>
      </c>
      <c r="F131" s="4" t="s">
        <v>1370</v>
      </c>
      <c r="G131" s="4" t="s">
        <v>1371</v>
      </c>
      <c r="H131" s="13">
        <v>21</v>
      </c>
      <c r="I131" s="6" t="s">
        <v>287</v>
      </c>
      <c r="J131" s="6" t="s">
        <v>1520</v>
      </c>
    </row>
    <row r="132" spans="1:10" ht="30">
      <c r="A132" s="7" t="s">
        <v>282</v>
      </c>
      <c r="B132" s="15">
        <v>46061</v>
      </c>
      <c r="C132" s="5" t="s">
        <v>284</v>
      </c>
      <c r="D132" s="13">
        <v>2</v>
      </c>
      <c r="E132" s="4" t="s">
        <v>1521</v>
      </c>
      <c r="F132" s="4" t="s">
        <v>1374</v>
      </c>
      <c r="G132" s="4" t="s">
        <v>1375</v>
      </c>
      <c r="H132" s="13">
        <v>24</v>
      </c>
      <c r="I132" s="6" t="s">
        <v>287</v>
      </c>
      <c r="J132" s="6" t="s">
        <v>1522</v>
      </c>
    </row>
    <row r="133" spans="1:10" ht="30">
      <c r="A133" s="7" t="s">
        <v>288</v>
      </c>
      <c r="B133" s="15">
        <v>46092</v>
      </c>
      <c r="C133" s="5" t="s">
        <v>290</v>
      </c>
      <c r="D133" s="13">
        <v>1</v>
      </c>
      <c r="E133" s="4" t="s">
        <v>1523</v>
      </c>
      <c r="F133" s="4" t="s">
        <v>1370</v>
      </c>
      <c r="G133" s="4" t="s">
        <v>1371</v>
      </c>
      <c r="H133" s="13">
        <v>15</v>
      </c>
      <c r="I133" s="6" t="s">
        <v>293</v>
      </c>
      <c r="J133" s="6" t="s">
        <v>1524</v>
      </c>
    </row>
    <row r="134" spans="1:10" ht="30">
      <c r="A134" s="7" t="s">
        <v>288</v>
      </c>
      <c r="B134" s="15">
        <v>46092</v>
      </c>
      <c r="C134" s="5" t="s">
        <v>290</v>
      </c>
      <c r="D134" s="13">
        <v>2</v>
      </c>
      <c r="E134" s="4" t="s">
        <v>1525</v>
      </c>
      <c r="F134" s="4" t="s">
        <v>1374</v>
      </c>
      <c r="G134" s="4" t="s">
        <v>1375</v>
      </c>
      <c r="H134" s="13">
        <v>18</v>
      </c>
      <c r="I134" s="6" t="s">
        <v>293</v>
      </c>
      <c r="J134" s="6" t="s">
        <v>1526</v>
      </c>
    </row>
    <row r="135" spans="1:10" ht="30">
      <c r="A135" s="7" t="s">
        <v>288</v>
      </c>
      <c r="B135" s="15">
        <v>46092</v>
      </c>
      <c r="C135" s="5" t="s">
        <v>290</v>
      </c>
      <c r="D135" s="13">
        <v>3</v>
      </c>
      <c r="E135" s="4" t="s">
        <v>1527</v>
      </c>
      <c r="F135" s="4" t="s">
        <v>1378</v>
      </c>
      <c r="G135" s="4" t="s">
        <v>1379</v>
      </c>
      <c r="H135" s="13">
        <v>21</v>
      </c>
      <c r="I135" s="6" t="s">
        <v>293</v>
      </c>
      <c r="J135" s="6" t="s">
        <v>1528</v>
      </c>
    </row>
    <row r="136" spans="1:10" ht="30">
      <c r="A136" s="7" t="s">
        <v>294</v>
      </c>
      <c r="B136" s="15">
        <v>46126</v>
      </c>
      <c r="C136" s="5" t="s">
        <v>296</v>
      </c>
      <c r="D136" s="13">
        <v>1</v>
      </c>
      <c r="E136" s="4" t="s">
        <v>1529</v>
      </c>
      <c r="F136" s="4" t="s">
        <v>1370</v>
      </c>
      <c r="G136" s="4" t="s">
        <v>1371</v>
      </c>
      <c r="H136" s="13">
        <v>9</v>
      </c>
      <c r="I136" s="6" t="s">
        <v>299</v>
      </c>
      <c r="J136" s="6" t="s">
        <v>1530</v>
      </c>
    </row>
    <row r="137" spans="1:10" ht="30">
      <c r="A137" s="7" t="s">
        <v>294</v>
      </c>
      <c r="B137" s="15">
        <v>46126</v>
      </c>
      <c r="C137" s="5" t="s">
        <v>296</v>
      </c>
      <c r="D137" s="13">
        <v>2</v>
      </c>
      <c r="E137" s="4" t="s">
        <v>1531</v>
      </c>
      <c r="F137" s="4" t="s">
        <v>1374</v>
      </c>
      <c r="G137" s="4" t="s">
        <v>1375</v>
      </c>
      <c r="H137" s="13">
        <v>12</v>
      </c>
      <c r="I137" s="6" t="s">
        <v>299</v>
      </c>
      <c r="J137" s="6" t="s">
        <v>1532</v>
      </c>
    </row>
    <row r="138" spans="1:10" ht="30">
      <c r="A138" s="7" t="s">
        <v>294</v>
      </c>
      <c r="B138" s="15">
        <v>46126</v>
      </c>
      <c r="C138" s="5" t="s">
        <v>296</v>
      </c>
      <c r="D138" s="13">
        <v>3</v>
      </c>
      <c r="E138" s="4" t="s">
        <v>1533</v>
      </c>
      <c r="F138" s="4" t="s">
        <v>1378</v>
      </c>
      <c r="G138" s="4" t="s">
        <v>1379</v>
      </c>
      <c r="H138" s="13">
        <v>15</v>
      </c>
      <c r="I138" s="6" t="s">
        <v>299</v>
      </c>
      <c r="J138" s="6" t="s">
        <v>1534</v>
      </c>
    </row>
    <row r="139" spans="1:10" ht="30">
      <c r="A139" s="7" t="s">
        <v>300</v>
      </c>
      <c r="B139" s="15">
        <v>46159</v>
      </c>
      <c r="C139" s="5" t="s">
        <v>302</v>
      </c>
      <c r="D139" s="13">
        <v>1</v>
      </c>
      <c r="E139" s="4" t="s">
        <v>1535</v>
      </c>
      <c r="F139" s="4" t="s">
        <v>1370</v>
      </c>
      <c r="G139" s="4" t="s">
        <v>1371</v>
      </c>
      <c r="H139" s="13">
        <v>3</v>
      </c>
      <c r="I139" s="6" t="s">
        <v>305</v>
      </c>
      <c r="J139" s="6" t="s">
        <v>1536</v>
      </c>
    </row>
    <row r="140" spans="1:10" ht="30">
      <c r="A140" s="7" t="s">
        <v>300</v>
      </c>
      <c r="B140" s="15">
        <v>46159</v>
      </c>
      <c r="C140" s="5" t="s">
        <v>302</v>
      </c>
      <c r="D140" s="13">
        <v>2</v>
      </c>
      <c r="E140" s="4" t="s">
        <v>1537</v>
      </c>
      <c r="F140" s="4" t="s">
        <v>1374</v>
      </c>
      <c r="G140" s="4" t="s">
        <v>1375</v>
      </c>
      <c r="H140" s="13">
        <v>6</v>
      </c>
      <c r="I140" s="6" t="s">
        <v>305</v>
      </c>
      <c r="J140" s="6" t="s">
        <v>1538</v>
      </c>
    </row>
    <row r="141" spans="1:10" ht="30">
      <c r="A141" s="7" t="s">
        <v>300</v>
      </c>
      <c r="B141" s="15">
        <v>46159</v>
      </c>
      <c r="C141" s="5" t="s">
        <v>302</v>
      </c>
      <c r="D141" s="13">
        <v>3</v>
      </c>
      <c r="E141" s="4" t="s">
        <v>1539</v>
      </c>
      <c r="F141" s="4" t="s">
        <v>1378</v>
      </c>
      <c r="G141" s="4" t="s">
        <v>1379</v>
      </c>
      <c r="H141" s="13">
        <v>9</v>
      </c>
      <c r="I141" s="6" t="s">
        <v>305</v>
      </c>
      <c r="J141" s="6" t="s">
        <v>1540</v>
      </c>
    </row>
    <row r="142" spans="1:10" ht="30">
      <c r="A142" s="7" t="s">
        <v>306</v>
      </c>
      <c r="B142" s="15">
        <v>46193</v>
      </c>
      <c r="C142" s="5" t="s">
        <v>308</v>
      </c>
      <c r="D142" s="13">
        <v>1</v>
      </c>
      <c r="E142" s="4" t="s">
        <v>1541</v>
      </c>
      <c r="F142" s="4" t="s">
        <v>1370</v>
      </c>
      <c r="G142" s="4" t="s">
        <v>1371</v>
      </c>
      <c r="H142" s="13">
        <v>49</v>
      </c>
      <c r="I142" s="6" t="s">
        <v>311</v>
      </c>
      <c r="J142" s="6" t="s">
        <v>1542</v>
      </c>
    </row>
    <row r="143" spans="1:10" ht="30">
      <c r="A143" s="7" t="s">
        <v>306</v>
      </c>
      <c r="B143" s="15">
        <v>46193</v>
      </c>
      <c r="C143" s="5" t="s">
        <v>308</v>
      </c>
      <c r="D143" s="13">
        <v>2</v>
      </c>
      <c r="E143" s="4" t="s">
        <v>1543</v>
      </c>
      <c r="F143" s="4" t="s">
        <v>1374</v>
      </c>
      <c r="G143" s="4" t="s">
        <v>1375</v>
      </c>
      <c r="H143" s="13">
        <v>52</v>
      </c>
      <c r="I143" s="6" t="s">
        <v>311</v>
      </c>
      <c r="J143" s="6" t="s">
        <v>1544</v>
      </c>
    </row>
    <row r="144" spans="1:10" ht="30">
      <c r="A144" s="7" t="s">
        <v>312</v>
      </c>
      <c r="B144" s="15">
        <v>46045</v>
      </c>
      <c r="C144" s="5" t="s">
        <v>314</v>
      </c>
      <c r="D144" s="13">
        <v>1</v>
      </c>
      <c r="E144" s="4" t="s">
        <v>1545</v>
      </c>
      <c r="F144" s="4" t="s">
        <v>1370</v>
      </c>
      <c r="G144" s="4" t="s">
        <v>1371</v>
      </c>
      <c r="H144" s="13">
        <v>50</v>
      </c>
      <c r="I144" s="6" t="s">
        <v>317</v>
      </c>
      <c r="J144" s="6" t="s">
        <v>1546</v>
      </c>
    </row>
    <row r="145" spans="1:10" ht="30">
      <c r="A145" s="7" t="s">
        <v>312</v>
      </c>
      <c r="B145" s="15">
        <v>46045</v>
      </c>
      <c r="C145" s="5" t="s">
        <v>314</v>
      </c>
      <c r="D145" s="13">
        <v>2</v>
      </c>
      <c r="E145" s="4" t="s">
        <v>1547</v>
      </c>
      <c r="F145" s="4" t="s">
        <v>1374</v>
      </c>
      <c r="G145" s="4" t="s">
        <v>1375</v>
      </c>
      <c r="H145" s="13">
        <v>53</v>
      </c>
      <c r="I145" s="6" t="s">
        <v>317</v>
      </c>
      <c r="J145" s="6" t="s">
        <v>1548</v>
      </c>
    </row>
    <row r="146" spans="1:10" ht="30">
      <c r="A146" s="7" t="s">
        <v>312</v>
      </c>
      <c r="B146" s="15">
        <v>46045</v>
      </c>
      <c r="C146" s="5" t="s">
        <v>314</v>
      </c>
      <c r="D146" s="13">
        <v>3</v>
      </c>
      <c r="E146" s="4" t="s">
        <v>1549</v>
      </c>
      <c r="F146" s="4" t="s">
        <v>1378</v>
      </c>
      <c r="G146" s="4" t="s">
        <v>1379</v>
      </c>
      <c r="H146" s="13">
        <v>56</v>
      </c>
      <c r="I146" s="6" t="s">
        <v>317</v>
      </c>
      <c r="J146" s="6" t="s">
        <v>1550</v>
      </c>
    </row>
    <row r="147" spans="1:10" ht="30">
      <c r="A147" s="7" t="s">
        <v>318</v>
      </c>
      <c r="B147" s="15">
        <v>46054</v>
      </c>
      <c r="C147" s="5" t="s">
        <v>320</v>
      </c>
      <c r="D147" s="13">
        <v>1</v>
      </c>
      <c r="E147" s="4" t="s">
        <v>1551</v>
      </c>
      <c r="F147" s="4" t="s">
        <v>1370</v>
      </c>
      <c r="G147" s="4" t="s">
        <v>1371</v>
      </c>
      <c r="H147" s="13">
        <v>3</v>
      </c>
      <c r="I147" s="6" t="s">
        <v>323</v>
      </c>
      <c r="J147" s="6" t="s">
        <v>1552</v>
      </c>
    </row>
    <row r="148" spans="1:10" ht="30">
      <c r="A148" s="7" t="s">
        <v>318</v>
      </c>
      <c r="B148" s="15">
        <v>46054</v>
      </c>
      <c r="C148" s="5" t="s">
        <v>320</v>
      </c>
      <c r="D148" s="13">
        <v>2</v>
      </c>
      <c r="E148" s="4" t="s">
        <v>1553</v>
      </c>
      <c r="F148" s="4" t="s">
        <v>1374</v>
      </c>
      <c r="G148" s="4" t="s">
        <v>1375</v>
      </c>
      <c r="H148" s="13">
        <v>6</v>
      </c>
      <c r="I148" s="6" t="s">
        <v>323</v>
      </c>
      <c r="J148" s="6" t="s">
        <v>1554</v>
      </c>
    </row>
    <row r="149" spans="1:10" ht="30">
      <c r="A149" s="7" t="s">
        <v>318</v>
      </c>
      <c r="B149" s="15">
        <v>46054</v>
      </c>
      <c r="C149" s="5" t="s">
        <v>320</v>
      </c>
      <c r="D149" s="13">
        <v>3</v>
      </c>
      <c r="E149" s="4" t="s">
        <v>1555</v>
      </c>
      <c r="F149" s="4" t="s">
        <v>1378</v>
      </c>
      <c r="G149" s="4" t="s">
        <v>1379</v>
      </c>
      <c r="H149" s="13">
        <v>1</v>
      </c>
      <c r="I149" s="6" t="s">
        <v>323</v>
      </c>
      <c r="J149" s="6" t="s">
        <v>1556</v>
      </c>
    </row>
    <row r="150" spans="1:10" ht="30">
      <c r="A150" s="7" t="s">
        <v>324</v>
      </c>
      <c r="B150" s="15">
        <v>46085</v>
      </c>
      <c r="C150" s="5" t="s">
        <v>326</v>
      </c>
      <c r="D150" s="13">
        <v>1</v>
      </c>
      <c r="E150" s="4" t="s">
        <v>1557</v>
      </c>
      <c r="F150" s="4" t="s">
        <v>1370</v>
      </c>
      <c r="G150" s="4" t="s">
        <v>1371</v>
      </c>
      <c r="H150" s="13">
        <v>7</v>
      </c>
      <c r="I150" s="6" t="s">
        <v>329</v>
      </c>
      <c r="J150" s="6" t="s">
        <v>1558</v>
      </c>
    </row>
    <row r="151" spans="1:10" ht="30">
      <c r="A151" s="7" t="s">
        <v>324</v>
      </c>
      <c r="B151" s="15">
        <v>46085</v>
      </c>
      <c r="C151" s="5" t="s">
        <v>326</v>
      </c>
      <c r="D151" s="13">
        <v>2</v>
      </c>
      <c r="E151" s="4" t="s">
        <v>1559</v>
      </c>
      <c r="F151" s="4" t="s">
        <v>1374</v>
      </c>
      <c r="G151" s="4" t="s">
        <v>1375</v>
      </c>
      <c r="H151" s="13">
        <v>10</v>
      </c>
      <c r="I151" s="6" t="s">
        <v>329</v>
      </c>
      <c r="J151" s="6" t="s">
        <v>1560</v>
      </c>
    </row>
    <row r="152" spans="1:10" ht="30">
      <c r="A152" s="7" t="s">
        <v>324</v>
      </c>
      <c r="B152" s="15">
        <v>46085</v>
      </c>
      <c r="C152" s="5" t="s">
        <v>326</v>
      </c>
      <c r="D152" s="13">
        <v>3</v>
      </c>
      <c r="E152" s="4" t="s">
        <v>1561</v>
      </c>
      <c r="F152" s="4" t="s">
        <v>1378</v>
      </c>
      <c r="G152" s="4" t="s">
        <v>1379</v>
      </c>
      <c r="H152" s="13">
        <v>13</v>
      </c>
      <c r="I152" s="6" t="s">
        <v>329</v>
      </c>
      <c r="J152" s="6" t="s">
        <v>1562</v>
      </c>
    </row>
    <row r="153" spans="1:10" ht="30">
      <c r="A153" s="7" t="s">
        <v>330</v>
      </c>
      <c r="B153" s="15">
        <v>46119</v>
      </c>
      <c r="C153" s="5" t="s">
        <v>332</v>
      </c>
      <c r="D153" s="13">
        <v>1</v>
      </c>
      <c r="E153" s="4" t="s">
        <v>1563</v>
      </c>
      <c r="F153" s="4" t="s">
        <v>1370</v>
      </c>
      <c r="G153" s="4" t="s">
        <v>1371</v>
      </c>
      <c r="H153" s="13">
        <v>9</v>
      </c>
      <c r="I153" s="6" t="s">
        <v>335</v>
      </c>
      <c r="J153" s="6" t="s">
        <v>1564</v>
      </c>
    </row>
    <row r="154" spans="1:10" ht="30">
      <c r="A154" s="7" t="s">
        <v>330</v>
      </c>
      <c r="B154" s="15">
        <v>46119</v>
      </c>
      <c r="C154" s="5" t="s">
        <v>332</v>
      </c>
      <c r="D154" s="13">
        <v>2</v>
      </c>
      <c r="E154" s="4" t="s">
        <v>1565</v>
      </c>
      <c r="F154" s="4" t="s">
        <v>1374</v>
      </c>
      <c r="G154" s="4" t="s">
        <v>1375</v>
      </c>
      <c r="H154" s="13">
        <v>12</v>
      </c>
      <c r="I154" s="6" t="s">
        <v>335</v>
      </c>
      <c r="J154" s="6" t="s">
        <v>1566</v>
      </c>
    </row>
    <row r="155" spans="1:10" ht="30">
      <c r="A155" s="7" t="s">
        <v>336</v>
      </c>
      <c r="B155" s="15">
        <v>46152</v>
      </c>
      <c r="C155" s="5" t="s">
        <v>338</v>
      </c>
      <c r="D155" s="13">
        <v>1</v>
      </c>
      <c r="E155" s="4" t="s">
        <v>1567</v>
      </c>
      <c r="F155" s="4" t="s">
        <v>1370</v>
      </c>
      <c r="G155" s="4" t="s">
        <v>1371</v>
      </c>
      <c r="H155" s="13">
        <v>25</v>
      </c>
      <c r="I155" s="6" t="s">
        <v>341</v>
      </c>
      <c r="J155" s="6" t="s">
        <v>1568</v>
      </c>
    </row>
    <row r="156" spans="1:10" ht="30">
      <c r="A156" s="7" t="s">
        <v>336</v>
      </c>
      <c r="B156" s="15">
        <v>46152</v>
      </c>
      <c r="C156" s="5" t="s">
        <v>338</v>
      </c>
      <c r="D156" s="13">
        <v>2</v>
      </c>
      <c r="E156" s="4" t="s">
        <v>1569</v>
      </c>
      <c r="F156" s="4" t="s">
        <v>1374</v>
      </c>
      <c r="G156" s="4" t="s">
        <v>1375</v>
      </c>
      <c r="H156" s="13">
        <v>28</v>
      </c>
      <c r="I156" s="6" t="s">
        <v>341</v>
      </c>
      <c r="J156" s="6" t="s">
        <v>1570</v>
      </c>
    </row>
    <row r="157" spans="1:10" ht="30">
      <c r="A157" s="7" t="s">
        <v>336</v>
      </c>
      <c r="B157" s="15">
        <v>46152</v>
      </c>
      <c r="C157" s="5" t="s">
        <v>338</v>
      </c>
      <c r="D157" s="13">
        <v>3</v>
      </c>
      <c r="E157" s="4" t="s">
        <v>1571</v>
      </c>
      <c r="F157" s="4" t="s">
        <v>1378</v>
      </c>
      <c r="G157" s="4" t="s">
        <v>1379</v>
      </c>
      <c r="H157" s="13">
        <v>2</v>
      </c>
      <c r="I157" s="6" t="s">
        <v>341</v>
      </c>
      <c r="J157" s="6" t="s">
        <v>1572</v>
      </c>
    </row>
    <row r="158" spans="1:10" ht="30">
      <c r="A158" s="7" t="s">
        <v>342</v>
      </c>
      <c r="B158" s="15">
        <v>46186</v>
      </c>
      <c r="C158" s="5" t="s">
        <v>344</v>
      </c>
      <c r="D158" s="13">
        <v>1</v>
      </c>
      <c r="E158" s="4" t="s">
        <v>1573</v>
      </c>
      <c r="F158" s="4" t="s">
        <v>1370</v>
      </c>
      <c r="G158" s="4" t="s">
        <v>1371</v>
      </c>
      <c r="H158" s="13">
        <v>19</v>
      </c>
      <c r="I158" s="6" t="s">
        <v>347</v>
      </c>
      <c r="J158" s="6" t="s">
        <v>1574</v>
      </c>
    </row>
    <row r="159" spans="1:10" ht="30">
      <c r="A159" s="7" t="s">
        <v>342</v>
      </c>
      <c r="B159" s="15">
        <v>46186</v>
      </c>
      <c r="C159" s="5" t="s">
        <v>344</v>
      </c>
      <c r="D159" s="13">
        <v>2</v>
      </c>
      <c r="E159" s="4" t="s">
        <v>1575</v>
      </c>
      <c r="F159" s="4" t="s">
        <v>1374</v>
      </c>
      <c r="G159" s="4" t="s">
        <v>1375</v>
      </c>
      <c r="H159" s="13">
        <v>22</v>
      </c>
      <c r="I159" s="6" t="s">
        <v>347</v>
      </c>
      <c r="J159" s="6" t="s">
        <v>1576</v>
      </c>
    </row>
    <row r="160" spans="1:10" ht="30">
      <c r="A160" s="7" t="s">
        <v>342</v>
      </c>
      <c r="B160" s="15">
        <v>46186</v>
      </c>
      <c r="C160" s="5" t="s">
        <v>344</v>
      </c>
      <c r="D160" s="13">
        <v>3</v>
      </c>
      <c r="E160" s="4" t="s">
        <v>1577</v>
      </c>
      <c r="F160" s="4" t="s">
        <v>1378</v>
      </c>
      <c r="G160" s="4" t="s">
        <v>1379</v>
      </c>
      <c r="H160" s="13">
        <v>25</v>
      </c>
      <c r="I160" s="6" t="s">
        <v>347</v>
      </c>
      <c r="J160" s="6" t="s">
        <v>1578</v>
      </c>
    </row>
    <row r="161" spans="1:10" ht="30">
      <c r="A161" s="7" t="s">
        <v>348</v>
      </c>
      <c r="B161" s="15">
        <v>46038</v>
      </c>
      <c r="C161" s="5" t="s">
        <v>350</v>
      </c>
      <c r="D161" s="13">
        <v>1</v>
      </c>
      <c r="E161" s="4" t="s">
        <v>1579</v>
      </c>
      <c r="F161" s="4" t="s">
        <v>1370</v>
      </c>
      <c r="G161" s="4" t="s">
        <v>1371</v>
      </c>
      <c r="H161" s="13">
        <v>13</v>
      </c>
      <c r="I161" s="6" t="s">
        <v>353</v>
      </c>
      <c r="J161" s="6" t="s">
        <v>1580</v>
      </c>
    </row>
    <row r="162" spans="1:10" ht="30">
      <c r="A162" s="7" t="s">
        <v>348</v>
      </c>
      <c r="B162" s="15">
        <v>46038</v>
      </c>
      <c r="C162" s="5" t="s">
        <v>350</v>
      </c>
      <c r="D162" s="13">
        <v>2</v>
      </c>
      <c r="E162" s="4" t="s">
        <v>1581</v>
      </c>
      <c r="F162" s="4" t="s">
        <v>1374</v>
      </c>
      <c r="G162" s="4" t="s">
        <v>1375</v>
      </c>
      <c r="H162" s="13">
        <v>16</v>
      </c>
      <c r="I162" s="6" t="s">
        <v>353</v>
      </c>
      <c r="J162" s="6" t="s">
        <v>1582</v>
      </c>
    </row>
    <row r="163" spans="1:10" ht="30">
      <c r="A163" s="7" t="s">
        <v>348</v>
      </c>
      <c r="B163" s="15">
        <v>46038</v>
      </c>
      <c r="C163" s="5" t="s">
        <v>350</v>
      </c>
      <c r="D163" s="13">
        <v>3</v>
      </c>
      <c r="E163" s="4" t="s">
        <v>1583</v>
      </c>
      <c r="F163" s="4" t="s">
        <v>1378</v>
      </c>
      <c r="G163" s="4" t="s">
        <v>1379</v>
      </c>
      <c r="H163" s="13">
        <v>19</v>
      </c>
      <c r="I163" s="6" t="s">
        <v>353</v>
      </c>
      <c r="J163" s="6" t="s">
        <v>1584</v>
      </c>
    </row>
    <row r="164" spans="1:10" ht="30">
      <c r="A164" s="7" t="s">
        <v>354</v>
      </c>
      <c r="B164" s="15">
        <v>46072</v>
      </c>
      <c r="C164" s="5" t="s">
        <v>356</v>
      </c>
      <c r="D164" s="13">
        <v>1</v>
      </c>
      <c r="E164" s="4" t="s">
        <v>1585</v>
      </c>
      <c r="F164" s="4" t="s">
        <v>1370</v>
      </c>
      <c r="G164" s="4" t="s">
        <v>1371</v>
      </c>
      <c r="H164" s="13">
        <v>7</v>
      </c>
      <c r="I164" s="6" t="s">
        <v>359</v>
      </c>
      <c r="J164" s="6" t="s">
        <v>1586</v>
      </c>
    </row>
    <row r="165" spans="1:10" ht="30">
      <c r="A165" s="7" t="s">
        <v>354</v>
      </c>
      <c r="B165" s="15">
        <v>46072</v>
      </c>
      <c r="C165" s="5" t="s">
        <v>356</v>
      </c>
      <c r="D165" s="13">
        <v>2</v>
      </c>
      <c r="E165" s="4" t="s">
        <v>1587</v>
      </c>
      <c r="F165" s="4" t="s">
        <v>1374</v>
      </c>
      <c r="G165" s="4" t="s">
        <v>1375</v>
      </c>
      <c r="H165" s="13">
        <v>10</v>
      </c>
      <c r="I165" s="6" t="s">
        <v>359</v>
      </c>
      <c r="J165" s="6" t="s">
        <v>1588</v>
      </c>
    </row>
    <row r="166" spans="1:10">
      <c r="A166" s="7" t="s">
        <v>360</v>
      </c>
      <c r="B166" s="15">
        <v>46103</v>
      </c>
      <c r="C166" s="5" t="s">
        <v>362</v>
      </c>
      <c r="D166" s="13">
        <v>1</v>
      </c>
      <c r="E166" s="4" t="s">
        <v>1589</v>
      </c>
      <c r="F166" s="4" t="s">
        <v>1299</v>
      </c>
      <c r="G166" s="4" t="s">
        <v>1300</v>
      </c>
      <c r="H166" s="13">
        <v>1</v>
      </c>
      <c r="I166" s="6" t="s">
        <v>365</v>
      </c>
      <c r="J166" s="6" t="s">
        <v>1590</v>
      </c>
    </row>
    <row r="167" spans="1:10">
      <c r="A167" s="7" t="s">
        <v>360</v>
      </c>
      <c r="B167" s="15">
        <v>46103</v>
      </c>
      <c r="C167" s="5" t="s">
        <v>362</v>
      </c>
      <c r="D167" s="13">
        <v>2</v>
      </c>
      <c r="E167" s="4" t="s">
        <v>1591</v>
      </c>
      <c r="F167" s="4" t="s">
        <v>1303</v>
      </c>
      <c r="G167" s="4" t="s">
        <v>1304</v>
      </c>
      <c r="H167" s="13">
        <v>4</v>
      </c>
      <c r="I167" s="6" t="s">
        <v>365</v>
      </c>
      <c r="J167" s="6" t="s">
        <v>1592</v>
      </c>
    </row>
    <row r="168" spans="1:10">
      <c r="A168" s="7" t="s">
        <v>360</v>
      </c>
      <c r="B168" s="15">
        <v>46103</v>
      </c>
      <c r="C168" s="5" t="s">
        <v>362</v>
      </c>
      <c r="D168" s="13">
        <v>3</v>
      </c>
      <c r="E168" s="4" t="s">
        <v>1593</v>
      </c>
      <c r="F168" s="4" t="s">
        <v>1307</v>
      </c>
      <c r="G168" s="4" t="s">
        <v>1308</v>
      </c>
      <c r="H168" s="13">
        <v>7</v>
      </c>
      <c r="I168" s="6" t="s">
        <v>365</v>
      </c>
      <c r="J168" s="6" t="s">
        <v>1594</v>
      </c>
    </row>
    <row r="169" spans="1:10" ht="30">
      <c r="A169" s="7" t="s">
        <v>366</v>
      </c>
      <c r="B169" s="15">
        <v>46137</v>
      </c>
      <c r="C169" s="5" t="s">
        <v>368</v>
      </c>
      <c r="D169" s="13">
        <v>1</v>
      </c>
      <c r="E169" s="4" t="s">
        <v>1595</v>
      </c>
      <c r="F169" s="4" t="s">
        <v>1460</v>
      </c>
      <c r="G169" s="4" t="s">
        <v>1461</v>
      </c>
      <c r="H169" s="13">
        <v>5</v>
      </c>
      <c r="I169" s="6" t="s">
        <v>371</v>
      </c>
      <c r="J169" s="6" t="s">
        <v>1596</v>
      </c>
    </row>
    <row r="170" spans="1:10" ht="30">
      <c r="A170" s="7" t="s">
        <v>366</v>
      </c>
      <c r="B170" s="15">
        <v>46137</v>
      </c>
      <c r="C170" s="5" t="s">
        <v>368</v>
      </c>
      <c r="D170" s="13">
        <v>2</v>
      </c>
      <c r="E170" s="4" t="s">
        <v>1597</v>
      </c>
      <c r="F170" s="4" t="s">
        <v>1464</v>
      </c>
      <c r="G170" s="4" t="s">
        <v>1465</v>
      </c>
      <c r="H170" s="13">
        <v>2</v>
      </c>
      <c r="I170" s="6" t="s">
        <v>371</v>
      </c>
      <c r="J170" s="6" t="s">
        <v>1598</v>
      </c>
    </row>
    <row r="171" spans="1:10" ht="30">
      <c r="A171" s="7" t="s">
        <v>366</v>
      </c>
      <c r="B171" s="15">
        <v>46137</v>
      </c>
      <c r="C171" s="5" t="s">
        <v>368</v>
      </c>
      <c r="D171" s="13">
        <v>3</v>
      </c>
      <c r="E171" s="4" t="s">
        <v>1599</v>
      </c>
      <c r="F171" s="4" t="s">
        <v>1472</v>
      </c>
      <c r="G171" s="4" t="s">
        <v>1473</v>
      </c>
      <c r="H171" s="13">
        <v>5</v>
      </c>
      <c r="I171" s="6" t="s">
        <v>371</v>
      </c>
      <c r="J171" s="6" t="s">
        <v>1600</v>
      </c>
    </row>
    <row r="172" spans="1:10">
      <c r="A172" s="7" t="s">
        <v>366</v>
      </c>
      <c r="B172" s="15">
        <v>46137</v>
      </c>
      <c r="C172" s="5" t="s">
        <v>368</v>
      </c>
      <c r="D172" s="13">
        <v>4</v>
      </c>
      <c r="E172" s="4" t="s">
        <v>1601</v>
      </c>
      <c r="F172" s="4" t="s">
        <v>1602</v>
      </c>
      <c r="G172" s="4" t="s">
        <v>1603</v>
      </c>
      <c r="H172" s="13">
        <v>2</v>
      </c>
      <c r="I172" s="6" t="s">
        <v>371</v>
      </c>
      <c r="J172" s="6" t="s">
        <v>1604</v>
      </c>
    </row>
    <row r="173" spans="1:10">
      <c r="A173" s="7" t="s">
        <v>372</v>
      </c>
      <c r="B173" s="15">
        <v>46145</v>
      </c>
      <c r="C173" s="5" t="s">
        <v>374</v>
      </c>
      <c r="D173" s="13">
        <v>1</v>
      </c>
      <c r="E173" s="4" t="s">
        <v>1605</v>
      </c>
      <c r="F173" s="4" t="s">
        <v>1460</v>
      </c>
      <c r="G173" s="4" t="s">
        <v>1461</v>
      </c>
      <c r="H173" s="13">
        <v>8</v>
      </c>
      <c r="I173" s="6" t="s">
        <v>377</v>
      </c>
      <c r="J173" s="6" t="s">
        <v>1606</v>
      </c>
    </row>
    <row r="174" spans="1:10">
      <c r="A174" s="7" t="s">
        <v>372</v>
      </c>
      <c r="B174" s="15">
        <v>46145</v>
      </c>
      <c r="C174" s="5" t="s">
        <v>374</v>
      </c>
      <c r="D174" s="13">
        <v>2</v>
      </c>
      <c r="E174" s="4" t="s">
        <v>1607</v>
      </c>
      <c r="F174" s="4" t="s">
        <v>1464</v>
      </c>
      <c r="G174" s="4" t="s">
        <v>1465</v>
      </c>
      <c r="H174" s="13">
        <v>11</v>
      </c>
      <c r="I174" s="6" t="s">
        <v>377</v>
      </c>
      <c r="J174" s="6" t="s">
        <v>1608</v>
      </c>
    </row>
    <row r="175" spans="1:10" ht="30">
      <c r="A175" s="7" t="s">
        <v>372</v>
      </c>
      <c r="B175" s="15">
        <v>46145</v>
      </c>
      <c r="C175" s="5" t="s">
        <v>374</v>
      </c>
      <c r="D175" s="13">
        <v>3</v>
      </c>
      <c r="E175" s="4" t="s">
        <v>1609</v>
      </c>
      <c r="F175" s="4" t="s">
        <v>1472</v>
      </c>
      <c r="G175" s="4" t="s">
        <v>1473</v>
      </c>
      <c r="H175" s="13">
        <v>1</v>
      </c>
      <c r="I175" s="6" t="s">
        <v>377</v>
      </c>
      <c r="J175" s="6" t="s">
        <v>1610</v>
      </c>
    </row>
    <row r="176" spans="1:10">
      <c r="A176" s="7" t="s">
        <v>372</v>
      </c>
      <c r="B176" s="15">
        <v>46145</v>
      </c>
      <c r="C176" s="5" t="s">
        <v>374</v>
      </c>
      <c r="D176" s="13">
        <v>4</v>
      </c>
      <c r="E176" s="4" t="s">
        <v>1611</v>
      </c>
      <c r="F176" s="4" t="s">
        <v>1602</v>
      </c>
      <c r="G176" s="4" t="s">
        <v>1603</v>
      </c>
      <c r="H176" s="13">
        <v>4</v>
      </c>
      <c r="I176" s="6" t="s">
        <v>377</v>
      </c>
      <c r="J176" s="6" t="s">
        <v>1612</v>
      </c>
    </row>
    <row r="177" spans="1:10">
      <c r="A177" s="7" t="s">
        <v>378</v>
      </c>
      <c r="B177" s="15">
        <v>46058</v>
      </c>
      <c r="C177" s="5" t="s">
        <v>380</v>
      </c>
      <c r="D177" s="13">
        <v>1</v>
      </c>
      <c r="E177" s="4" t="s">
        <v>1613</v>
      </c>
      <c r="F177" s="4" t="s">
        <v>1249</v>
      </c>
      <c r="G177" s="4" t="s">
        <v>1202</v>
      </c>
      <c r="H177" s="13">
        <v>15</v>
      </c>
      <c r="I177" s="6" t="s">
        <v>383</v>
      </c>
      <c r="J177" s="6" t="s">
        <v>1614</v>
      </c>
    </row>
    <row r="178" spans="1:10" ht="30">
      <c r="A178" s="7" t="s">
        <v>378</v>
      </c>
      <c r="B178" s="15">
        <v>46058</v>
      </c>
      <c r="C178" s="5" t="s">
        <v>380</v>
      </c>
      <c r="D178" s="13">
        <v>2</v>
      </c>
      <c r="E178" s="4" t="s">
        <v>1615</v>
      </c>
      <c r="F178" s="4" t="s">
        <v>1252</v>
      </c>
      <c r="G178" s="4" t="s">
        <v>1253</v>
      </c>
      <c r="H178" s="13">
        <v>18</v>
      </c>
      <c r="I178" s="6" t="s">
        <v>383</v>
      </c>
      <c r="J178" s="6" t="s">
        <v>1616</v>
      </c>
    </row>
    <row r="179" spans="1:10">
      <c r="A179" s="7" t="s">
        <v>384</v>
      </c>
      <c r="B179" s="15">
        <v>46179</v>
      </c>
      <c r="C179" s="5" t="s">
        <v>386</v>
      </c>
      <c r="D179" s="13">
        <v>1</v>
      </c>
      <c r="E179" s="4" t="s">
        <v>1617</v>
      </c>
      <c r="F179" s="4" t="s">
        <v>1414</v>
      </c>
      <c r="G179" s="4" t="s">
        <v>1293</v>
      </c>
      <c r="H179" s="13">
        <v>1</v>
      </c>
      <c r="I179" s="6" t="s">
        <v>389</v>
      </c>
      <c r="J179" s="6" t="s">
        <v>1618</v>
      </c>
    </row>
    <row r="180" spans="1:10">
      <c r="A180" s="7" t="s">
        <v>384</v>
      </c>
      <c r="B180" s="15">
        <v>46179</v>
      </c>
      <c r="C180" s="5" t="s">
        <v>386</v>
      </c>
      <c r="D180" s="13">
        <v>2</v>
      </c>
      <c r="E180" s="4" t="s">
        <v>1619</v>
      </c>
      <c r="F180" s="4" t="s">
        <v>1417</v>
      </c>
      <c r="G180" s="4" t="s">
        <v>1184</v>
      </c>
      <c r="H180" s="13">
        <v>4</v>
      </c>
      <c r="I180" s="6" t="s">
        <v>389</v>
      </c>
      <c r="J180" s="6" t="s">
        <v>1620</v>
      </c>
    </row>
    <row r="181" spans="1:10">
      <c r="A181" s="7" t="s">
        <v>390</v>
      </c>
      <c r="B181" s="15">
        <v>46031</v>
      </c>
      <c r="C181" s="5" t="s">
        <v>392</v>
      </c>
      <c r="D181" s="13">
        <v>1</v>
      </c>
      <c r="E181" s="4" t="s">
        <v>1621</v>
      </c>
      <c r="F181" s="4" t="s">
        <v>1249</v>
      </c>
      <c r="G181" s="4" t="s">
        <v>1202</v>
      </c>
      <c r="H181" s="13">
        <v>8</v>
      </c>
      <c r="I181" s="6" t="s">
        <v>395</v>
      </c>
      <c r="J181" s="6" t="s">
        <v>1622</v>
      </c>
    </row>
    <row r="182" spans="1:10" ht="30">
      <c r="A182" s="7" t="s">
        <v>390</v>
      </c>
      <c r="B182" s="15">
        <v>46031</v>
      </c>
      <c r="C182" s="5" t="s">
        <v>392</v>
      </c>
      <c r="D182" s="13">
        <v>2</v>
      </c>
      <c r="E182" s="4" t="s">
        <v>1623</v>
      </c>
      <c r="F182" s="4" t="s">
        <v>1252</v>
      </c>
      <c r="G182" s="4" t="s">
        <v>1253</v>
      </c>
      <c r="H182" s="13">
        <v>11</v>
      </c>
      <c r="I182" s="6" t="s">
        <v>395</v>
      </c>
      <c r="J182" s="6" t="s">
        <v>1624</v>
      </c>
    </row>
    <row r="183" spans="1:10">
      <c r="A183" s="7" t="s">
        <v>390</v>
      </c>
      <c r="B183" s="15">
        <v>46031</v>
      </c>
      <c r="C183" s="5" t="s">
        <v>392</v>
      </c>
      <c r="D183" s="13">
        <v>3</v>
      </c>
      <c r="E183" s="4" t="s">
        <v>1625</v>
      </c>
      <c r="F183" s="4" t="s">
        <v>1187</v>
      </c>
      <c r="G183" s="4" t="s">
        <v>1256</v>
      </c>
      <c r="H183" s="13">
        <v>14</v>
      </c>
      <c r="I183" s="6" t="s">
        <v>395</v>
      </c>
      <c r="J183" s="6" t="s">
        <v>1626</v>
      </c>
    </row>
    <row r="184" spans="1:10">
      <c r="A184" s="7" t="s">
        <v>396</v>
      </c>
      <c r="B184" s="15">
        <v>46065</v>
      </c>
      <c r="C184" s="5" t="s">
        <v>398</v>
      </c>
      <c r="D184" s="13">
        <v>1</v>
      </c>
      <c r="E184" s="4" t="s">
        <v>1627</v>
      </c>
      <c r="F184" s="4" t="s">
        <v>1217</v>
      </c>
      <c r="G184" s="4" t="s">
        <v>1218</v>
      </c>
      <c r="H184" s="13">
        <v>29</v>
      </c>
      <c r="I184" s="6" t="s">
        <v>401</v>
      </c>
      <c r="J184" s="6" t="s">
        <v>1628</v>
      </c>
    </row>
    <row r="185" spans="1:10">
      <c r="A185" s="7" t="s">
        <v>396</v>
      </c>
      <c r="B185" s="15">
        <v>46065</v>
      </c>
      <c r="C185" s="5" t="s">
        <v>398</v>
      </c>
      <c r="D185" s="13">
        <v>2</v>
      </c>
      <c r="E185" s="4" t="s">
        <v>1629</v>
      </c>
      <c r="F185" s="4" t="s">
        <v>1221</v>
      </c>
      <c r="G185" s="4" t="s">
        <v>1222</v>
      </c>
      <c r="H185" s="13">
        <v>32</v>
      </c>
      <c r="I185" s="6" t="s">
        <v>401</v>
      </c>
      <c r="J185" s="6" t="s">
        <v>1630</v>
      </c>
    </row>
    <row r="186" spans="1:10" ht="30">
      <c r="A186" s="7" t="s">
        <v>396</v>
      </c>
      <c r="B186" s="15">
        <v>46065</v>
      </c>
      <c r="C186" s="5" t="s">
        <v>398</v>
      </c>
      <c r="D186" s="13">
        <v>3</v>
      </c>
      <c r="E186" s="4" t="s">
        <v>1631</v>
      </c>
      <c r="F186" s="4" t="s">
        <v>1396</v>
      </c>
      <c r="G186" s="4" t="s">
        <v>1397</v>
      </c>
      <c r="H186" s="13">
        <v>1</v>
      </c>
      <c r="I186" s="6" t="s">
        <v>401</v>
      </c>
      <c r="J186" s="6" t="s">
        <v>1632</v>
      </c>
    </row>
    <row r="187" spans="1:10">
      <c r="A187" s="7" t="s">
        <v>396</v>
      </c>
      <c r="B187" s="15">
        <v>46065</v>
      </c>
      <c r="C187" s="5" t="s">
        <v>398</v>
      </c>
      <c r="D187" s="13">
        <v>4</v>
      </c>
      <c r="E187" s="4" t="s">
        <v>1633</v>
      </c>
      <c r="F187" s="4" t="s">
        <v>1400</v>
      </c>
      <c r="G187" s="4" t="s">
        <v>1401</v>
      </c>
      <c r="H187" s="13">
        <v>4</v>
      </c>
      <c r="I187" s="6" t="s">
        <v>401</v>
      </c>
      <c r="J187" s="6" t="s">
        <v>1634</v>
      </c>
    </row>
    <row r="188" spans="1:10">
      <c r="A188" s="7" t="s">
        <v>402</v>
      </c>
      <c r="B188" s="15">
        <v>46096</v>
      </c>
      <c r="C188" s="5" t="s">
        <v>404</v>
      </c>
      <c r="D188" s="13">
        <v>1</v>
      </c>
      <c r="E188" s="4" t="s">
        <v>1635</v>
      </c>
      <c r="F188" s="4" t="s">
        <v>1249</v>
      </c>
      <c r="G188" s="4" t="s">
        <v>1202</v>
      </c>
      <c r="H188" s="13">
        <v>23</v>
      </c>
      <c r="I188" s="6" t="s">
        <v>407</v>
      </c>
      <c r="J188" s="6" t="s">
        <v>1636</v>
      </c>
    </row>
    <row r="189" spans="1:10" ht="30">
      <c r="A189" s="7" t="s">
        <v>402</v>
      </c>
      <c r="B189" s="15">
        <v>46096</v>
      </c>
      <c r="C189" s="5" t="s">
        <v>404</v>
      </c>
      <c r="D189" s="13">
        <v>2</v>
      </c>
      <c r="E189" s="4" t="s">
        <v>1637</v>
      </c>
      <c r="F189" s="4" t="s">
        <v>1252</v>
      </c>
      <c r="G189" s="4" t="s">
        <v>1253</v>
      </c>
      <c r="H189" s="13">
        <v>26</v>
      </c>
      <c r="I189" s="6" t="s">
        <v>407</v>
      </c>
      <c r="J189" s="6" t="s">
        <v>1638</v>
      </c>
    </row>
    <row r="190" spans="1:10">
      <c r="A190" s="7" t="s">
        <v>402</v>
      </c>
      <c r="B190" s="15">
        <v>46096</v>
      </c>
      <c r="C190" s="5" t="s">
        <v>404</v>
      </c>
      <c r="D190" s="13">
        <v>3</v>
      </c>
      <c r="E190" s="4" t="s">
        <v>1639</v>
      </c>
      <c r="F190" s="4" t="s">
        <v>1187</v>
      </c>
      <c r="G190" s="4" t="s">
        <v>1256</v>
      </c>
      <c r="H190" s="13">
        <v>29</v>
      </c>
      <c r="I190" s="6" t="s">
        <v>407</v>
      </c>
      <c r="J190" s="6" t="s">
        <v>1640</v>
      </c>
    </row>
    <row r="191" spans="1:10">
      <c r="A191" s="7" t="s">
        <v>402</v>
      </c>
      <c r="B191" s="15">
        <v>46096</v>
      </c>
      <c r="C191" s="5" t="s">
        <v>404</v>
      </c>
      <c r="D191" s="13">
        <v>4</v>
      </c>
      <c r="E191" s="4" t="s">
        <v>1641</v>
      </c>
      <c r="F191" s="4" t="s">
        <v>1259</v>
      </c>
      <c r="G191" s="4" t="s">
        <v>1260</v>
      </c>
      <c r="H191" s="13">
        <v>32</v>
      </c>
      <c r="I191" s="6" t="s">
        <v>407</v>
      </c>
      <c r="J191" s="6" t="s">
        <v>1642</v>
      </c>
    </row>
    <row r="192" spans="1:10">
      <c r="A192" s="7" t="s">
        <v>408</v>
      </c>
      <c r="B192" s="15">
        <v>46130</v>
      </c>
      <c r="C192" s="5" t="s">
        <v>410</v>
      </c>
      <c r="D192" s="13">
        <v>1</v>
      </c>
      <c r="E192" s="4" t="s">
        <v>1643</v>
      </c>
      <c r="F192" s="4" t="s">
        <v>1179</v>
      </c>
      <c r="G192" s="4" t="s">
        <v>1180</v>
      </c>
      <c r="H192" s="13">
        <v>17</v>
      </c>
      <c r="I192" s="6" t="s">
        <v>413</v>
      </c>
      <c r="J192" s="6" t="s">
        <v>1644</v>
      </c>
    </row>
    <row r="193" spans="1:10" ht="30">
      <c r="A193" s="7" t="s">
        <v>408</v>
      </c>
      <c r="B193" s="15">
        <v>46130</v>
      </c>
      <c r="C193" s="5" t="s">
        <v>410</v>
      </c>
      <c r="D193" s="13">
        <v>2</v>
      </c>
      <c r="E193" s="4" t="s">
        <v>1645</v>
      </c>
      <c r="F193" s="4" t="s">
        <v>1183</v>
      </c>
      <c r="G193" s="4" t="s">
        <v>1184</v>
      </c>
      <c r="H193" s="13">
        <v>20</v>
      </c>
      <c r="I193" s="6" t="s">
        <v>413</v>
      </c>
      <c r="J193" s="6" t="s">
        <v>1646</v>
      </c>
    </row>
    <row r="194" spans="1:10">
      <c r="A194" s="7" t="s">
        <v>414</v>
      </c>
      <c r="B194" s="15">
        <v>46163</v>
      </c>
      <c r="C194" s="5" t="s">
        <v>416</v>
      </c>
      <c r="D194" s="13">
        <v>1</v>
      </c>
      <c r="E194" s="4" t="s">
        <v>1647</v>
      </c>
      <c r="F194" s="4" t="s">
        <v>1179</v>
      </c>
      <c r="G194" s="4" t="s">
        <v>1180</v>
      </c>
      <c r="H194" s="13">
        <v>11</v>
      </c>
      <c r="I194" s="6" t="s">
        <v>419</v>
      </c>
      <c r="J194" s="6" t="s">
        <v>1648</v>
      </c>
    </row>
    <row r="195" spans="1:10" ht="30">
      <c r="A195" s="7" t="s">
        <v>414</v>
      </c>
      <c r="B195" s="15">
        <v>46163</v>
      </c>
      <c r="C195" s="5" t="s">
        <v>416</v>
      </c>
      <c r="D195" s="13">
        <v>2</v>
      </c>
      <c r="E195" s="4" t="s">
        <v>1649</v>
      </c>
      <c r="F195" s="4" t="s">
        <v>1183</v>
      </c>
      <c r="G195" s="4" t="s">
        <v>1184</v>
      </c>
      <c r="H195" s="13">
        <v>14</v>
      </c>
      <c r="I195" s="6" t="s">
        <v>419</v>
      </c>
      <c r="J195" s="6" t="s">
        <v>1650</v>
      </c>
    </row>
    <row r="196" spans="1:10">
      <c r="A196" s="7" t="s">
        <v>414</v>
      </c>
      <c r="B196" s="15">
        <v>46163</v>
      </c>
      <c r="C196" s="5" t="s">
        <v>416</v>
      </c>
      <c r="D196" s="13">
        <v>3</v>
      </c>
      <c r="E196" s="4" t="s">
        <v>1651</v>
      </c>
      <c r="F196" s="4" t="s">
        <v>1187</v>
      </c>
      <c r="G196" s="4" t="s">
        <v>1188</v>
      </c>
      <c r="H196" s="13">
        <v>17</v>
      </c>
      <c r="I196" s="6" t="s">
        <v>419</v>
      </c>
      <c r="J196" s="6" t="s">
        <v>1652</v>
      </c>
    </row>
    <row r="197" spans="1:10">
      <c r="A197" s="7" t="s">
        <v>420</v>
      </c>
      <c r="B197" s="15">
        <v>46197</v>
      </c>
      <c r="C197" s="5" t="s">
        <v>422</v>
      </c>
      <c r="D197" s="13">
        <v>1</v>
      </c>
      <c r="E197" s="4" t="s">
        <v>1653</v>
      </c>
      <c r="F197" s="4" t="s">
        <v>1179</v>
      </c>
      <c r="G197" s="4" t="s">
        <v>1180</v>
      </c>
      <c r="H197" s="13">
        <v>5</v>
      </c>
      <c r="I197" s="6" t="s">
        <v>425</v>
      </c>
      <c r="J197" s="6" t="s">
        <v>1654</v>
      </c>
    </row>
    <row r="198" spans="1:10" ht="30">
      <c r="A198" s="7" t="s">
        <v>420</v>
      </c>
      <c r="B198" s="15">
        <v>46197</v>
      </c>
      <c r="C198" s="5" t="s">
        <v>422</v>
      </c>
      <c r="D198" s="13">
        <v>2</v>
      </c>
      <c r="E198" s="4" t="s">
        <v>1655</v>
      </c>
      <c r="F198" s="4" t="s">
        <v>1183</v>
      </c>
      <c r="G198" s="4" t="s">
        <v>1184</v>
      </c>
      <c r="H198" s="13">
        <v>8</v>
      </c>
      <c r="I198" s="6" t="s">
        <v>425</v>
      </c>
      <c r="J198" s="6" t="s">
        <v>1656</v>
      </c>
    </row>
    <row r="199" spans="1:10">
      <c r="A199" s="7" t="s">
        <v>420</v>
      </c>
      <c r="B199" s="15">
        <v>46197</v>
      </c>
      <c r="C199" s="5" t="s">
        <v>422</v>
      </c>
      <c r="D199" s="13">
        <v>3</v>
      </c>
      <c r="E199" s="4" t="s">
        <v>1657</v>
      </c>
      <c r="F199" s="4" t="s">
        <v>1187</v>
      </c>
      <c r="G199" s="4" t="s">
        <v>1188</v>
      </c>
      <c r="H199" s="13">
        <v>11</v>
      </c>
      <c r="I199" s="6" t="s">
        <v>425</v>
      </c>
      <c r="J199" s="6" t="s">
        <v>1658</v>
      </c>
    </row>
    <row r="200" spans="1:10">
      <c r="A200" s="7" t="s">
        <v>420</v>
      </c>
      <c r="B200" s="15">
        <v>46197</v>
      </c>
      <c r="C200" s="5" t="s">
        <v>422</v>
      </c>
      <c r="D200" s="13">
        <v>4</v>
      </c>
      <c r="E200" s="4" t="s">
        <v>1659</v>
      </c>
      <c r="F200" s="4" t="s">
        <v>1197</v>
      </c>
      <c r="G200" s="4" t="s">
        <v>1198</v>
      </c>
      <c r="H200" s="13">
        <v>14</v>
      </c>
      <c r="I200" s="6" t="s">
        <v>425</v>
      </c>
      <c r="J200" s="6" t="s">
        <v>1660</v>
      </c>
    </row>
    <row r="201" spans="1:10">
      <c r="A201" s="7" t="s">
        <v>426</v>
      </c>
      <c r="B201" s="15">
        <v>46024</v>
      </c>
      <c r="C201" s="5" t="s">
        <v>428</v>
      </c>
      <c r="D201" s="13">
        <v>1</v>
      </c>
      <c r="E201" s="4" t="s">
        <v>1661</v>
      </c>
      <c r="F201" s="4" t="s">
        <v>1249</v>
      </c>
      <c r="G201" s="4" t="s">
        <v>1202</v>
      </c>
      <c r="H201" s="13">
        <v>2</v>
      </c>
      <c r="I201" s="6" t="s">
        <v>431</v>
      </c>
      <c r="J201" s="6" t="s">
        <v>1662</v>
      </c>
    </row>
    <row r="202" spans="1:10" ht="30">
      <c r="A202" s="7" t="s">
        <v>426</v>
      </c>
      <c r="B202" s="15">
        <v>46024</v>
      </c>
      <c r="C202" s="5" t="s">
        <v>428</v>
      </c>
      <c r="D202" s="13">
        <v>2</v>
      </c>
      <c r="E202" s="4" t="s">
        <v>1663</v>
      </c>
      <c r="F202" s="4" t="s">
        <v>1252</v>
      </c>
      <c r="G202" s="4" t="s">
        <v>1253</v>
      </c>
      <c r="H202" s="13">
        <v>5</v>
      </c>
      <c r="I202" s="6" t="s">
        <v>431</v>
      </c>
      <c r="J202" s="6" t="s">
        <v>1664</v>
      </c>
    </row>
    <row r="203" spans="1:10">
      <c r="A203" s="7" t="s">
        <v>426</v>
      </c>
      <c r="B203" s="15">
        <v>46024</v>
      </c>
      <c r="C203" s="5" t="s">
        <v>428</v>
      </c>
      <c r="D203" s="13">
        <v>3</v>
      </c>
      <c r="E203" s="4" t="s">
        <v>1665</v>
      </c>
      <c r="F203" s="4" t="s">
        <v>1187</v>
      </c>
      <c r="G203" s="4" t="s">
        <v>1256</v>
      </c>
      <c r="H203" s="13">
        <v>8</v>
      </c>
      <c r="I203" s="6" t="s">
        <v>431</v>
      </c>
      <c r="J203" s="6" t="s">
        <v>1666</v>
      </c>
    </row>
    <row r="204" spans="1:10">
      <c r="A204" s="7" t="s">
        <v>426</v>
      </c>
      <c r="B204" s="15">
        <v>46024</v>
      </c>
      <c r="C204" s="5" t="s">
        <v>428</v>
      </c>
      <c r="D204" s="13">
        <v>4</v>
      </c>
      <c r="E204" s="4" t="s">
        <v>1667</v>
      </c>
      <c r="F204" s="4" t="s">
        <v>1259</v>
      </c>
      <c r="G204" s="4" t="s">
        <v>1260</v>
      </c>
      <c r="H204" s="13">
        <v>11</v>
      </c>
      <c r="I204" s="6" t="s">
        <v>431</v>
      </c>
      <c r="J204" s="6" t="s">
        <v>1668</v>
      </c>
    </row>
    <row r="205" spans="1:10" ht="30">
      <c r="A205" s="7" t="s">
        <v>432</v>
      </c>
      <c r="B205" s="15">
        <v>46089</v>
      </c>
      <c r="C205" s="5" t="s">
        <v>434</v>
      </c>
      <c r="D205" s="13">
        <v>1</v>
      </c>
      <c r="E205" s="4" t="s">
        <v>1669</v>
      </c>
      <c r="F205" s="4" t="s">
        <v>1281</v>
      </c>
      <c r="G205" s="4" t="s">
        <v>1202</v>
      </c>
      <c r="H205" s="13">
        <v>20</v>
      </c>
      <c r="I205" s="6" t="s">
        <v>437</v>
      </c>
      <c r="J205" s="6" t="s">
        <v>1670</v>
      </c>
    </row>
    <row r="206" spans="1:10" ht="30">
      <c r="A206" s="7" t="s">
        <v>432</v>
      </c>
      <c r="B206" s="15">
        <v>46089</v>
      </c>
      <c r="C206" s="5" t="s">
        <v>434</v>
      </c>
      <c r="D206" s="13">
        <v>2</v>
      </c>
      <c r="E206" s="4" t="s">
        <v>1671</v>
      </c>
      <c r="F206" s="4" t="s">
        <v>1284</v>
      </c>
      <c r="G206" s="4" t="s">
        <v>1285</v>
      </c>
      <c r="H206" s="13">
        <v>23</v>
      </c>
      <c r="I206" s="6" t="s">
        <v>437</v>
      </c>
      <c r="J206" s="6" t="s">
        <v>1672</v>
      </c>
    </row>
    <row r="207" spans="1:10" ht="30">
      <c r="A207" s="7" t="s">
        <v>432</v>
      </c>
      <c r="B207" s="15">
        <v>46089</v>
      </c>
      <c r="C207" s="5" t="s">
        <v>434</v>
      </c>
      <c r="D207" s="13">
        <v>3</v>
      </c>
      <c r="E207" s="4" t="s">
        <v>1673</v>
      </c>
      <c r="F207" s="4" t="s">
        <v>1288</v>
      </c>
      <c r="G207" s="4" t="s">
        <v>1289</v>
      </c>
      <c r="H207" s="13">
        <v>1</v>
      </c>
      <c r="I207" s="6" t="s">
        <v>437</v>
      </c>
      <c r="J207" s="6" t="s">
        <v>1674</v>
      </c>
    </row>
    <row r="208" spans="1:10" ht="30">
      <c r="A208" s="7" t="s">
        <v>438</v>
      </c>
      <c r="B208" s="15">
        <v>46123</v>
      </c>
      <c r="C208" s="5" t="s">
        <v>440</v>
      </c>
      <c r="D208" s="13">
        <v>1</v>
      </c>
      <c r="E208" s="4" t="s">
        <v>1675</v>
      </c>
      <c r="F208" s="4" t="s">
        <v>1281</v>
      </c>
      <c r="G208" s="4" t="s">
        <v>1202</v>
      </c>
      <c r="H208" s="13">
        <v>7</v>
      </c>
      <c r="I208" s="6" t="s">
        <v>443</v>
      </c>
      <c r="J208" s="6" t="s">
        <v>1676</v>
      </c>
    </row>
    <row r="209" spans="1:10" ht="30">
      <c r="A209" s="7" t="s">
        <v>438</v>
      </c>
      <c r="B209" s="15">
        <v>46123</v>
      </c>
      <c r="C209" s="5" t="s">
        <v>440</v>
      </c>
      <c r="D209" s="13">
        <v>2</v>
      </c>
      <c r="E209" s="4" t="s">
        <v>1677</v>
      </c>
      <c r="F209" s="4" t="s">
        <v>1284</v>
      </c>
      <c r="G209" s="4" t="s">
        <v>1285</v>
      </c>
      <c r="H209" s="13">
        <v>10</v>
      </c>
      <c r="I209" s="6" t="s">
        <v>443</v>
      </c>
      <c r="J209" s="6" t="s">
        <v>1678</v>
      </c>
    </row>
    <row r="210" spans="1:10" ht="30">
      <c r="A210" s="7" t="s">
        <v>438</v>
      </c>
      <c r="B210" s="15">
        <v>46123</v>
      </c>
      <c r="C210" s="5" t="s">
        <v>440</v>
      </c>
      <c r="D210" s="13">
        <v>3</v>
      </c>
      <c r="E210" s="4" t="s">
        <v>1679</v>
      </c>
      <c r="F210" s="4" t="s">
        <v>1288</v>
      </c>
      <c r="G210" s="4" t="s">
        <v>1289</v>
      </c>
      <c r="H210" s="13">
        <v>13</v>
      </c>
      <c r="I210" s="6" t="s">
        <v>443</v>
      </c>
      <c r="J210" s="6" t="s">
        <v>1680</v>
      </c>
    </row>
  </sheetData>
  <mergeCells count="2">
    <mergeCell ref="A1:J1"/>
    <mergeCell ref="A2:J2"/>
  </mergeCells>
  <dataValidations count="1">
    <dataValidation type="whole" operator="greaterThanOrEqual" sqref="D4:D1048576 H4:H1048576" xr:uid="{00000000-0002-0000-0200-000000000000}">
      <formula1>1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488"/>
  <sheetViews>
    <sheetView showGridLines="0" zoomScale="139" zoomScaleNormal="100" workbookViewId="0">
      <pane xSplit="1" ySplit="3" topLeftCell="B4" activePane="bottomRight" state="frozen"/>
      <selection pane="topRight"/>
      <selection pane="bottomLeft"/>
      <selection pane="bottomRight" activeCell="A5" sqref="A5"/>
    </sheetView>
  </sheetViews>
  <sheetFormatPr baseColWidth="10" defaultColWidth="8.83203125" defaultRowHeight="15"/>
  <cols>
    <col min="1" max="1" width="32" customWidth="1"/>
    <col min="2" max="2" width="16" customWidth="1"/>
    <col min="3" max="3" width="19" customWidth="1"/>
    <col min="4" max="4" width="12" customWidth="1"/>
    <col min="5" max="5" width="28" customWidth="1"/>
    <col min="6" max="6" width="38" customWidth="1"/>
    <col min="7" max="8" width="18" customWidth="1"/>
    <col min="9" max="10" width="16" customWidth="1"/>
    <col min="11" max="12" width="15" customWidth="1"/>
    <col min="13" max="13" width="42" customWidth="1"/>
    <col min="14" max="14" width="17" customWidth="1"/>
    <col min="15" max="15" width="23" customWidth="1"/>
    <col min="16" max="16" width="36" customWidth="1"/>
    <col min="17" max="17" width="32" customWidth="1"/>
    <col min="18" max="18" width="14" customWidth="1"/>
    <col min="19" max="19" width="20" customWidth="1"/>
    <col min="20" max="20" width="24" customWidth="1"/>
    <col min="21" max="21" width="16" customWidth="1"/>
  </cols>
  <sheetData>
    <row r="1" spans="1:21" ht="28" customHeight="1">
      <c r="A1" s="38" t="s">
        <v>1681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</row>
    <row r="2" spans="1:21" ht="32" customHeight="1">
      <c r="A2" s="30" t="s">
        <v>3095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</row>
    <row r="3" spans="1:21" ht="34" customHeight="1">
      <c r="A3" s="1" t="s">
        <v>1</v>
      </c>
      <c r="B3" s="2" t="s">
        <v>2</v>
      </c>
      <c r="C3" s="2" t="s">
        <v>9</v>
      </c>
      <c r="D3" s="2" t="s">
        <v>1682</v>
      </c>
      <c r="E3" s="2" t="s">
        <v>1683</v>
      </c>
      <c r="F3" s="2" t="s">
        <v>1684</v>
      </c>
      <c r="G3" s="2" t="s">
        <v>1685</v>
      </c>
      <c r="H3" s="2" t="s">
        <v>1686</v>
      </c>
      <c r="I3" s="2" t="s">
        <v>1687</v>
      </c>
      <c r="J3" s="2" t="s">
        <v>1688</v>
      </c>
      <c r="K3" s="2" t="s">
        <v>1689</v>
      </c>
      <c r="L3" s="2" t="s">
        <v>1690</v>
      </c>
      <c r="M3" s="2" t="s">
        <v>1691</v>
      </c>
      <c r="N3" s="2" t="s">
        <v>1692</v>
      </c>
      <c r="O3" s="2" t="s">
        <v>1693</v>
      </c>
      <c r="P3" s="2" t="s">
        <v>1694</v>
      </c>
      <c r="Q3" s="2" t="s">
        <v>1695</v>
      </c>
      <c r="R3" s="2" t="s">
        <v>1696</v>
      </c>
      <c r="S3" s="2" t="s">
        <v>13</v>
      </c>
      <c r="T3" s="2" t="s">
        <v>1697</v>
      </c>
      <c r="U3" s="3" t="s">
        <v>1698</v>
      </c>
    </row>
    <row r="4" spans="1:21" ht="30">
      <c r="A4" s="7" t="s">
        <v>16</v>
      </c>
      <c r="B4" s="15">
        <v>46026</v>
      </c>
      <c r="C4" s="5" t="s">
        <v>19</v>
      </c>
      <c r="D4" s="14">
        <v>1</v>
      </c>
      <c r="E4" s="5" t="s">
        <v>1699</v>
      </c>
      <c r="F4" s="5" t="s">
        <v>1700</v>
      </c>
      <c r="G4" s="13">
        <v>3</v>
      </c>
      <c r="H4" s="13">
        <v>5</v>
      </c>
      <c r="I4" s="13">
        <v>3</v>
      </c>
      <c r="J4" s="13">
        <v>2</v>
      </c>
      <c r="K4" s="14">
        <f t="shared" ref="K4:K67" si="0">IF(AND(R4=TRUE,U4=TRUE,ISNUMBER(I4),I4=INT(I4),I4&gt;=1,I4&lt;=3,ISNUMBER(J4),J4=INT(J4),J4&gt;=1,J4&lt;=3),I4*J4,"")</f>
        <v>6</v>
      </c>
      <c r="L4" s="5" t="str">
        <f t="shared" ref="L4:L67" si="1">IF(K4="","",IF(K4&lt;=2,"LOW",IF(K4&lt;=4,"MEDIUM","HIGH")))</f>
        <v>HIGH</v>
      </c>
      <c r="M4" s="4" t="s">
        <v>1701</v>
      </c>
      <c r="N4" s="8" t="b">
        <v>0</v>
      </c>
      <c r="O4" s="6" t="s">
        <v>1702</v>
      </c>
      <c r="P4" s="6" t="s">
        <v>1703</v>
      </c>
      <c r="Q4" s="6"/>
      <c r="R4" s="9" t="b">
        <v>1</v>
      </c>
      <c r="S4" s="6" t="s">
        <v>22</v>
      </c>
      <c r="T4" s="6" t="s">
        <v>1704</v>
      </c>
      <c r="U4" s="9" t="b">
        <v>1</v>
      </c>
    </row>
    <row r="5" spans="1:21" ht="30">
      <c r="A5" s="7" t="s">
        <v>16</v>
      </c>
      <c r="B5" s="15">
        <v>46026</v>
      </c>
      <c r="C5" s="5" t="s">
        <v>19</v>
      </c>
      <c r="D5" s="14">
        <v>2</v>
      </c>
      <c r="E5" s="5" t="s">
        <v>1699</v>
      </c>
      <c r="F5" s="5" t="s">
        <v>1705</v>
      </c>
      <c r="G5" s="13">
        <v>6</v>
      </c>
      <c r="H5" s="13">
        <v>12</v>
      </c>
      <c r="I5" s="13">
        <v>2</v>
      </c>
      <c r="J5" s="13">
        <v>3</v>
      </c>
      <c r="K5" s="14">
        <f t="shared" si="0"/>
        <v>6</v>
      </c>
      <c r="L5" s="5" t="str">
        <f t="shared" si="1"/>
        <v>HIGH</v>
      </c>
      <c r="M5" s="4" t="s">
        <v>1701</v>
      </c>
      <c r="N5" s="8" t="b">
        <v>0</v>
      </c>
      <c r="O5" s="6" t="s">
        <v>1702</v>
      </c>
      <c r="P5" s="6" t="s">
        <v>1706</v>
      </c>
      <c r="Q5" s="6"/>
      <c r="R5" s="9" t="b">
        <v>1</v>
      </c>
      <c r="S5" s="6" t="s">
        <v>22</v>
      </c>
      <c r="T5" s="6" t="s">
        <v>1707</v>
      </c>
      <c r="U5" s="9" t="b">
        <v>1</v>
      </c>
    </row>
    <row r="6" spans="1:21" ht="30">
      <c r="A6" s="7" t="s">
        <v>16</v>
      </c>
      <c r="B6" s="15">
        <v>46026</v>
      </c>
      <c r="C6" s="5" t="s">
        <v>19</v>
      </c>
      <c r="D6" s="14">
        <v>3</v>
      </c>
      <c r="E6" s="5" t="s">
        <v>1708</v>
      </c>
      <c r="F6" s="5" t="s">
        <v>1709</v>
      </c>
      <c r="G6" s="13">
        <v>9</v>
      </c>
      <c r="H6" s="13">
        <v>19</v>
      </c>
      <c r="I6" s="13">
        <v>3</v>
      </c>
      <c r="J6" s="13">
        <v>3</v>
      </c>
      <c r="K6" s="14">
        <f t="shared" si="0"/>
        <v>9</v>
      </c>
      <c r="L6" s="5" t="str">
        <f t="shared" si="1"/>
        <v>HIGH</v>
      </c>
      <c r="M6" s="4" t="s">
        <v>1710</v>
      </c>
      <c r="N6" s="8" t="b">
        <v>1</v>
      </c>
      <c r="O6" s="6" t="s">
        <v>1711</v>
      </c>
      <c r="P6" s="6" t="s">
        <v>1712</v>
      </c>
      <c r="Q6" s="6"/>
      <c r="R6" s="9" t="b">
        <v>1</v>
      </c>
      <c r="S6" s="6" t="s">
        <v>22</v>
      </c>
      <c r="T6" s="6" t="s">
        <v>1713</v>
      </c>
      <c r="U6" s="9" t="b">
        <v>1</v>
      </c>
    </row>
    <row r="7" spans="1:21" ht="30">
      <c r="A7" s="7" t="s">
        <v>16</v>
      </c>
      <c r="B7" s="15">
        <v>46026</v>
      </c>
      <c r="C7" s="5" t="s">
        <v>19</v>
      </c>
      <c r="D7" s="14">
        <v>4</v>
      </c>
      <c r="E7" s="5" t="s">
        <v>1714</v>
      </c>
      <c r="F7" s="5" t="s">
        <v>1715</v>
      </c>
      <c r="G7" s="13">
        <v>12</v>
      </c>
      <c r="H7" s="13">
        <v>26</v>
      </c>
      <c r="I7" s="13">
        <v>3</v>
      </c>
      <c r="J7" s="13">
        <v>2</v>
      </c>
      <c r="K7" s="14">
        <f t="shared" si="0"/>
        <v>6</v>
      </c>
      <c r="L7" s="5" t="str">
        <f t="shared" si="1"/>
        <v>HIGH</v>
      </c>
      <c r="M7" s="4" t="s">
        <v>1716</v>
      </c>
      <c r="N7" s="8" t="b">
        <v>0</v>
      </c>
      <c r="O7" s="6" t="s">
        <v>1717</v>
      </c>
      <c r="P7" s="6" t="s">
        <v>1718</v>
      </c>
      <c r="Q7" s="6"/>
      <c r="R7" s="9" t="b">
        <v>1</v>
      </c>
      <c r="S7" s="6" t="s">
        <v>22</v>
      </c>
      <c r="T7" s="6" t="s">
        <v>1719</v>
      </c>
      <c r="U7" s="9" t="b">
        <v>1</v>
      </c>
    </row>
    <row r="8" spans="1:21" ht="30">
      <c r="A8" s="7" t="s">
        <v>16</v>
      </c>
      <c r="B8" s="15">
        <v>46026</v>
      </c>
      <c r="C8" s="5" t="s">
        <v>19</v>
      </c>
      <c r="D8" s="14">
        <v>5</v>
      </c>
      <c r="E8" s="5" t="s">
        <v>1720</v>
      </c>
      <c r="F8" s="5" t="s">
        <v>1721</v>
      </c>
      <c r="G8" s="13">
        <v>2</v>
      </c>
      <c r="H8" s="13">
        <v>2</v>
      </c>
      <c r="I8" s="13">
        <v>2</v>
      </c>
      <c r="J8" s="13">
        <v>3</v>
      </c>
      <c r="K8" s="14">
        <f t="shared" si="0"/>
        <v>6</v>
      </c>
      <c r="L8" s="5" t="str">
        <f t="shared" si="1"/>
        <v>HIGH</v>
      </c>
      <c r="M8" s="4" t="s">
        <v>1722</v>
      </c>
      <c r="N8" s="8" t="b">
        <v>0</v>
      </c>
      <c r="O8" s="6" t="s">
        <v>1723</v>
      </c>
      <c r="P8" s="6" t="s">
        <v>1724</v>
      </c>
      <c r="Q8" s="6"/>
      <c r="R8" s="9" t="b">
        <v>1</v>
      </c>
      <c r="S8" s="6" t="s">
        <v>22</v>
      </c>
      <c r="T8" s="6" t="s">
        <v>1725</v>
      </c>
      <c r="U8" s="9" t="b">
        <v>1</v>
      </c>
    </row>
    <row r="9" spans="1:21" ht="30">
      <c r="A9" s="7" t="s">
        <v>16</v>
      </c>
      <c r="B9" s="15">
        <v>46026</v>
      </c>
      <c r="C9" s="5" t="s">
        <v>19</v>
      </c>
      <c r="D9" s="14">
        <v>6</v>
      </c>
      <c r="E9" s="5" t="s">
        <v>1720</v>
      </c>
      <c r="F9" s="5" t="s">
        <v>1726</v>
      </c>
      <c r="G9" s="13">
        <v>5</v>
      </c>
      <c r="H9" s="13">
        <v>9</v>
      </c>
      <c r="I9" s="13">
        <v>3</v>
      </c>
      <c r="J9" s="13">
        <v>3</v>
      </c>
      <c r="K9" s="14">
        <f t="shared" si="0"/>
        <v>9</v>
      </c>
      <c r="L9" s="5" t="str">
        <f t="shared" si="1"/>
        <v>HIGH</v>
      </c>
      <c r="M9" s="4" t="s">
        <v>1722</v>
      </c>
      <c r="N9" s="8" t="b">
        <v>1</v>
      </c>
      <c r="O9" s="6" t="s">
        <v>1723</v>
      </c>
      <c r="P9" s="6" t="s">
        <v>1727</v>
      </c>
      <c r="Q9" s="6"/>
      <c r="R9" s="9" t="b">
        <v>1</v>
      </c>
      <c r="S9" s="6" t="s">
        <v>22</v>
      </c>
      <c r="T9" s="6" t="s">
        <v>1728</v>
      </c>
      <c r="U9" s="9" t="b">
        <v>1</v>
      </c>
    </row>
    <row r="10" spans="1:21" ht="45">
      <c r="A10" s="7" t="s">
        <v>16</v>
      </c>
      <c r="B10" s="15">
        <v>46026</v>
      </c>
      <c r="C10" s="5" t="s">
        <v>19</v>
      </c>
      <c r="D10" s="14">
        <v>7</v>
      </c>
      <c r="E10" s="5" t="s">
        <v>1729</v>
      </c>
      <c r="F10" s="5" t="s">
        <v>1730</v>
      </c>
      <c r="G10" s="13">
        <v>8</v>
      </c>
      <c r="H10" s="13">
        <v>16</v>
      </c>
      <c r="I10" s="13">
        <v>3</v>
      </c>
      <c r="J10" s="13">
        <v>2</v>
      </c>
      <c r="K10" s="14">
        <f t="shared" si="0"/>
        <v>6</v>
      </c>
      <c r="L10" s="5" t="str">
        <f t="shared" si="1"/>
        <v>HIGH</v>
      </c>
      <c r="M10" s="4" t="s">
        <v>1731</v>
      </c>
      <c r="N10" s="8" t="b">
        <v>0</v>
      </c>
      <c r="O10" s="6" t="s">
        <v>1732</v>
      </c>
      <c r="P10" s="6" t="s">
        <v>1733</v>
      </c>
      <c r="Q10" s="6"/>
      <c r="R10" s="9" t="b">
        <v>1</v>
      </c>
      <c r="S10" s="6" t="s">
        <v>22</v>
      </c>
      <c r="T10" s="6" t="s">
        <v>1734</v>
      </c>
      <c r="U10" s="9" t="b">
        <v>1</v>
      </c>
    </row>
    <row r="11" spans="1:21" ht="30">
      <c r="A11" s="7" t="s">
        <v>16</v>
      </c>
      <c r="B11" s="15">
        <v>46026</v>
      </c>
      <c r="C11" s="5" t="s">
        <v>19</v>
      </c>
      <c r="D11" s="14">
        <v>8</v>
      </c>
      <c r="E11" s="5" t="s">
        <v>1708</v>
      </c>
      <c r="F11" s="5" t="s">
        <v>1735</v>
      </c>
      <c r="G11" s="13">
        <v>11</v>
      </c>
      <c r="H11" s="13">
        <v>23</v>
      </c>
      <c r="I11" s="13">
        <v>2</v>
      </c>
      <c r="J11" s="13">
        <v>3</v>
      </c>
      <c r="K11" s="14">
        <f t="shared" si="0"/>
        <v>6</v>
      </c>
      <c r="L11" s="5" t="str">
        <f t="shared" si="1"/>
        <v>HIGH</v>
      </c>
      <c r="M11" s="4" t="s">
        <v>1710</v>
      </c>
      <c r="N11" s="8" t="b">
        <v>0</v>
      </c>
      <c r="O11" s="6" t="s">
        <v>1711</v>
      </c>
      <c r="P11" s="6" t="s">
        <v>1736</v>
      </c>
      <c r="Q11" s="6"/>
      <c r="R11" s="9" t="b">
        <v>1</v>
      </c>
      <c r="S11" s="6" t="s">
        <v>22</v>
      </c>
      <c r="T11" s="6" t="s">
        <v>1737</v>
      </c>
      <c r="U11" s="9" t="b">
        <v>1</v>
      </c>
    </row>
    <row r="12" spans="1:21" ht="30">
      <c r="A12" s="7" t="s">
        <v>25</v>
      </c>
      <c r="B12" s="15">
        <v>46060</v>
      </c>
      <c r="C12" s="5" t="s">
        <v>28</v>
      </c>
      <c r="D12" s="14">
        <v>1</v>
      </c>
      <c r="E12" s="5" t="s">
        <v>1699</v>
      </c>
      <c r="F12" s="5" t="s">
        <v>1700</v>
      </c>
      <c r="G12" s="13">
        <v>5</v>
      </c>
      <c r="H12" s="13">
        <v>10</v>
      </c>
      <c r="I12" s="13">
        <v>3</v>
      </c>
      <c r="J12" s="13">
        <v>3</v>
      </c>
      <c r="K12" s="14">
        <f t="shared" si="0"/>
        <v>9</v>
      </c>
      <c r="L12" s="5" t="str">
        <f t="shared" si="1"/>
        <v>HIGH</v>
      </c>
      <c r="M12" s="4" t="s">
        <v>1701</v>
      </c>
      <c r="N12" s="8" t="b">
        <v>0</v>
      </c>
      <c r="O12" s="6" t="s">
        <v>1702</v>
      </c>
      <c r="P12" s="6" t="s">
        <v>1703</v>
      </c>
      <c r="Q12" s="6"/>
      <c r="R12" s="9" t="b">
        <v>1</v>
      </c>
      <c r="S12" s="6" t="s">
        <v>31</v>
      </c>
      <c r="T12" s="6" t="s">
        <v>1738</v>
      </c>
      <c r="U12" s="9" t="b">
        <v>1</v>
      </c>
    </row>
    <row r="13" spans="1:21" ht="30">
      <c r="A13" s="7" t="s">
        <v>25</v>
      </c>
      <c r="B13" s="15">
        <v>46060</v>
      </c>
      <c r="C13" s="5" t="s">
        <v>28</v>
      </c>
      <c r="D13" s="14">
        <v>2</v>
      </c>
      <c r="E13" s="5" t="s">
        <v>1699</v>
      </c>
      <c r="F13" s="5" t="s">
        <v>1705</v>
      </c>
      <c r="G13" s="13">
        <v>8</v>
      </c>
      <c r="H13" s="13">
        <v>17</v>
      </c>
      <c r="I13" s="13">
        <v>3</v>
      </c>
      <c r="J13" s="13">
        <v>2</v>
      </c>
      <c r="K13" s="14">
        <f t="shared" si="0"/>
        <v>6</v>
      </c>
      <c r="L13" s="5" t="str">
        <f t="shared" si="1"/>
        <v>HIGH</v>
      </c>
      <c r="M13" s="4" t="s">
        <v>1701</v>
      </c>
      <c r="N13" s="8" t="b">
        <v>1</v>
      </c>
      <c r="O13" s="6" t="s">
        <v>1702</v>
      </c>
      <c r="P13" s="6" t="s">
        <v>1706</v>
      </c>
      <c r="Q13" s="6"/>
      <c r="R13" s="9" t="b">
        <v>1</v>
      </c>
      <c r="S13" s="6" t="s">
        <v>31</v>
      </c>
      <c r="T13" s="6" t="s">
        <v>1739</v>
      </c>
      <c r="U13" s="9" t="b">
        <v>1</v>
      </c>
    </row>
    <row r="14" spans="1:21" ht="30">
      <c r="A14" s="7" t="s">
        <v>25</v>
      </c>
      <c r="B14" s="15">
        <v>46060</v>
      </c>
      <c r="C14" s="5" t="s">
        <v>28</v>
      </c>
      <c r="D14" s="14">
        <v>3</v>
      </c>
      <c r="E14" s="5" t="s">
        <v>1708</v>
      </c>
      <c r="F14" s="5" t="s">
        <v>1709</v>
      </c>
      <c r="G14" s="13">
        <v>11</v>
      </c>
      <c r="H14" s="13">
        <v>24</v>
      </c>
      <c r="I14" s="13">
        <v>2</v>
      </c>
      <c r="J14" s="13">
        <v>3</v>
      </c>
      <c r="K14" s="14">
        <f t="shared" si="0"/>
        <v>6</v>
      </c>
      <c r="L14" s="5" t="str">
        <f t="shared" si="1"/>
        <v>HIGH</v>
      </c>
      <c r="M14" s="4" t="s">
        <v>1710</v>
      </c>
      <c r="N14" s="8" t="b">
        <v>0</v>
      </c>
      <c r="O14" s="6" t="s">
        <v>1711</v>
      </c>
      <c r="P14" s="6" t="s">
        <v>1712</v>
      </c>
      <c r="Q14" s="6"/>
      <c r="R14" s="9" t="b">
        <v>1</v>
      </c>
      <c r="S14" s="6" t="s">
        <v>31</v>
      </c>
      <c r="T14" s="6" t="s">
        <v>1740</v>
      </c>
      <c r="U14" s="9" t="b">
        <v>1</v>
      </c>
    </row>
    <row r="15" spans="1:21" ht="30">
      <c r="A15" s="7" t="s">
        <v>25</v>
      </c>
      <c r="B15" s="15">
        <v>46060</v>
      </c>
      <c r="C15" s="5" t="s">
        <v>28</v>
      </c>
      <c r="D15" s="14">
        <v>4</v>
      </c>
      <c r="E15" s="5" t="s">
        <v>1714</v>
      </c>
      <c r="F15" s="5" t="s">
        <v>1715</v>
      </c>
      <c r="G15" s="13">
        <v>14</v>
      </c>
      <c r="H15" s="13">
        <v>0</v>
      </c>
      <c r="I15" s="13">
        <v>3</v>
      </c>
      <c r="J15" s="13">
        <v>3</v>
      </c>
      <c r="K15" s="14">
        <f t="shared" si="0"/>
        <v>9</v>
      </c>
      <c r="L15" s="5" t="str">
        <f t="shared" si="1"/>
        <v>HIGH</v>
      </c>
      <c r="M15" s="4" t="s">
        <v>1716</v>
      </c>
      <c r="N15" s="8" t="b">
        <v>0</v>
      </c>
      <c r="O15" s="6" t="s">
        <v>1717</v>
      </c>
      <c r="P15" s="6" t="s">
        <v>1718</v>
      </c>
      <c r="Q15" s="6"/>
      <c r="R15" s="9" t="b">
        <v>1</v>
      </c>
      <c r="S15" s="6" t="s">
        <v>31</v>
      </c>
      <c r="T15" s="6" t="s">
        <v>1741</v>
      </c>
      <c r="U15" s="9" t="b">
        <v>1</v>
      </c>
    </row>
    <row r="16" spans="1:21" ht="30">
      <c r="A16" s="7" t="s">
        <v>25</v>
      </c>
      <c r="B16" s="15">
        <v>46060</v>
      </c>
      <c r="C16" s="5" t="s">
        <v>28</v>
      </c>
      <c r="D16" s="14">
        <v>5</v>
      </c>
      <c r="E16" s="5" t="s">
        <v>1720</v>
      </c>
      <c r="F16" s="5" t="s">
        <v>1721</v>
      </c>
      <c r="G16" s="13">
        <v>17</v>
      </c>
      <c r="H16" s="13">
        <v>7</v>
      </c>
      <c r="I16" s="13">
        <v>3</v>
      </c>
      <c r="J16" s="13">
        <v>2</v>
      </c>
      <c r="K16" s="14">
        <f t="shared" si="0"/>
        <v>6</v>
      </c>
      <c r="L16" s="5" t="str">
        <f t="shared" si="1"/>
        <v>HIGH</v>
      </c>
      <c r="M16" s="4" t="s">
        <v>1722</v>
      </c>
      <c r="N16" s="8" t="b">
        <v>1</v>
      </c>
      <c r="O16" s="6" t="s">
        <v>1723</v>
      </c>
      <c r="P16" s="6" t="s">
        <v>1724</v>
      </c>
      <c r="Q16" s="6"/>
      <c r="R16" s="9" t="b">
        <v>1</v>
      </c>
      <c r="S16" s="6" t="s">
        <v>31</v>
      </c>
      <c r="T16" s="6" t="s">
        <v>1742</v>
      </c>
      <c r="U16" s="9" t="b">
        <v>1</v>
      </c>
    </row>
    <row r="17" spans="1:21" ht="30">
      <c r="A17" s="7" t="s">
        <v>25</v>
      </c>
      <c r="B17" s="15">
        <v>46060</v>
      </c>
      <c r="C17" s="5" t="s">
        <v>28</v>
      </c>
      <c r="D17" s="14">
        <v>6</v>
      </c>
      <c r="E17" s="5" t="s">
        <v>1720</v>
      </c>
      <c r="F17" s="5" t="s">
        <v>1726</v>
      </c>
      <c r="G17" s="13">
        <v>20</v>
      </c>
      <c r="H17" s="13">
        <v>14</v>
      </c>
      <c r="I17" s="13">
        <v>2</v>
      </c>
      <c r="J17" s="13">
        <v>3</v>
      </c>
      <c r="K17" s="14">
        <f t="shared" si="0"/>
        <v>6</v>
      </c>
      <c r="L17" s="5" t="str">
        <f t="shared" si="1"/>
        <v>HIGH</v>
      </c>
      <c r="M17" s="4" t="s">
        <v>1722</v>
      </c>
      <c r="N17" s="8" t="b">
        <v>0</v>
      </c>
      <c r="O17" s="6" t="s">
        <v>1723</v>
      </c>
      <c r="P17" s="6" t="s">
        <v>1727</v>
      </c>
      <c r="Q17" s="6"/>
      <c r="R17" s="9" t="b">
        <v>1</v>
      </c>
      <c r="S17" s="6" t="s">
        <v>31</v>
      </c>
      <c r="T17" s="6" t="s">
        <v>1743</v>
      </c>
      <c r="U17" s="9" t="b">
        <v>1</v>
      </c>
    </row>
    <row r="18" spans="1:21" ht="45">
      <c r="A18" s="7" t="s">
        <v>25</v>
      </c>
      <c r="B18" s="15">
        <v>46060</v>
      </c>
      <c r="C18" s="5" t="s">
        <v>28</v>
      </c>
      <c r="D18" s="14">
        <v>7</v>
      </c>
      <c r="E18" s="5" t="s">
        <v>1729</v>
      </c>
      <c r="F18" s="5" t="s">
        <v>1730</v>
      </c>
      <c r="G18" s="13">
        <v>3</v>
      </c>
      <c r="H18" s="13">
        <v>21</v>
      </c>
      <c r="I18" s="13">
        <v>3</v>
      </c>
      <c r="J18" s="13">
        <v>3</v>
      </c>
      <c r="K18" s="14">
        <f t="shared" si="0"/>
        <v>9</v>
      </c>
      <c r="L18" s="5" t="str">
        <f t="shared" si="1"/>
        <v>HIGH</v>
      </c>
      <c r="M18" s="4" t="s">
        <v>1731</v>
      </c>
      <c r="N18" s="8" t="b">
        <v>0</v>
      </c>
      <c r="O18" s="6" t="s">
        <v>1732</v>
      </c>
      <c r="P18" s="6" t="s">
        <v>1733</v>
      </c>
      <c r="Q18" s="6"/>
      <c r="R18" s="9" t="b">
        <v>1</v>
      </c>
      <c r="S18" s="6" t="s">
        <v>31</v>
      </c>
      <c r="T18" s="6" t="s">
        <v>1744</v>
      </c>
      <c r="U18" s="9" t="b">
        <v>1</v>
      </c>
    </row>
    <row r="19" spans="1:21" ht="30">
      <c r="A19" s="7" t="s">
        <v>25</v>
      </c>
      <c r="B19" s="15">
        <v>46060</v>
      </c>
      <c r="C19" s="5" t="s">
        <v>28</v>
      </c>
      <c r="D19" s="14">
        <v>8</v>
      </c>
      <c r="E19" s="5" t="s">
        <v>1745</v>
      </c>
      <c r="F19" s="5" t="s">
        <v>1746</v>
      </c>
      <c r="G19" s="13">
        <v>6</v>
      </c>
      <c r="H19" s="13">
        <v>28</v>
      </c>
      <c r="I19" s="13">
        <v>3</v>
      </c>
      <c r="J19" s="13">
        <v>2</v>
      </c>
      <c r="K19" s="14">
        <f t="shared" si="0"/>
        <v>6</v>
      </c>
      <c r="L19" s="5" t="str">
        <f t="shared" si="1"/>
        <v>HIGH</v>
      </c>
      <c r="M19" s="4" t="s">
        <v>1747</v>
      </c>
      <c r="N19" s="8" t="b">
        <v>1</v>
      </c>
      <c r="O19" s="6" t="s">
        <v>1748</v>
      </c>
      <c r="P19" s="6" t="s">
        <v>1749</v>
      </c>
      <c r="Q19" s="6"/>
      <c r="R19" s="9" t="b">
        <v>1</v>
      </c>
      <c r="S19" s="6" t="s">
        <v>31</v>
      </c>
      <c r="T19" s="6" t="s">
        <v>1750</v>
      </c>
      <c r="U19" s="9" t="b">
        <v>1</v>
      </c>
    </row>
    <row r="20" spans="1:21" ht="30">
      <c r="A20" s="7" t="s">
        <v>32</v>
      </c>
      <c r="B20" s="15">
        <v>46091</v>
      </c>
      <c r="C20" s="5" t="s">
        <v>36</v>
      </c>
      <c r="D20" s="14">
        <v>1</v>
      </c>
      <c r="E20" s="5" t="s">
        <v>1699</v>
      </c>
      <c r="F20" s="5" t="s">
        <v>1700</v>
      </c>
      <c r="G20" s="13">
        <v>7</v>
      </c>
      <c r="H20" s="13">
        <v>15</v>
      </c>
      <c r="I20" s="13">
        <v>2</v>
      </c>
      <c r="J20" s="13">
        <v>3</v>
      </c>
      <c r="K20" s="14">
        <f t="shared" si="0"/>
        <v>6</v>
      </c>
      <c r="L20" s="5" t="str">
        <f t="shared" si="1"/>
        <v>HIGH</v>
      </c>
      <c r="M20" s="4" t="s">
        <v>1701</v>
      </c>
      <c r="N20" s="8" t="b">
        <v>1</v>
      </c>
      <c r="O20" s="6" t="s">
        <v>1702</v>
      </c>
      <c r="P20" s="6" t="s">
        <v>1703</v>
      </c>
      <c r="Q20" s="6"/>
      <c r="R20" s="9" t="b">
        <v>1</v>
      </c>
      <c r="S20" s="6" t="s">
        <v>39</v>
      </c>
      <c r="T20" s="6" t="s">
        <v>1751</v>
      </c>
      <c r="U20" s="9" t="b">
        <v>1</v>
      </c>
    </row>
    <row r="21" spans="1:21" ht="30">
      <c r="A21" s="7" t="s">
        <v>32</v>
      </c>
      <c r="B21" s="15">
        <v>46091</v>
      </c>
      <c r="C21" s="5" t="s">
        <v>36</v>
      </c>
      <c r="D21" s="14">
        <v>2</v>
      </c>
      <c r="E21" s="5" t="s">
        <v>1708</v>
      </c>
      <c r="F21" s="5" t="s">
        <v>1709</v>
      </c>
      <c r="G21" s="13">
        <v>10</v>
      </c>
      <c r="H21" s="13">
        <v>22</v>
      </c>
      <c r="I21" s="13">
        <v>3</v>
      </c>
      <c r="J21" s="13">
        <v>3</v>
      </c>
      <c r="K21" s="14">
        <f t="shared" si="0"/>
        <v>9</v>
      </c>
      <c r="L21" s="5" t="str">
        <f t="shared" si="1"/>
        <v>HIGH</v>
      </c>
      <c r="M21" s="4" t="s">
        <v>1710</v>
      </c>
      <c r="N21" s="8" t="b">
        <v>0</v>
      </c>
      <c r="O21" s="6" t="s">
        <v>1711</v>
      </c>
      <c r="P21" s="6" t="s">
        <v>1712</v>
      </c>
      <c r="Q21" s="6"/>
      <c r="R21" s="9" t="b">
        <v>1</v>
      </c>
      <c r="S21" s="6" t="s">
        <v>39</v>
      </c>
      <c r="T21" s="6" t="s">
        <v>1752</v>
      </c>
      <c r="U21" s="9" t="b">
        <v>1</v>
      </c>
    </row>
    <row r="22" spans="1:21" ht="30">
      <c r="A22" s="7" t="s">
        <v>32</v>
      </c>
      <c r="B22" s="15">
        <v>46091</v>
      </c>
      <c r="C22" s="5" t="s">
        <v>36</v>
      </c>
      <c r="D22" s="14">
        <v>3</v>
      </c>
      <c r="E22" s="5" t="s">
        <v>1720</v>
      </c>
      <c r="F22" s="5" t="s">
        <v>1753</v>
      </c>
      <c r="G22" s="13">
        <v>13</v>
      </c>
      <c r="H22" s="13">
        <v>29</v>
      </c>
      <c r="I22" s="13">
        <v>3</v>
      </c>
      <c r="J22" s="13">
        <v>2</v>
      </c>
      <c r="K22" s="14">
        <f t="shared" si="0"/>
        <v>6</v>
      </c>
      <c r="L22" s="5" t="str">
        <f t="shared" si="1"/>
        <v>HIGH</v>
      </c>
      <c r="M22" s="4" t="s">
        <v>1722</v>
      </c>
      <c r="N22" s="8" t="b">
        <v>0</v>
      </c>
      <c r="O22" s="6" t="s">
        <v>1723</v>
      </c>
      <c r="P22" s="6" t="s">
        <v>1754</v>
      </c>
      <c r="Q22" s="6"/>
      <c r="R22" s="9" t="b">
        <v>1</v>
      </c>
      <c r="S22" s="6" t="s">
        <v>39</v>
      </c>
      <c r="T22" s="6" t="s">
        <v>1755</v>
      </c>
      <c r="U22" s="9" t="b">
        <v>1</v>
      </c>
    </row>
    <row r="23" spans="1:21" ht="30">
      <c r="A23" s="7" t="s">
        <v>32</v>
      </c>
      <c r="B23" s="15">
        <v>46091</v>
      </c>
      <c r="C23" s="5" t="s">
        <v>36</v>
      </c>
      <c r="D23" s="14">
        <v>4</v>
      </c>
      <c r="E23" s="5" t="s">
        <v>1714</v>
      </c>
      <c r="F23" s="5" t="s">
        <v>1715</v>
      </c>
      <c r="G23" s="13">
        <v>16</v>
      </c>
      <c r="H23" s="13">
        <v>5</v>
      </c>
      <c r="I23" s="13">
        <v>2</v>
      </c>
      <c r="J23" s="13">
        <v>3</v>
      </c>
      <c r="K23" s="14">
        <f t="shared" si="0"/>
        <v>6</v>
      </c>
      <c r="L23" s="5" t="str">
        <f t="shared" si="1"/>
        <v>HIGH</v>
      </c>
      <c r="M23" s="4" t="s">
        <v>1716</v>
      </c>
      <c r="N23" s="8" t="b">
        <v>1</v>
      </c>
      <c r="O23" s="6" t="s">
        <v>1717</v>
      </c>
      <c r="P23" s="6" t="s">
        <v>1718</v>
      </c>
      <c r="Q23" s="6"/>
      <c r="R23" s="9" t="b">
        <v>1</v>
      </c>
      <c r="S23" s="6" t="s">
        <v>39</v>
      </c>
      <c r="T23" s="6" t="s">
        <v>1756</v>
      </c>
      <c r="U23" s="9" t="b">
        <v>1</v>
      </c>
    </row>
    <row r="24" spans="1:21" ht="30">
      <c r="A24" s="7" t="s">
        <v>32</v>
      </c>
      <c r="B24" s="15">
        <v>46091</v>
      </c>
      <c r="C24" s="5" t="s">
        <v>36</v>
      </c>
      <c r="D24" s="14">
        <v>5</v>
      </c>
      <c r="E24" s="5" t="s">
        <v>1708</v>
      </c>
      <c r="F24" s="5" t="s">
        <v>1757</v>
      </c>
      <c r="G24" s="13">
        <v>19</v>
      </c>
      <c r="H24" s="13">
        <v>12</v>
      </c>
      <c r="I24" s="13">
        <v>3</v>
      </c>
      <c r="J24" s="13">
        <v>3</v>
      </c>
      <c r="K24" s="14">
        <f t="shared" si="0"/>
        <v>9</v>
      </c>
      <c r="L24" s="5" t="str">
        <f t="shared" si="1"/>
        <v>HIGH</v>
      </c>
      <c r="M24" s="4" t="s">
        <v>1710</v>
      </c>
      <c r="N24" s="8" t="b">
        <v>0</v>
      </c>
      <c r="O24" s="6" t="s">
        <v>1711</v>
      </c>
      <c r="P24" s="6" t="s">
        <v>1758</v>
      </c>
      <c r="Q24" s="6"/>
      <c r="R24" s="9" t="b">
        <v>1</v>
      </c>
      <c r="S24" s="6" t="s">
        <v>39</v>
      </c>
      <c r="T24" s="6" t="s">
        <v>1759</v>
      </c>
      <c r="U24" s="9" t="b">
        <v>1</v>
      </c>
    </row>
    <row r="25" spans="1:21" ht="30">
      <c r="A25" s="7" t="s">
        <v>32</v>
      </c>
      <c r="B25" s="15">
        <v>46091</v>
      </c>
      <c r="C25" s="5" t="s">
        <v>36</v>
      </c>
      <c r="D25" s="14">
        <v>6</v>
      </c>
      <c r="E25" s="5" t="s">
        <v>1720</v>
      </c>
      <c r="F25" s="5" t="s">
        <v>1721</v>
      </c>
      <c r="G25" s="13">
        <v>22</v>
      </c>
      <c r="H25" s="13">
        <v>19</v>
      </c>
      <c r="I25" s="13">
        <v>3</v>
      </c>
      <c r="J25" s="13">
        <v>2</v>
      </c>
      <c r="K25" s="14">
        <f t="shared" si="0"/>
        <v>6</v>
      </c>
      <c r="L25" s="5" t="str">
        <f t="shared" si="1"/>
        <v>HIGH</v>
      </c>
      <c r="M25" s="4" t="s">
        <v>1722</v>
      </c>
      <c r="N25" s="8" t="b">
        <v>0</v>
      </c>
      <c r="O25" s="6" t="s">
        <v>1723</v>
      </c>
      <c r="P25" s="6" t="s">
        <v>1724</v>
      </c>
      <c r="Q25" s="6"/>
      <c r="R25" s="9" t="b">
        <v>1</v>
      </c>
      <c r="S25" s="6" t="s">
        <v>39</v>
      </c>
      <c r="T25" s="6" t="s">
        <v>1760</v>
      </c>
      <c r="U25" s="9" t="b">
        <v>1</v>
      </c>
    </row>
    <row r="26" spans="1:21" ht="30">
      <c r="A26" s="7" t="s">
        <v>32</v>
      </c>
      <c r="B26" s="15">
        <v>46091</v>
      </c>
      <c r="C26" s="5" t="s">
        <v>36</v>
      </c>
      <c r="D26" s="14">
        <v>7</v>
      </c>
      <c r="E26" s="5" t="s">
        <v>1720</v>
      </c>
      <c r="F26" s="5" t="s">
        <v>1726</v>
      </c>
      <c r="G26" s="13">
        <v>25</v>
      </c>
      <c r="H26" s="13">
        <v>26</v>
      </c>
      <c r="I26" s="13">
        <v>2</v>
      </c>
      <c r="J26" s="13">
        <v>3</v>
      </c>
      <c r="K26" s="14">
        <f t="shared" si="0"/>
        <v>6</v>
      </c>
      <c r="L26" s="5" t="str">
        <f t="shared" si="1"/>
        <v>HIGH</v>
      </c>
      <c r="M26" s="4" t="s">
        <v>1722</v>
      </c>
      <c r="N26" s="8" t="b">
        <v>1</v>
      </c>
      <c r="O26" s="6" t="s">
        <v>1723</v>
      </c>
      <c r="P26" s="6" t="s">
        <v>1727</v>
      </c>
      <c r="Q26" s="6"/>
      <c r="R26" s="9" t="b">
        <v>1</v>
      </c>
      <c r="S26" s="6" t="s">
        <v>39</v>
      </c>
      <c r="T26" s="6" t="s">
        <v>1761</v>
      </c>
      <c r="U26" s="9" t="b">
        <v>1</v>
      </c>
    </row>
    <row r="27" spans="1:21" ht="30">
      <c r="A27" s="7" t="s">
        <v>40</v>
      </c>
      <c r="B27" s="15">
        <v>46125</v>
      </c>
      <c r="C27" s="5" t="s">
        <v>43</v>
      </c>
      <c r="D27" s="14">
        <v>1</v>
      </c>
      <c r="E27" s="5" t="s">
        <v>1708</v>
      </c>
      <c r="F27" s="5" t="s">
        <v>1709</v>
      </c>
      <c r="G27" s="13">
        <v>9</v>
      </c>
      <c r="H27" s="13">
        <v>20</v>
      </c>
      <c r="I27" s="13">
        <v>3</v>
      </c>
      <c r="J27" s="13">
        <v>2</v>
      </c>
      <c r="K27" s="14">
        <f t="shared" si="0"/>
        <v>6</v>
      </c>
      <c r="L27" s="5" t="str">
        <f t="shared" si="1"/>
        <v>HIGH</v>
      </c>
      <c r="M27" s="4" t="s">
        <v>1710</v>
      </c>
      <c r="N27" s="8" t="b">
        <v>0</v>
      </c>
      <c r="O27" s="6" t="s">
        <v>1711</v>
      </c>
      <c r="P27" s="6" t="s">
        <v>1712</v>
      </c>
      <c r="Q27" s="6"/>
      <c r="R27" s="9" t="b">
        <v>1</v>
      </c>
      <c r="S27" s="6" t="s">
        <v>46</v>
      </c>
      <c r="T27" s="6" t="s">
        <v>1762</v>
      </c>
      <c r="U27" s="9" t="b">
        <v>1</v>
      </c>
    </row>
    <row r="28" spans="1:21" ht="30">
      <c r="A28" s="7" t="s">
        <v>40</v>
      </c>
      <c r="B28" s="15">
        <v>46125</v>
      </c>
      <c r="C28" s="5" t="s">
        <v>43</v>
      </c>
      <c r="D28" s="14">
        <v>2</v>
      </c>
      <c r="E28" s="5" t="s">
        <v>1699</v>
      </c>
      <c r="F28" s="5" t="s">
        <v>1705</v>
      </c>
      <c r="G28" s="13">
        <v>12</v>
      </c>
      <c r="H28" s="13">
        <v>27</v>
      </c>
      <c r="I28" s="13">
        <v>2</v>
      </c>
      <c r="J28" s="13">
        <v>3</v>
      </c>
      <c r="K28" s="14">
        <f t="shared" si="0"/>
        <v>6</v>
      </c>
      <c r="L28" s="5" t="str">
        <f t="shared" si="1"/>
        <v>HIGH</v>
      </c>
      <c r="M28" s="4" t="s">
        <v>1701</v>
      </c>
      <c r="N28" s="8" t="b">
        <v>0</v>
      </c>
      <c r="O28" s="6" t="s">
        <v>1702</v>
      </c>
      <c r="P28" s="6" t="s">
        <v>1706</v>
      </c>
      <c r="Q28" s="6"/>
      <c r="R28" s="9" t="b">
        <v>1</v>
      </c>
      <c r="S28" s="6" t="s">
        <v>46</v>
      </c>
      <c r="T28" s="6" t="s">
        <v>1763</v>
      </c>
      <c r="U28" s="9" t="b">
        <v>1</v>
      </c>
    </row>
    <row r="29" spans="1:21" ht="30">
      <c r="A29" s="7" t="s">
        <v>40</v>
      </c>
      <c r="B29" s="15">
        <v>46125</v>
      </c>
      <c r="C29" s="5" t="s">
        <v>43</v>
      </c>
      <c r="D29" s="14">
        <v>3</v>
      </c>
      <c r="E29" s="5" t="s">
        <v>1699</v>
      </c>
      <c r="F29" s="5" t="s">
        <v>1700</v>
      </c>
      <c r="G29" s="13">
        <v>15</v>
      </c>
      <c r="H29" s="13">
        <v>3</v>
      </c>
      <c r="I29" s="13">
        <v>3</v>
      </c>
      <c r="J29" s="13">
        <v>3</v>
      </c>
      <c r="K29" s="14">
        <f t="shared" si="0"/>
        <v>9</v>
      </c>
      <c r="L29" s="5" t="str">
        <f t="shared" si="1"/>
        <v>HIGH</v>
      </c>
      <c r="M29" s="4" t="s">
        <v>1701</v>
      </c>
      <c r="N29" s="8" t="b">
        <v>1</v>
      </c>
      <c r="O29" s="6" t="s">
        <v>1702</v>
      </c>
      <c r="P29" s="6" t="s">
        <v>1703</v>
      </c>
      <c r="Q29" s="6"/>
      <c r="R29" s="9" t="b">
        <v>1</v>
      </c>
      <c r="S29" s="6" t="s">
        <v>46</v>
      </c>
      <c r="T29" s="6" t="s">
        <v>1764</v>
      </c>
      <c r="U29" s="9" t="b">
        <v>1</v>
      </c>
    </row>
    <row r="30" spans="1:21" ht="30">
      <c r="A30" s="7" t="s">
        <v>40</v>
      </c>
      <c r="B30" s="15">
        <v>46125</v>
      </c>
      <c r="C30" s="5" t="s">
        <v>43</v>
      </c>
      <c r="D30" s="14">
        <v>4</v>
      </c>
      <c r="E30" s="5" t="s">
        <v>1765</v>
      </c>
      <c r="F30" s="5" t="s">
        <v>1766</v>
      </c>
      <c r="G30" s="13">
        <v>18</v>
      </c>
      <c r="H30" s="13">
        <v>10</v>
      </c>
      <c r="I30" s="13">
        <v>3</v>
      </c>
      <c r="J30" s="13">
        <v>2</v>
      </c>
      <c r="K30" s="14">
        <f t="shared" si="0"/>
        <v>6</v>
      </c>
      <c r="L30" s="5" t="str">
        <f t="shared" si="1"/>
        <v>HIGH</v>
      </c>
      <c r="M30" s="4" t="s">
        <v>1767</v>
      </c>
      <c r="N30" s="8" t="b">
        <v>0</v>
      </c>
      <c r="O30" s="6" t="s">
        <v>1768</v>
      </c>
      <c r="P30" s="6" t="s">
        <v>1769</v>
      </c>
      <c r="Q30" s="6"/>
      <c r="R30" s="9" t="b">
        <v>1</v>
      </c>
      <c r="S30" s="6" t="s">
        <v>46</v>
      </c>
      <c r="T30" s="6" t="s">
        <v>1770</v>
      </c>
      <c r="U30" s="9" t="b">
        <v>1</v>
      </c>
    </row>
    <row r="31" spans="1:21" ht="30">
      <c r="A31" s="7" t="s">
        <v>40</v>
      </c>
      <c r="B31" s="15">
        <v>46125</v>
      </c>
      <c r="C31" s="5" t="s">
        <v>43</v>
      </c>
      <c r="D31" s="14">
        <v>5</v>
      </c>
      <c r="E31" s="5" t="s">
        <v>1714</v>
      </c>
      <c r="F31" s="5" t="s">
        <v>1771</v>
      </c>
      <c r="G31" s="13">
        <v>21</v>
      </c>
      <c r="H31" s="13">
        <v>17</v>
      </c>
      <c r="I31" s="13">
        <v>2</v>
      </c>
      <c r="J31" s="13">
        <v>3</v>
      </c>
      <c r="K31" s="14">
        <f t="shared" si="0"/>
        <v>6</v>
      </c>
      <c r="L31" s="5" t="str">
        <f t="shared" si="1"/>
        <v>HIGH</v>
      </c>
      <c r="M31" s="4" t="s">
        <v>1716</v>
      </c>
      <c r="N31" s="8" t="b">
        <v>0</v>
      </c>
      <c r="O31" s="6" t="s">
        <v>1717</v>
      </c>
      <c r="P31" s="6" t="s">
        <v>1772</v>
      </c>
      <c r="Q31" s="6"/>
      <c r="R31" s="9" t="b">
        <v>1</v>
      </c>
      <c r="S31" s="6" t="s">
        <v>46</v>
      </c>
      <c r="T31" s="6" t="s">
        <v>1773</v>
      </c>
      <c r="U31" s="9" t="b">
        <v>1</v>
      </c>
    </row>
    <row r="32" spans="1:21" ht="30">
      <c r="A32" s="7" t="s">
        <v>40</v>
      </c>
      <c r="B32" s="15">
        <v>46125</v>
      </c>
      <c r="C32" s="5" t="s">
        <v>43</v>
      </c>
      <c r="D32" s="14">
        <v>6</v>
      </c>
      <c r="E32" s="5" t="s">
        <v>1714</v>
      </c>
      <c r="F32" s="5" t="s">
        <v>1774</v>
      </c>
      <c r="G32" s="13">
        <v>24</v>
      </c>
      <c r="H32" s="13">
        <v>24</v>
      </c>
      <c r="I32" s="13">
        <v>3</v>
      </c>
      <c r="J32" s="13">
        <v>3</v>
      </c>
      <c r="K32" s="14">
        <f t="shared" si="0"/>
        <v>9</v>
      </c>
      <c r="L32" s="5" t="str">
        <f t="shared" si="1"/>
        <v>HIGH</v>
      </c>
      <c r="M32" s="4" t="s">
        <v>1716</v>
      </c>
      <c r="N32" s="8" t="b">
        <v>1</v>
      </c>
      <c r="O32" s="6" t="s">
        <v>1717</v>
      </c>
      <c r="P32" s="6" t="s">
        <v>1775</v>
      </c>
      <c r="Q32" s="6"/>
      <c r="R32" s="9" t="b">
        <v>1</v>
      </c>
      <c r="S32" s="6" t="s">
        <v>46</v>
      </c>
      <c r="T32" s="6" t="s">
        <v>1776</v>
      </c>
      <c r="U32" s="9" t="b">
        <v>1</v>
      </c>
    </row>
    <row r="33" spans="1:21" ht="45">
      <c r="A33" s="7" t="s">
        <v>40</v>
      </c>
      <c r="B33" s="15">
        <v>46125</v>
      </c>
      <c r="C33" s="5" t="s">
        <v>43</v>
      </c>
      <c r="D33" s="14">
        <v>7</v>
      </c>
      <c r="E33" s="5" t="s">
        <v>1729</v>
      </c>
      <c r="F33" s="5" t="s">
        <v>1730</v>
      </c>
      <c r="G33" s="13">
        <v>27</v>
      </c>
      <c r="H33" s="13">
        <v>0</v>
      </c>
      <c r="I33" s="13">
        <v>3</v>
      </c>
      <c r="J33" s="13">
        <v>2</v>
      </c>
      <c r="K33" s="14">
        <f t="shared" si="0"/>
        <v>6</v>
      </c>
      <c r="L33" s="5" t="str">
        <f t="shared" si="1"/>
        <v>HIGH</v>
      </c>
      <c r="M33" s="4" t="s">
        <v>1731</v>
      </c>
      <c r="N33" s="8" t="b">
        <v>0</v>
      </c>
      <c r="O33" s="6" t="s">
        <v>1732</v>
      </c>
      <c r="P33" s="6" t="s">
        <v>1733</v>
      </c>
      <c r="Q33" s="6"/>
      <c r="R33" s="9" t="b">
        <v>1</v>
      </c>
      <c r="S33" s="6" t="s">
        <v>46</v>
      </c>
      <c r="T33" s="6" t="s">
        <v>1777</v>
      </c>
      <c r="U33" s="9" t="b">
        <v>1</v>
      </c>
    </row>
    <row r="34" spans="1:21" ht="30">
      <c r="A34" s="7" t="s">
        <v>40</v>
      </c>
      <c r="B34" s="15">
        <v>46125</v>
      </c>
      <c r="C34" s="5" t="s">
        <v>43</v>
      </c>
      <c r="D34" s="14">
        <v>8</v>
      </c>
      <c r="E34" s="5" t="s">
        <v>1778</v>
      </c>
      <c r="F34" s="5" t="s">
        <v>1779</v>
      </c>
      <c r="G34" s="13">
        <v>30</v>
      </c>
      <c r="H34" s="13">
        <v>7</v>
      </c>
      <c r="I34" s="13">
        <v>2</v>
      </c>
      <c r="J34" s="13">
        <v>3</v>
      </c>
      <c r="K34" s="14">
        <f t="shared" si="0"/>
        <v>6</v>
      </c>
      <c r="L34" s="5" t="str">
        <f t="shared" si="1"/>
        <v>HIGH</v>
      </c>
      <c r="M34" s="4" t="s">
        <v>1780</v>
      </c>
      <c r="N34" s="8" t="b">
        <v>0</v>
      </c>
      <c r="O34" s="6" t="s">
        <v>1781</v>
      </c>
      <c r="P34" s="6" t="s">
        <v>1782</v>
      </c>
      <c r="Q34" s="6"/>
      <c r="R34" s="9" t="b">
        <v>1</v>
      </c>
      <c r="S34" s="6" t="s">
        <v>46</v>
      </c>
      <c r="T34" s="6" t="s">
        <v>1783</v>
      </c>
      <c r="U34" s="9" t="b">
        <v>1</v>
      </c>
    </row>
    <row r="35" spans="1:21" ht="30">
      <c r="A35" s="7" t="s">
        <v>47</v>
      </c>
      <c r="B35" s="15">
        <v>46158</v>
      </c>
      <c r="C35" s="5" t="s">
        <v>50</v>
      </c>
      <c r="D35" s="14">
        <v>1</v>
      </c>
      <c r="E35" s="5" t="s">
        <v>1699</v>
      </c>
      <c r="F35" s="5" t="s">
        <v>1705</v>
      </c>
      <c r="G35" s="13">
        <v>11</v>
      </c>
      <c r="H35" s="13">
        <v>25</v>
      </c>
      <c r="I35" s="13">
        <v>3</v>
      </c>
      <c r="J35" s="13">
        <v>3</v>
      </c>
      <c r="K35" s="14">
        <f t="shared" si="0"/>
        <v>9</v>
      </c>
      <c r="L35" s="5" t="str">
        <f t="shared" si="1"/>
        <v>HIGH</v>
      </c>
      <c r="M35" s="4" t="s">
        <v>1701</v>
      </c>
      <c r="N35" s="8" t="b">
        <v>0</v>
      </c>
      <c r="O35" s="6" t="s">
        <v>1702</v>
      </c>
      <c r="P35" s="6" t="s">
        <v>1706</v>
      </c>
      <c r="Q35" s="6"/>
      <c r="R35" s="9" t="b">
        <v>1</v>
      </c>
      <c r="S35" s="6" t="s">
        <v>53</v>
      </c>
      <c r="T35" s="6" t="s">
        <v>1784</v>
      </c>
      <c r="U35" s="9" t="b">
        <v>1</v>
      </c>
    </row>
    <row r="36" spans="1:21" ht="30">
      <c r="A36" s="7" t="s">
        <v>47</v>
      </c>
      <c r="B36" s="15">
        <v>46158</v>
      </c>
      <c r="C36" s="5" t="s">
        <v>50</v>
      </c>
      <c r="D36" s="14">
        <v>2</v>
      </c>
      <c r="E36" s="5" t="s">
        <v>1699</v>
      </c>
      <c r="F36" s="5" t="s">
        <v>1700</v>
      </c>
      <c r="G36" s="13">
        <v>14</v>
      </c>
      <c r="H36" s="13">
        <v>1</v>
      </c>
      <c r="I36" s="13">
        <v>3</v>
      </c>
      <c r="J36" s="13">
        <v>2</v>
      </c>
      <c r="K36" s="14">
        <f t="shared" si="0"/>
        <v>6</v>
      </c>
      <c r="L36" s="5" t="str">
        <f t="shared" si="1"/>
        <v>HIGH</v>
      </c>
      <c r="M36" s="4" t="s">
        <v>1701</v>
      </c>
      <c r="N36" s="8" t="b">
        <v>1</v>
      </c>
      <c r="O36" s="6" t="s">
        <v>1702</v>
      </c>
      <c r="P36" s="6" t="s">
        <v>1703</v>
      </c>
      <c r="Q36" s="6"/>
      <c r="R36" s="9" t="b">
        <v>1</v>
      </c>
      <c r="S36" s="6" t="s">
        <v>53</v>
      </c>
      <c r="T36" s="6" t="s">
        <v>1785</v>
      </c>
      <c r="U36" s="9" t="b">
        <v>1</v>
      </c>
    </row>
    <row r="37" spans="1:21" ht="30">
      <c r="A37" s="7" t="s">
        <v>47</v>
      </c>
      <c r="B37" s="15">
        <v>46158</v>
      </c>
      <c r="C37" s="5" t="s">
        <v>50</v>
      </c>
      <c r="D37" s="14">
        <v>3</v>
      </c>
      <c r="E37" s="5" t="s">
        <v>1708</v>
      </c>
      <c r="F37" s="5" t="s">
        <v>1709</v>
      </c>
      <c r="G37" s="13">
        <v>17</v>
      </c>
      <c r="H37" s="13">
        <v>8</v>
      </c>
      <c r="I37" s="13">
        <v>2</v>
      </c>
      <c r="J37" s="13">
        <v>3</v>
      </c>
      <c r="K37" s="14">
        <f t="shared" si="0"/>
        <v>6</v>
      </c>
      <c r="L37" s="5" t="str">
        <f t="shared" si="1"/>
        <v>HIGH</v>
      </c>
      <c r="M37" s="4" t="s">
        <v>1710</v>
      </c>
      <c r="N37" s="8" t="b">
        <v>0</v>
      </c>
      <c r="O37" s="6" t="s">
        <v>1711</v>
      </c>
      <c r="P37" s="6" t="s">
        <v>1712</v>
      </c>
      <c r="Q37" s="6"/>
      <c r="R37" s="9" t="b">
        <v>1</v>
      </c>
      <c r="S37" s="6" t="s">
        <v>53</v>
      </c>
      <c r="T37" s="6" t="s">
        <v>1786</v>
      </c>
      <c r="U37" s="9" t="b">
        <v>1</v>
      </c>
    </row>
    <row r="38" spans="1:21" ht="30">
      <c r="A38" s="7" t="s">
        <v>47</v>
      </c>
      <c r="B38" s="15">
        <v>46158</v>
      </c>
      <c r="C38" s="5" t="s">
        <v>50</v>
      </c>
      <c r="D38" s="14">
        <v>4</v>
      </c>
      <c r="E38" s="5" t="s">
        <v>1765</v>
      </c>
      <c r="F38" s="5" t="s">
        <v>1766</v>
      </c>
      <c r="G38" s="13">
        <v>20</v>
      </c>
      <c r="H38" s="13">
        <v>15</v>
      </c>
      <c r="I38" s="13">
        <v>3</v>
      </c>
      <c r="J38" s="13">
        <v>3</v>
      </c>
      <c r="K38" s="14">
        <f t="shared" si="0"/>
        <v>9</v>
      </c>
      <c r="L38" s="5" t="str">
        <f t="shared" si="1"/>
        <v>HIGH</v>
      </c>
      <c r="M38" s="4" t="s">
        <v>1767</v>
      </c>
      <c r="N38" s="8" t="b">
        <v>0</v>
      </c>
      <c r="O38" s="6" t="s">
        <v>1768</v>
      </c>
      <c r="P38" s="6" t="s">
        <v>1769</v>
      </c>
      <c r="Q38" s="6"/>
      <c r="R38" s="9" t="b">
        <v>1</v>
      </c>
      <c r="S38" s="6" t="s">
        <v>53</v>
      </c>
      <c r="T38" s="6" t="s">
        <v>1787</v>
      </c>
      <c r="U38" s="9" t="b">
        <v>1</v>
      </c>
    </row>
    <row r="39" spans="1:21" ht="30">
      <c r="A39" s="7" t="s">
        <v>47</v>
      </c>
      <c r="B39" s="15">
        <v>46158</v>
      </c>
      <c r="C39" s="5" t="s">
        <v>50</v>
      </c>
      <c r="D39" s="14">
        <v>5</v>
      </c>
      <c r="E39" s="5" t="s">
        <v>1714</v>
      </c>
      <c r="F39" s="5" t="s">
        <v>1788</v>
      </c>
      <c r="G39" s="13">
        <v>23</v>
      </c>
      <c r="H39" s="13">
        <v>22</v>
      </c>
      <c r="I39" s="13">
        <v>3</v>
      </c>
      <c r="J39" s="13">
        <v>2</v>
      </c>
      <c r="K39" s="14">
        <f t="shared" si="0"/>
        <v>6</v>
      </c>
      <c r="L39" s="5" t="str">
        <f t="shared" si="1"/>
        <v>HIGH</v>
      </c>
      <c r="M39" s="4" t="s">
        <v>1716</v>
      </c>
      <c r="N39" s="8" t="b">
        <v>1</v>
      </c>
      <c r="O39" s="6" t="s">
        <v>1717</v>
      </c>
      <c r="P39" s="6" t="s">
        <v>1789</v>
      </c>
      <c r="Q39" s="6"/>
      <c r="R39" s="9" t="b">
        <v>1</v>
      </c>
      <c r="S39" s="6" t="s">
        <v>53</v>
      </c>
      <c r="T39" s="6" t="s">
        <v>1790</v>
      </c>
      <c r="U39" s="9" t="b">
        <v>1</v>
      </c>
    </row>
    <row r="40" spans="1:21" ht="30">
      <c r="A40" s="7" t="s">
        <v>47</v>
      </c>
      <c r="B40" s="15">
        <v>46158</v>
      </c>
      <c r="C40" s="5" t="s">
        <v>50</v>
      </c>
      <c r="D40" s="14">
        <v>6</v>
      </c>
      <c r="E40" s="5" t="s">
        <v>1778</v>
      </c>
      <c r="F40" s="5" t="s">
        <v>1791</v>
      </c>
      <c r="G40" s="13">
        <v>26</v>
      </c>
      <c r="H40" s="13">
        <v>29</v>
      </c>
      <c r="I40" s="13">
        <v>2</v>
      </c>
      <c r="J40" s="13">
        <v>3</v>
      </c>
      <c r="K40" s="14">
        <f t="shared" si="0"/>
        <v>6</v>
      </c>
      <c r="L40" s="5" t="str">
        <f t="shared" si="1"/>
        <v>HIGH</v>
      </c>
      <c r="M40" s="4" t="s">
        <v>1780</v>
      </c>
      <c r="N40" s="8" t="b">
        <v>0</v>
      </c>
      <c r="O40" s="6" t="s">
        <v>1781</v>
      </c>
      <c r="P40" s="6" t="s">
        <v>1792</v>
      </c>
      <c r="Q40" s="6"/>
      <c r="R40" s="9" t="b">
        <v>1</v>
      </c>
      <c r="S40" s="6" t="s">
        <v>53</v>
      </c>
      <c r="T40" s="6" t="s">
        <v>1793</v>
      </c>
      <c r="U40" s="9" t="b">
        <v>1</v>
      </c>
    </row>
    <row r="41" spans="1:21" ht="45">
      <c r="A41" s="7" t="s">
        <v>47</v>
      </c>
      <c r="B41" s="15">
        <v>46158</v>
      </c>
      <c r="C41" s="5" t="s">
        <v>50</v>
      </c>
      <c r="D41" s="14">
        <v>7</v>
      </c>
      <c r="E41" s="5" t="s">
        <v>1729</v>
      </c>
      <c r="F41" s="5" t="s">
        <v>1730</v>
      </c>
      <c r="G41" s="13">
        <v>29</v>
      </c>
      <c r="H41" s="13">
        <v>5</v>
      </c>
      <c r="I41" s="13">
        <v>3</v>
      </c>
      <c r="J41" s="13">
        <v>3</v>
      </c>
      <c r="K41" s="14">
        <f t="shared" si="0"/>
        <v>9</v>
      </c>
      <c r="L41" s="5" t="str">
        <f t="shared" si="1"/>
        <v>HIGH</v>
      </c>
      <c r="M41" s="4" t="s">
        <v>1731</v>
      </c>
      <c r="N41" s="8" t="b">
        <v>0</v>
      </c>
      <c r="O41" s="6" t="s">
        <v>1732</v>
      </c>
      <c r="P41" s="6" t="s">
        <v>1733</v>
      </c>
      <c r="Q41" s="6"/>
      <c r="R41" s="9" t="b">
        <v>1</v>
      </c>
      <c r="S41" s="6" t="s">
        <v>53</v>
      </c>
      <c r="T41" s="6" t="s">
        <v>1794</v>
      </c>
      <c r="U41" s="9" t="b">
        <v>1</v>
      </c>
    </row>
    <row r="42" spans="1:21" ht="30">
      <c r="A42" s="7" t="s">
        <v>54</v>
      </c>
      <c r="B42" s="15">
        <v>46192</v>
      </c>
      <c r="C42" s="5" t="s">
        <v>56</v>
      </c>
      <c r="D42" s="14">
        <v>1</v>
      </c>
      <c r="E42" s="5" t="s">
        <v>1745</v>
      </c>
      <c r="F42" s="5" t="s">
        <v>1795</v>
      </c>
      <c r="G42" s="13">
        <v>13</v>
      </c>
      <c r="H42" s="13">
        <v>30</v>
      </c>
      <c r="I42" s="13">
        <v>2</v>
      </c>
      <c r="J42" s="13">
        <v>3</v>
      </c>
      <c r="K42" s="14">
        <f t="shared" si="0"/>
        <v>6</v>
      </c>
      <c r="L42" s="5" t="str">
        <f t="shared" si="1"/>
        <v>HIGH</v>
      </c>
      <c r="M42" s="4" t="s">
        <v>1747</v>
      </c>
      <c r="N42" s="8" t="b">
        <v>1</v>
      </c>
      <c r="O42" s="6" t="s">
        <v>1748</v>
      </c>
      <c r="P42" s="6" t="s">
        <v>1796</v>
      </c>
      <c r="Q42" s="6"/>
      <c r="R42" s="9" t="b">
        <v>1</v>
      </c>
      <c r="S42" s="6" t="s">
        <v>59</v>
      </c>
      <c r="T42" s="6" t="s">
        <v>1797</v>
      </c>
      <c r="U42" s="9" t="b">
        <v>1</v>
      </c>
    </row>
    <row r="43" spans="1:21" ht="30">
      <c r="A43" s="7" t="s">
        <v>54</v>
      </c>
      <c r="B43" s="15">
        <v>46192</v>
      </c>
      <c r="C43" s="5" t="s">
        <v>56</v>
      </c>
      <c r="D43" s="14">
        <v>2</v>
      </c>
      <c r="E43" s="5" t="s">
        <v>1714</v>
      </c>
      <c r="F43" s="5" t="s">
        <v>1715</v>
      </c>
      <c r="G43" s="13">
        <v>16</v>
      </c>
      <c r="H43" s="13">
        <v>6</v>
      </c>
      <c r="I43" s="13">
        <v>3</v>
      </c>
      <c r="J43" s="13">
        <v>3</v>
      </c>
      <c r="K43" s="14">
        <f t="shared" si="0"/>
        <v>9</v>
      </c>
      <c r="L43" s="5" t="str">
        <f t="shared" si="1"/>
        <v>HIGH</v>
      </c>
      <c r="M43" s="4" t="s">
        <v>1716</v>
      </c>
      <c r="N43" s="8" t="b">
        <v>0</v>
      </c>
      <c r="O43" s="6" t="s">
        <v>1717</v>
      </c>
      <c r="P43" s="6" t="s">
        <v>1718</v>
      </c>
      <c r="Q43" s="6"/>
      <c r="R43" s="9" t="b">
        <v>1</v>
      </c>
      <c r="S43" s="6" t="s">
        <v>59</v>
      </c>
      <c r="T43" s="6" t="s">
        <v>1798</v>
      </c>
      <c r="U43" s="9" t="b">
        <v>1</v>
      </c>
    </row>
    <row r="44" spans="1:21" ht="30">
      <c r="A44" s="7" t="s">
        <v>54</v>
      </c>
      <c r="B44" s="15">
        <v>46192</v>
      </c>
      <c r="C44" s="5" t="s">
        <v>56</v>
      </c>
      <c r="D44" s="14">
        <v>3</v>
      </c>
      <c r="E44" s="5" t="s">
        <v>1714</v>
      </c>
      <c r="F44" s="5" t="s">
        <v>1771</v>
      </c>
      <c r="G44" s="13">
        <v>19</v>
      </c>
      <c r="H44" s="13">
        <v>13</v>
      </c>
      <c r="I44" s="13">
        <v>3</v>
      </c>
      <c r="J44" s="13">
        <v>2</v>
      </c>
      <c r="K44" s="14">
        <f t="shared" si="0"/>
        <v>6</v>
      </c>
      <c r="L44" s="5" t="str">
        <f t="shared" si="1"/>
        <v>HIGH</v>
      </c>
      <c r="M44" s="4" t="s">
        <v>1716</v>
      </c>
      <c r="N44" s="8" t="b">
        <v>0</v>
      </c>
      <c r="O44" s="6" t="s">
        <v>1717</v>
      </c>
      <c r="P44" s="6" t="s">
        <v>1772</v>
      </c>
      <c r="Q44" s="6"/>
      <c r="R44" s="9" t="b">
        <v>1</v>
      </c>
      <c r="S44" s="6" t="s">
        <v>59</v>
      </c>
      <c r="T44" s="6" t="s">
        <v>1799</v>
      </c>
      <c r="U44" s="9" t="b">
        <v>1</v>
      </c>
    </row>
    <row r="45" spans="1:21" ht="30">
      <c r="A45" s="7" t="s">
        <v>54</v>
      </c>
      <c r="B45" s="15">
        <v>46192</v>
      </c>
      <c r="C45" s="5" t="s">
        <v>56</v>
      </c>
      <c r="D45" s="14">
        <v>4</v>
      </c>
      <c r="E45" s="5" t="s">
        <v>1714</v>
      </c>
      <c r="F45" s="5" t="s">
        <v>1774</v>
      </c>
      <c r="G45" s="13">
        <v>22</v>
      </c>
      <c r="H45" s="13">
        <v>20</v>
      </c>
      <c r="I45" s="13">
        <v>2</v>
      </c>
      <c r="J45" s="13">
        <v>3</v>
      </c>
      <c r="K45" s="14">
        <f t="shared" si="0"/>
        <v>6</v>
      </c>
      <c r="L45" s="5" t="str">
        <f t="shared" si="1"/>
        <v>HIGH</v>
      </c>
      <c r="M45" s="4" t="s">
        <v>1716</v>
      </c>
      <c r="N45" s="8" t="b">
        <v>1</v>
      </c>
      <c r="O45" s="6" t="s">
        <v>1717</v>
      </c>
      <c r="P45" s="6" t="s">
        <v>1775</v>
      </c>
      <c r="Q45" s="6"/>
      <c r="R45" s="9" t="b">
        <v>1</v>
      </c>
      <c r="S45" s="6" t="s">
        <v>59</v>
      </c>
      <c r="T45" s="6" t="s">
        <v>1800</v>
      </c>
      <c r="U45" s="9" t="b">
        <v>1</v>
      </c>
    </row>
    <row r="46" spans="1:21" ht="30">
      <c r="A46" s="7" t="s">
        <v>54</v>
      </c>
      <c r="B46" s="15">
        <v>46192</v>
      </c>
      <c r="C46" s="5" t="s">
        <v>56</v>
      </c>
      <c r="D46" s="14">
        <v>5</v>
      </c>
      <c r="E46" s="5" t="s">
        <v>1708</v>
      </c>
      <c r="F46" s="5" t="s">
        <v>1709</v>
      </c>
      <c r="G46" s="13">
        <v>25</v>
      </c>
      <c r="H46" s="13">
        <v>27</v>
      </c>
      <c r="I46" s="13">
        <v>3</v>
      </c>
      <c r="J46" s="13">
        <v>3</v>
      </c>
      <c r="K46" s="14">
        <f t="shared" si="0"/>
        <v>9</v>
      </c>
      <c r="L46" s="5" t="str">
        <f t="shared" si="1"/>
        <v>HIGH</v>
      </c>
      <c r="M46" s="4" t="s">
        <v>1710</v>
      </c>
      <c r="N46" s="8" t="b">
        <v>0</v>
      </c>
      <c r="O46" s="6" t="s">
        <v>1711</v>
      </c>
      <c r="P46" s="6" t="s">
        <v>1712</v>
      </c>
      <c r="Q46" s="6"/>
      <c r="R46" s="9" t="b">
        <v>1</v>
      </c>
      <c r="S46" s="6" t="s">
        <v>59</v>
      </c>
      <c r="T46" s="6" t="s">
        <v>1801</v>
      </c>
      <c r="U46" s="9" t="b">
        <v>1</v>
      </c>
    </row>
    <row r="47" spans="1:21" ht="30">
      <c r="A47" s="7" t="s">
        <v>54</v>
      </c>
      <c r="B47" s="15">
        <v>46192</v>
      </c>
      <c r="C47" s="5" t="s">
        <v>56</v>
      </c>
      <c r="D47" s="14">
        <v>6</v>
      </c>
      <c r="E47" s="5" t="s">
        <v>1745</v>
      </c>
      <c r="F47" s="5" t="s">
        <v>1746</v>
      </c>
      <c r="G47" s="13">
        <v>28</v>
      </c>
      <c r="H47" s="13">
        <v>3</v>
      </c>
      <c r="I47" s="13">
        <v>3</v>
      </c>
      <c r="J47" s="13">
        <v>2</v>
      </c>
      <c r="K47" s="14">
        <f t="shared" si="0"/>
        <v>6</v>
      </c>
      <c r="L47" s="5" t="str">
        <f t="shared" si="1"/>
        <v>HIGH</v>
      </c>
      <c r="M47" s="4" t="s">
        <v>1747</v>
      </c>
      <c r="N47" s="8" t="b">
        <v>0</v>
      </c>
      <c r="O47" s="6" t="s">
        <v>1748</v>
      </c>
      <c r="P47" s="6" t="s">
        <v>1749</v>
      </c>
      <c r="Q47" s="6"/>
      <c r="R47" s="9" t="b">
        <v>1</v>
      </c>
      <c r="S47" s="6" t="s">
        <v>59</v>
      </c>
      <c r="T47" s="6" t="s">
        <v>1802</v>
      </c>
      <c r="U47" s="9" t="b">
        <v>1</v>
      </c>
    </row>
    <row r="48" spans="1:21" ht="30">
      <c r="A48" s="7" t="s">
        <v>54</v>
      </c>
      <c r="B48" s="15">
        <v>46192</v>
      </c>
      <c r="C48" s="5" t="s">
        <v>56</v>
      </c>
      <c r="D48" s="14">
        <v>7</v>
      </c>
      <c r="E48" s="5" t="s">
        <v>1720</v>
      </c>
      <c r="F48" s="5" t="s">
        <v>1721</v>
      </c>
      <c r="G48" s="13">
        <v>31</v>
      </c>
      <c r="H48" s="13">
        <v>10</v>
      </c>
      <c r="I48" s="13">
        <v>2</v>
      </c>
      <c r="J48" s="13">
        <v>3</v>
      </c>
      <c r="K48" s="14">
        <f t="shared" si="0"/>
        <v>6</v>
      </c>
      <c r="L48" s="5" t="str">
        <f t="shared" si="1"/>
        <v>HIGH</v>
      </c>
      <c r="M48" s="4" t="s">
        <v>1722</v>
      </c>
      <c r="N48" s="8" t="b">
        <v>1</v>
      </c>
      <c r="O48" s="6" t="s">
        <v>1723</v>
      </c>
      <c r="P48" s="6" t="s">
        <v>1724</v>
      </c>
      <c r="Q48" s="6"/>
      <c r="R48" s="9" t="b">
        <v>1</v>
      </c>
      <c r="S48" s="6" t="s">
        <v>59</v>
      </c>
      <c r="T48" s="6" t="s">
        <v>1803</v>
      </c>
      <c r="U48" s="9" t="b">
        <v>1</v>
      </c>
    </row>
    <row r="49" spans="1:21" ht="30">
      <c r="A49" s="7" t="s">
        <v>54</v>
      </c>
      <c r="B49" s="15">
        <v>46192</v>
      </c>
      <c r="C49" s="5" t="s">
        <v>56</v>
      </c>
      <c r="D49" s="14">
        <v>8</v>
      </c>
      <c r="E49" s="5" t="s">
        <v>1778</v>
      </c>
      <c r="F49" s="5" t="s">
        <v>1804</v>
      </c>
      <c r="G49" s="13">
        <v>34</v>
      </c>
      <c r="H49" s="13">
        <v>17</v>
      </c>
      <c r="I49" s="13">
        <v>3</v>
      </c>
      <c r="J49" s="13">
        <v>3</v>
      </c>
      <c r="K49" s="14">
        <f t="shared" si="0"/>
        <v>9</v>
      </c>
      <c r="L49" s="5" t="str">
        <f t="shared" si="1"/>
        <v>HIGH</v>
      </c>
      <c r="M49" s="4" t="s">
        <v>1780</v>
      </c>
      <c r="N49" s="8" t="b">
        <v>0</v>
      </c>
      <c r="O49" s="6" t="s">
        <v>1781</v>
      </c>
      <c r="P49" s="6" t="s">
        <v>1805</v>
      </c>
      <c r="Q49" s="6"/>
      <c r="R49" s="9" t="b">
        <v>1</v>
      </c>
      <c r="S49" s="6" t="s">
        <v>59</v>
      </c>
      <c r="T49" s="6" t="s">
        <v>1806</v>
      </c>
      <c r="U49" s="9" t="b">
        <v>1</v>
      </c>
    </row>
    <row r="50" spans="1:21" ht="30">
      <c r="A50" s="7" t="s">
        <v>60</v>
      </c>
      <c r="B50" s="15">
        <v>46044</v>
      </c>
      <c r="C50" s="5" t="s">
        <v>62</v>
      </c>
      <c r="D50" s="14">
        <v>1</v>
      </c>
      <c r="E50" s="5" t="s">
        <v>1699</v>
      </c>
      <c r="F50" s="5" t="s">
        <v>1700</v>
      </c>
      <c r="G50" s="13">
        <v>15</v>
      </c>
      <c r="H50" s="13">
        <v>4</v>
      </c>
      <c r="I50" s="13">
        <v>2</v>
      </c>
      <c r="J50" s="13">
        <v>2</v>
      </c>
      <c r="K50" s="14">
        <f t="shared" si="0"/>
        <v>4</v>
      </c>
      <c r="L50" s="5" t="str">
        <f t="shared" si="1"/>
        <v>MEDIUM</v>
      </c>
      <c r="M50" s="4" t="s">
        <v>1701</v>
      </c>
      <c r="N50" s="8" t="b">
        <v>0</v>
      </c>
      <c r="O50" s="6" t="s">
        <v>1702</v>
      </c>
      <c r="P50" s="6" t="s">
        <v>1703</v>
      </c>
      <c r="Q50" s="6"/>
      <c r="R50" s="9" t="b">
        <v>1</v>
      </c>
      <c r="S50" s="6" t="s">
        <v>65</v>
      </c>
      <c r="T50" s="6" t="s">
        <v>1807</v>
      </c>
      <c r="U50" s="9" t="b">
        <v>1</v>
      </c>
    </row>
    <row r="51" spans="1:21" ht="30">
      <c r="A51" s="7" t="s">
        <v>60</v>
      </c>
      <c r="B51" s="15">
        <v>46044</v>
      </c>
      <c r="C51" s="5" t="s">
        <v>62</v>
      </c>
      <c r="D51" s="14">
        <v>2</v>
      </c>
      <c r="E51" s="5" t="s">
        <v>1699</v>
      </c>
      <c r="F51" s="5" t="s">
        <v>1705</v>
      </c>
      <c r="G51" s="13">
        <v>18</v>
      </c>
      <c r="H51" s="13">
        <v>11</v>
      </c>
      <c r="I51" s="13">
        <v>1</v>
      </c>
      <c r="J51" s="13">
        <v>3</v>
      </c>
      <c r="K51" s="14">
        <f t="shared" si="0"/>
        <v>3</v>
      </c>
      <c r="L51" s="5" t="str">
        <f t="shared" si="1"/>
        <v>MEDIUM</v>
      </c>
      <c r="M51" s="4" t="s">
        <v>1701</v>
      </c>
      <c r="N51" s="8" t="b">
        <v>0</v>
      </c>
      <c r="O51" s="6" t="s">
        <v>1702</v>
      </c>
      <c r="P51" s="6" t="s">
        <v>1706</v>
      </c>
      <c r="Q51" s="6"/>
      <c r="R51" s="9" t="b">
        <v>1</v>
      </c>
      <c r="S51" s="6" t="s">
        <v>65</v>
      </c>
      <c r="T51" s="6" t="s">
        <v>1808</v>
      </c>
      <c r="U51" s="9" t="b">
        <v>1</v>
      </c>
    </row>
    <row r="52" spans="1:21" ht="30">
      <c r="A52" s="7" t="s">
        <v>60</v>
      </c>
      <c r="B52" s="15">
        <v>46044</v>
      </c>
      <c r="C52" s="5" t="s">
        <v>62</v>
      </c>
      <c r="D52" s="14">
        <v>3</v>
      </c>
      <c r="E52" s="5" t="s">
        <v>1708</v>
      </c>
      <c r="F52" s="5" t="s">
        <v>1709</v>
      </c>
      <c r="G52" s="13">
        <v>21</v>
      </c>
      <c r="H52" s="13">
        <v>18</v>
      </c>
      <c r="I52" s="13">
        <v>3</v>
      </c>
      <c r="J52" s="13">
        <v>1</v>
      </c>
      <c r="K52" s="14">
        <f t="shared" si="0"/>
        <v>3</v>
      </c>
      <c r="L52" s="5" t="str">
        <f t="shared" si="1"/>
        <v>MEDIUM</v>
      </c>
      <c r="M52" s="4" t="s">
        <v>1710</v>
      </c>
      <c r="N52" s="8" t="b">
        <v>0</v>
      </c>
      <c r="O52" s="6" t="s">
        <v>1711</v>
      </c>
      <c r="P52" s="6" t="s">
        <v>1712</v>
      </c>
      <c r="Q52" s="6"/>
      <c r="R52" s="9" t="b">
        <v>1</v>
      </c>
      <c r="S52" s="6" t="s">
        <v>65</v>
      </c>
      <c r="T52" s="6" t="s">
        <v>1809</v>
      </c>
      <c r="U52" s="9" t="b">
        <v>1</v>
      </c>
    </row>
    <row r="53" spans="1:21" ht="30">
      <c r="A53" s="7" t="s">
        <v>60</v>
      </c>
      <c r="B53" s="15">
        <v>46044</v>
      </c>
      <c r="C53" s="5" t="s">
        <v>62</v>
      </c>
      <c r="D53" s="14">
        <v>4</v>
      </c>
      <c r="E53" s="5" t="s">
        <v>1714</v>
      </c>
      <c r="F53" s="5" t="s">
        <v>1715</v>
      </c>
      <c r="G53" s="13">
        <v>24</v>
      </c>
      <c r="H53" s="13">
        <v>25</v>
      </c>
      <c r="I53" s="13">
        <v>2</v>
      </c>
      <c r="J53" s="13">
        <v>2</v>
      </c>
      <c r="K53" s="14">
        <f t="shared" si="0"/>
        <v>4</v>
      </c>
      <c r="L53" s="5" t="str">
        <f t="shared" si="1"/>
        <v>MEDIUM</v>
      </c>
      <c r="M53" s="4" t="s">
        <v>1716</v>
      </c>
      <c r="N53" s="8" t="b">
        <v>0</v>
      </c>
      <c r="O53" s="6" t="s">
        <v>1717</v>
      </c>
      <c r="P53" s="6" t="s">
        <v>1718</v>
      </c>
      <c r="Q53" s="6"/>
      <c r="R53" s="9" t="b">
        <v>1</v>
      </c>
      <c r="S53" s="6" t="s">
        <v>65</v>
      </c>
      <c r="T53" s="6" t="s">
        <v>1810</v>
      </c>
      <c r="U53" s="9" t="b">
        <v>1</v>
      </c>
    </row>
    <row r="54" spans="1:21" ht="30">
      <c r="A54" s="7" t="s">
        <v>60</v>
      </c>
      <c r="B54" s="15">
        <v>46044</v>
      </c>
      <c r="C54" s="5" t="s">
        <v>62</v>
      </c>
      <c r="D54" s="14">
        <v>5</v>
      </c>
      <c r="E54" s="5" t="s">
        <v>1714</v>
      </c>
      <c r="F54" s="5" t="s">
        <v>1771</v>
      </c>
      <c r="G54" s="13">
        <v>27</v>
      </c>
      <c r="H54" s="13">
        <v>1</v>
      </c>
      <c r="I54" s="13">
        <v>1</v>
      </c>
      <c r="J54" s="13">
        <v>3</v>
      </c>
      <c r="K54" s="14">
        <f t="shared" si="0"/>
        <v>3</v>
      </c>
      <c r="L54" s="5" t="str">
        <f t="shared" si="1"/>
        <v>MEDIUM</v>
      </c>
      <c r="M54" s="4" t="s">
        <v>1716</v>
      </c>
      <c r="N54" s="8" t="b">
        <v>0</v>
      </c>
      <c r="O54" s="6" t="s">
        <v>1717</v>
      </c>
      <c r="P54" s="6" t="s">
        <v>1772</v>
      </c>
      <c r="Q54" s="6"/>
      <c r="R54" s="9" t="b">
        <v>1</v>
      </c>
      <c r="S54" s="6" t="s">
        <v>65</v>
      </c>
      <c r="T54" s="6" t="s">
        <v>1811</v>
      </c>
      <c r="U54" s="9" t="b">
        <v>1</v>
      </c>
    </row>
    <row r="55" spans="1:21" ht="30">
      <c r="A55" s="7" t="s">
        <v>60</v>
      </c>
      <c r="B55" s="15">
        <v>46044</v>
      </c>
      <c r="C55" s="5" t="s">
        <v>62</v>
      </c>
      <c r="D55" s="14">
        <v>6</v>
      </c>
      <c r="E55" s="5" t="s">
        <v>1720</v>
      </c>
      <c r="F55" s="5" t="s">
        <v>1721</v>
      </c>
      <c r="G55" s="13">
        <v>30</v>
      </c>
      <c r="H55" s="13">
        <v>8</v>
      </c>
      <c r="I55" s="13">
        <v>3</v>
      </c>
      <c r="J55" s="13">
        <v>1</v>
      </c>
      <c r="K55" s="14">
        <f t="shared" si="0"/>
        <v>3</v>
      </c>
      <c r="L55" s="5" t="str">
        <f t="shared" si="1"/>
        <v>MEDIUM</v>
      </c>
      <c r="M55" s="4" t="s">
        <v>1722</v>
      </c>
      <c r="N55" s="8" t="b">
        <v>0</v>
      </c>
      <c r="O55" s="6" t="s">
        <v>1723</v>
      </c>
      <c r="P55" s="6" t="s">
        <v>1724</v>
      </c>
      <c r="Q55" s="6"/>
      <c r="R55" s="9" t="b">
        <v>1</v>
      </c>
      <c r="S55" s="6" t="s">
        <v>65</v>
      </c>
      <c r="T55" s="6" t="s">
        <v>1812</v>
      </c>
      <c r="U55" s="9" t="b">
        <v>1</v>
      </c>
    </row>
    <row r="56" spans="1:21" ht="30">
      <c r="A56" s="7" t="s">
        <v>60</v>
      </c>
      <c r="B56" s="15">
        <v>46044</v>
      </c>
      <c r="C56" s="5" t="s">
        <v>62</v>
      </c>
      <c r="D56" s="14">
        <v>7</v>
      </c>
      <c r="E56" s="5" t="s">
        <v>1708</v>
      </c>
      <c r="F56" s="5" t="s">
        <v>1735</v>
      </c>
      <c r="G56" s="13">
        <v>33</v>
      </c>
      <c r="H56" s="13">
        <v>15</v>
      </c>
      <c r="I56" s="13">
        <v>2</v>
      </c>
      <c r="J56" s="13">
        <v>2</v>
      </c>
      <c r="K56" s="14">
        <f t="shared" si="0"/>
        <v>4</v>
      </c>
      <c r="L56" s="5" t="str">
        <f t="shared" si="1"/>
        <v>MEDIUM</v>
      </c>
      <c r="M56" s="4" t="s">
        <v>1710</v>
      </c>
      <c r="N56" s="8" t="b">
        <v>0</v>
      </c>
      <c r="O56" s="6" t="s">
        <v>1711</v>
      </c>
      <c r="P56" s="6" t="s">
        <v>1736</v>
      </c>
      <c r="Q56" s="6"/>
      <c r="R56" s="9" t="b">
        <v>1</v>
      </c>
      <c r="S56" s="6" t="s">
        <v>65</v>
      </c>
      <c r="T56" s="6" t="s">
        <v>1813</v>
      </c>
      <c r="U56" s="9" t="b">
        <v>1</v>
      </c>
    </row>
    <row r="57" spans="1:21" ht="30">
      <c r="A57" s="7" t="s">
        <v>66</v>
      </c>
      <c r="B57" s="15">
        <v>46078</v>
      </c>
      <c r="C57" s="5" t="s">
        <v>68</v>
      </c>
      <c r="D57" s="14">
        <v>1</v>
      </c>
      <c r="E57" s="5" t="s">
        <v>1699</v>
      </c>
      <c r="F57" s="5" t="s">
        <v>1700</v>
      </c>
      <c r="G57" s="13">
        <v>17</v>
      </c>
      <c r="H57" s="13">
        <v>9</v>
      </c>
      <c r="I57" s="13">
        <v>3</v>
      </c>
      <c r="J57" s="13">
        <v>3</v>
      </c>
      <c r="K57" s="14">
        <f t="shared" si="0"/>
        <v>9</v>
      </c>
      <c r="L57" s="5" t="str">
        <f t="shared" si="1"/>
        <v>HIGH</v>
      </c>
      <c r="M57" s="4" t="s">
        <v>1701</v>
      </c>
      <c r="N57" s="8" t="b">
        <v>0</v>
      </c>
      <c r="O57" s="6" t="s">
        <v>1702</v>
      </c>
      <c r="P57" s="6" t="s">
        <v>1703</v>
      </c>
      <c r="Q57" s="6"/>
      <c r="R57" s="9" t="b">
        <v>1</v>
      </c>
      <c r="S57" s="6" t="s">
        <v>71</v>
      </c>
      <c r="T57" s="6" t="s">
        <v>1814</v>
      </c>
      <c r="U57" s="9" t="b">
        <v>1</v>
      </c>
    </row>
    <row r="58" spans="1:21" ht="30">
      <c r="A58" s="7" t="s">
        <v>66</v>
      </c>
      <c r="B58" s="15">
        <v>46078</v>
      </c>
      <c r="C58" s="5" t="s">
        <v>68</v>
      </c>
      <c r="D58" s="14">
        <v>2</v>
      </c>
      <c r="E58" s="5" t="s">
        <v>1699</v>
      </c>
      <c r="F58" s="5" t="s">
        <v>1705</v>
      </c>
      <c r="G58" s="13">
        <v>20</v>
      </c>
      <c r="H58" s="13">
        <v>16</v>
      </c>
      <c r="I58" s="13">
        <v>3</v>
      </c>
      <c r="J58" s="13">
        <v>2</v>
      </c>
      <c r="K58" s="14">
        <f t="shared" si="0"/>
        <v>6</v>
      </c>
      <c r="L58" s="5" t="str">
        <f t="shared" si="1"/>
        <v>HIGH</v>
      </c>
      <c r="M58" s="4" t="s">
        <v>1701</v>
      </c>
      <c r="N58" s="8" t="b">
        <v>1</v>
      </c>
      <c r="O58" s="6" t="s">
        <v>1702</v>
      </c>
      <c r="P58" s="6" t="s">
        <v>1706</v>
      </c>
      <c r="Q58" s="6"/>
      <c r="R58" s="9" t="b">
        <v>1</v>
      </c>
      <c r="S58" s="6" t="s">
        <v>71</v>
      </c>
      <c r="T58" s="6" t="s">
        <v>1815</v>
      </c>
      <c r="U58" s="9" t="b">
        <v>1</v>
      </c>
    </row>
    <row r="59" spans="1:21" ht="30">
      <c r="A59" s="7" t="s">
        <v>66</v>
      </c>
      <c r="B59" s="15">
        <v>46078</v>
      </c>
      <c r="C59" s="5" t="s">
        <v>68</v>
      </c>
      <c r="D59" s="14">
        <v>3</v>
      </c>
      <c r="E59" s="5" t="s">
        <v>1708</v>
      </c>
      <c r="F59" s="5" t="s">
        <v>1709</v>
      </c>
      <c r="G59" s="13">
        <v>23</v>
      </c>
      <c r="H59" s="13">
        <v>23</v>
      </c>
      <c r="I59" s="13">
        <v>2</v>
      </c>
      <c r="J59" s="13">
        <v>3</v>
      </c>
      <c r="K59" s="14">
        <f t="shared" si="0"/>
        <v>6</v>
      </c>
      <c r="L59" s="5" t="str">
        <f t="shared" si="1"/>
        <v>HIGH</v>
      </c>
      <c r="M59" s="4" t="s">
        <v>1710</v>
      </c>
      <c r="N59" s="8" t="b">
        <v>0</v>
      </c>
      <c r="O59" s="6" t="s">
        <v>1711</v>
      </c>
      <c r="P59" s="6" t="s">
        <v>1712</v>
      </c>
      <c r="Q59" s="6"/>
      <c r="R59" s="9" t="b">
        <v>1</v>
      </c>
      <c r="S59" s="6" t="s">
        <v>71</v>
      </c>
      <c r="T59" s="6" t="s">
        <v>1816</v>
      </c>
      <c r="U59" s="9" t="b">
        <v>1</v>
      </c>
    </row>
    <row r="60" spans="1:21" ht="30">
      <c r="A60" s="7" t="s">
        <v>66</v>
      </c>
      <c r="B60" s="15">
        <v>46078</v>
      </c>
      <c r="C60" s="5" t="s">
        <v>68</v>
      </c>
      <c r="D60" s="14">
        <v>4</v>
      </c>
      <c r="E60" s="5" t="s">
        <v>1714</v>
      </c>
      <c r="F60" s="5" t="s">
        <v>1715</v>
      </c>
      <c r="G60" s="13">
        <v>26</v>
      </c>
      <c r="H60" s="13">
        <v>30</v>
      </c>
      <c r="I60" s="13">
        <v>3</v>
      </c>
      <c r="J60" s="13">
        <v>3</v>
      </c>
      <c r="K60" s="14">
        <f t="shared" si="0"/>
        <v>9</v>
      </c>
      <c r="L60" s="5" t="str">
        <f t="shared" si="1"/>
        <v>HIGH</v>
      </c>
      <c r="M60" s="4" t="s">
        <v>1716</v>
      </c>
      <c r="N60" s="8" t="b">
        <v>0</v>
      </c>
      <c r="O60" s="6" t="s">
        <v>1717</v>
      </c>
      <c r="P60" s="6" t="s">
        <v>1718</v>
      </c>
      <c r="Q60" s="6"/>
      <c r="R60" s="9" t="b">
        <v>1</v>
      </c>
      <c r="S60" s="6" t="s">
        <v>71</v>
      </c>
      <c r="T60" s="6" t="s">
        <v>1817</v>
      </c>
      <c r="U60" s="9" t="b">
        <v>1</v>
      </c>
    </row>
    <row r="61" spans="1:21" ht="30">
      <c r="A61" s="7" t="s">
        <v>66</v>
      </c>
      <c r="B61" s="15">
        <v>46078</v>
      </c>
      <c r="C61" s="5" t="s">
        <v>68</v>
      </c>
      <c r="D61" s="14">
        <v>5</v>
      </c>
      <c r="E61" s="5" t="s">
        <v>1714</v>
      </c>
      <c r="F61" s="5" t="s">
        <v>1771</v>
      </c>
      <c r="G61" s="13">
        <v>29</v>
      </c>
      <c r="H61" s="13">
        <v>6</v>
      </c>
      <c r="I61" s="13">
        <v>3</v>
      </c>
      <c r="J61" s="13">
        <v>2</v>
      </c>
      <c r="K61" s="14">
        <f t="shared" si="0"/>
        <v>6</v>
      </c>
      <c r="L61" s="5" t="str">
        <f t="shared" si="1"/>
        <v>HIGH</v>
      </c>
      <c r="M61" s="4" t="s">
        <v>1716</v>
      </c>
      <c r="N61" s="8" t="b">
        <v>1</v>
      </c>
      <c r="O61" s="6" t="s">
        <v>1717</v>
      </c>
      <c r="P61" s="6" t="s">
        <v>1772</v>
      </c>
      <c r="Q61" s="6"/>
      <c r="R61" s="9" t="b">
        <v>1</v>
      </c>
      <c r="S61" s="6" t="s">
        <v>71</v>
      </c>
      <c r="T61" s="6" t="s">
        <v>1818</v>
      </c>
      <c r="U61" s="9" t="b">
        <v>1</v>
      </c>
    </row>
    <row r="62" spans="1:21" ht="30">
      <c r="A62" s="7" t="s">
        <v>66</v>
      </c>
      <c r="B62" s="15">
        <v>46078</v>
      </c>
      <c r="C62" s="5" t="s">
        <v>68</v>
      </c>
      <c r="D62" s="14">
        <v>6</v>
      </c>
      <c r="E62" s="5" t="s">
        <v>1720</v>
      </c>
      <c r="F62" s="5" t="s">
        <v>1721</v>
      </c>
      <c r="G62" s="13">
        <v>32</v>
      </c>
      <c r="H62" s="13">
        <v>13</v>
      </c>
      <c r="I62" s="13">
        <v>2</v>
      </c>
      <c r="J62" s="13">
        <v>3</v>
      </c>
      <c r="K62" s="14">
        <f t="shared" si="0"/>
        <v>6</v>
      </c>
      <c r="L62" s="5" t="str">
        <f t="shared" si="1"/>
        <v>HIGH</v>
      </c>
      <c r="M62" s="4" t="s">
        <v>1722</v>
      </c>
      <c r="N62" s="8" t="b">
        <v>0</v>
      </c>
      <c r="O62" s="6" t="s">
        <v>1723</v>
      </c>
      <c r="P62" s="6" t="s">
        <v>1724</v>
      </c>
      <c r="Q62" s="6"/>
      <c r="R62" s="9" t="b">
        <v>1</v>
      </c>
      <c r="S62" s="6" t="s">
        <v>71</v>
      </c>
      <c r="T62" s="6" t="s">
        <v>1819</v>
      </c>
      <c r="U62" s="9" t="b">
        <v>1</v>
      </c>
    </row>
    <row r="63" spans="1:21" ht="30">
      <c r="A63" s="7" t="s">
        <v>66</v>
      </c>
      <c r="B63" s="15">
        <v>46078</v>
      </c>
      <c r="C63" s="5" t="s">
        <v>68</v>
      </c>
      <c r="D63" s="14">
        <v>7</v>
      </c>
      <c r="E63" s="5" t="s">
        <v>1745</v>
      </c>
      <c r="F63" s="5" t="s">
        <v>1746</v>
      </c>
      <c r="G63" s="13">
        <v>35</v>
      </c>
      <c r="H63" s="13">
        <v>20</v>
      </c>
      <c r="I63" s="13">
        <v>3</v>
      </c>
      <c r="J63" s="13">
        <v>3</v>
      </c>
      <c r="K63" s="14">
        <f t="shared" si="0"/>
        <v>9</v>
      </c>
      <c r="L63" s="5" t="str">
        <f t="shared" si="1"/>
        <v>HIGH</v>
      </c>
      <c r="M63" s="4" t="s">
        <v>1747</v>
      </c>
      <c r="N63" s="8" t="b">
        <v>0</v>
      </c>
      <c r="O63" s="6" t="s">
        <v>1748</v>
      </c>
      <c r="P63" s="6" t="s">
        <v>1749</v>
      </c>
      <c r="Q63" s="6"/>
      <c r="R63" s="9" t="b">
        <v>1</v>
      </c>
      <c r="S63" s="6" t="s">
        <v>71</v>
      </c>
      <c r="T63" s="6" t="s">
        <v>1820</v>
      </c>
      <c r="U63" s="9" t="b">
        <v>1</v>
      </c>
    </row>
    <row r="64" spans="1:21" ht="30">
      <c r="A64" s="7" t="s">
        <v>72</v>
      </c>
      <c r="B64" s="15">
        <v>46084</v>
      </c>
      <c r="C64" s="5" t="s">
        <v>74</v>
      </c>
      <c r="D64" s="14">
        <v>1</v>
      </c>
      <c r="E64" s="5" t="s">
        <v>1699</v>
      </c>
      <c r="F64" s="5" t="s">
        <v>1700</v>
      </c>
      <c r="G64" s="13">
        <v>8</v>
      </c>
      <c r="H64" s="13">
        <v>14</v>
      </c>
      <c r="I64" s="13">
        <v>2</v>
      </c>
      <c r="J64" s="13">
        <v>3</v>
      </c>
      <c r="K64" s="14">
        <f t="shared" si="0"/>
        <v>6</v>
      </c>
      <c r="L64" s="5" t="str">
        <f t="shared" si="1"/>
        <v>HIGH</v>
      </c>
      <c r="M64" s="4" t="s">
        <v>1701</v>
      </c>
      <c r="N64" s="8" t="b">
        <v>1</v>
      </c>
      <c r="O64" s="6" t="s">
        <v>1702</v>
      </c>
      <c r="P64" s="6" t="s">
        <v>1703</v>
      </c>
      <c r="Q64" s="6"/>
      <c r="R64" s="9" t="b">
        <v>1</v>
      </c>
      <c r="S64" s="6" t="s">
        <v>77</v>
      </c>
      <c r="T64" s="6" t="s">
        <v>1821</v>
      </c>
      <c r="U64" s="9" t="b">
        <v>1</v>
      </c>
    </row>
    <row r="65" spans="1:21" ht="30">
      <c r="A65" s="7" t="s">
        <v>72</v>
      </c>
      <c r="B65" s="15">
        <v>46084</v>
      </c>
      <c r="C65" s="5" t="s">
        <v>74</v>
      </c>
      <c r="D65" s="14">
        <v>2</v>
      </c>
      <c r="E65" s="5" t="s">
        <v>1699</v>
      </c>
      <c r="F65" s="5" t="s">
        <v>1705</v>
      </c>
      <c r="G65" s="13">
        <v>11</v>
      </c>
      <c r="H65" s="13">
        <v>21</v>
      </c>
      <c r="I65" s="13">
        <v>3</v>
      </c>
      <c r="J65" s="13">
        <v>3</v>
      </c>
      <c r="K65" s="14">
        <f t="shared" si="0"/>
        <v>9</v>
      </c>
      <c r="L65" s="5" t="str">
        <f t="shared" si="1"/>
        <v>HIGH</v>
      </c>
      <c r="M65" s="4" t="s">
        <v>1701</v>
      </c>
      <c r="N65" s="8" t="b">
        <v>0</v>
      </c>
      <c r="O65" s="6" t="s">
        <v>1702</v>
      </c>
      <c r="P65" s="6" t="s">
        <v>1706</v>
      </c>
      <c r="Q65" s="6"/>
      <c r="R65" s="9" t="b">
        <v>1</v>
      </c>
      <c r="S65" s="6" t="s">
        <v>77</v>
      </c>
      <c r="T65" s="6" t="s">
        <v>1822</v>
      </c>
      <c r="U65" s="9" t="b">
        <v>1</v>
      </c>
    </row>
    <row r="66" spans="1:21" ht="30">
      <c r="A66" s="7" t="s">
        <v>72</v>
      </c>
      <c r="B66" s="15">
        <v>46084</v>
      </c>
      <c r="C66" s="5" t="s">
        <v>74</v>
      </c>
      <c r="D66" s="14">
        <v>3</v>
      </c>
      <c r="E66" s="5" t="s">
        <v>1708</v>
      </c>
      <c r="F66" s="5" t="s">
        <v>1709</v>
      </c>
      <c r="G66" s="13">
        <v>3</v>
      </c>
      <c r="H66" s="13">
        <v>28</v>
      </c>
      <c r="I66" s="13">
        <v>3</v>
      </c>
      <c r="J66" s="13">
        <v>2</v>
      </c>
      <c r="K66" s="14">
        <f t="shared" si="0"/>
        <v>6</v>
      </c>
      <c r="L66" s="5" t="str">
        <f t="shared" si="1"/>
        <v>HIGH</v>
      </c>
      <c r="M66" s="4" t="s">
        <v>1710</v>
      </c>
      <c r="N66" s="8" t="b">
        <v>0</v>
      </c>
      <c r="O66" s="6" t="s">
        <v>1711</v>
      </c>
      <c r="P66" s="6" t="s">
        <v>1712</v>
      </c>
      <c r="Q66" s="6"/>
      <c r="R66" s="9" t="b">
        <v>1</v>
      </c>
      <c r="S66" s="6" t="s">
        <v>77</v>
      </c>
      <c r="T66" s="6" t="s">
        <v>1823</v>
      </c>
      <c r="U66" s="9" t="b">
        <v>1</v>
      </c>
    </row>
    <row r="67" spans="1:21" ht="30">
      <c r="A67" s="7" t="s">
        <v>72</v>
      </c>
      <c r="B67" s="15">
        <v>46084</v>
      </c>
      <c r="C67" s="5" t="s">
        <v>74</v>
      </c>
      <c r="D67" s="14">
        <v>4</v>
      </c>
      <c r="E67" s="5" t="s">
        <v>1714</v>
      </c>
      <c r="F67" s="5" t="s">
        <v>1715</v>
      </c>
      <c r="G67" s="13">
        <v>6</v>
      </c>
      <c r="H67" s="13">
        <v>4</v>
      </c>
      <c r="I67" s="13">
        <v>2</v>
      </c>
      <c r="J67" s="13">
        <v>3</v>
      </c>
      <c r="K67" s="14">
        <f t="shared" si="0"/>
        <v>6</v>
      </c>
      <c r="L67" s="5" t="str">
        <f t="shared" si="1"/>
        <v>HIGH</v>
      </c>
      <c r="M67" s="4" t="s">
        <v>1716</v>
      </c>
      <c r="N67" s="8" t="b">
        <v>1</v>
      </c>
      <c r="O67" s="6" t="s">
        <v>1717</v>
      </c>
      <c r="P67" s="6" t="s">
        <v>1718</v>
      </c>
      <c r="Q67" s="6"/>
      <c r="R67" s="9" t="b">
        <v>1</v>
      </c>
      <c r="S67" s="6" t="s">
        <v>77</v>
      </c>
      <c r="T67" s="6" t="s">
        <v>1824</v>
      </c>
      <c r="U67" s="9" t="b">
        <v>1</v>
      </c>
    </row>
    <row r="68" spans="1:21" ht="30">
      <c r="A68" s="7" t="s">
        <v>72</v>
      </c>
      <c r="B68" s="15">
        <v>46084</v>
      </c>
      <c r="C68" s="5" t="s">
        <v>74</v>
      </c>
      <c r="D68" s="14">
        <v>5</v>
      </c>
      <c r="E68" s="5" t="s">
        <v>1714</v>
      </c>
      <c r="F68" s="5" t="s">
        <v>1771</v>
      </c>
      <c r="G68" s="13">
        <v>9</v>
      </c>
      <c r="H68" s="13">
        <v>11</v>
      </c>
      <c r="I68" s="13">
        <v>3</v>
      </c>
      <c r="J68" s="13">
        <v>3</v>
      </c>
      <c r="K68" s="14">
        <f t="shared" ref="K68:K131" si="2">IF(AND(R68=TRUE,U68=TRUE,ISNUMBER(I68),I68=INT(I68),I68&gt;=1,I68&lt;=3,ISNUMBER(J68),J68=INT(J68),J68&gt;=1,J68&lt;=3),I68*J68,"")</f>
        <v>9</v>
      </c>
      <c r="L68" s="5" t="str">
        <f t="shared" ref="L68:L131" si="3">IF(K68="","",IF(K68&lt;=2,"LOW",IF(K68&lt;=4,"MEDIUM","HIGH")))</f>
        <v>HIGH</v>
      </c>
      <c r="M68" s="4" t="s">
        <v>1716</v>
      </c>
      <c r="N68" s="8" t="b">
        <v>0</v>
      </c>
      <c r="O68" s="6" t="s">
        <v>1717</v>
      </c>
      <c r="P68" s="6" t="s">
        <v>1772</v>
      </c>
      <c r="Q68" s="6"/>
      <c r="R68" s="9" t="b">
        <v>1</v>
      </c>
      <c r="S68" s="6" t="s">
        <v>77</v>
      </c>
      <c r="T68" s="6" t="s">
        <v>1825</v>
      </c>
      <c r="U68" s="9" t="b">
        <v>1</v>
      </c>
    </row>
    <row r="69" spans="1:21" ht="30">
      <c r="A69" s="7" t="s">
        <v>72</v>
      </c>
      <c r="B69" s="15">
        <v>46084</v>
      </c>
      <c r="C69" s="5" t="s">
        <v>74</v>
      </c>
      <c r="D69" s="14">
        <v>6</v>
      </c>
      <c r="E69" s="5" t="s">
        <v>1720</v>
      </c>
      <c r="F69" s="5" t="s">
        <v>1721</v>
      </c>
      <c r="G69" s="13">
        <v>1</v>
      </c>
      <c r="H69" s="13">
        <v>18</v>
      </c>
      <c r="I69" s="13">
        <v>3</v>
      </c>
      <c r="J69" s="13">
        <v>2</v>
      </c>
      <c r="K69" s="14">
        <f t="shared" si="2"/>
        <v>6</v>
      </c>
      <c r="L69" s="5" t="str">
        <f t="shared" si="3"/>
        <v>HIGH</v>
      </c>
      <c r="M69" s="4" t="s">
        <v>1722</v>
      </c>
      <c r="N69" s="8" t="b">
        <v>0</v>
      </c>
      <c r="O69" s="6" t="s">
        <v>1723</v>
      </c>
      <c r="P69" s="6" t="s">
        <v>1724</v>
      </c>
      <c r="Q69" s="6"/>
      <c r="R69" s="9" t="b">
        <v>1</v>
      </c>
      <c r="S69" s="6" t="s">
        <v>77</v>
      </c>
      <c r="T69" s="6" t="s">
        <v>1826</v>
      </c>
      <c r="U69" s="9" t="b">
        <v>1</v>
      </c>
    </row>
    <row r="70" spans="1:21" ht="30">
      <c r="A70" s="7" t="s">
        <v>72</v>
      </c>
      <c r="B70" s="15">
        <v>46084</v>
      </c>
      <c r="C70" s="5" t="s">
        <v>74</v>
      </c>
      <c r="D70" s="14">
        <v>7</v>
      </c>
      <c r="E70" s="5" t="s">
        <v>1720</v>
      </c>
      <c r="F70" s="5" t="s">
        <v>1726</v>
      </c>
      <c r="G70" s="13">
        <v>4</v>
      </c>
      <c r="H70" s="13">
        <v>25</v>
      </c>
      <c r="I70" s="13">
        <v>2</v>
      </c>
      <c r="J70" s="13">
        <v>3</v>
      </c>
      <c r="K70" s="14">
        <f t="shared" si="2"/>
        <v>6</v>
      </c>
      <c r="L70" s="5" t="str">
        <f t="shared" si="3"/>
        <v>HIGH</v>
      </c>
      <c r="M70" s="4" t="s">
        <v>1722</v>
      </c>
      <c r="N70" s="8" t="b">
        <v>1</v>
      </c>
      <c r="O70" s="6" t="s">
        <v>1723</v>
      </c>
      <c r="P70" s="6" t="s">
        <v>1727</v>
      </c>
      <c r="Q70" s="6"/>
      <c r="R70" s="9" t="b">
        <v>1</v>
      </c>
      <c r="S70" s="6" t="s">
        <v>77</v>
      </c>
      <c r="T70" s="6" t="s">
        <v>1827</v>
      </c>
      <c r="U70" s="9" t="b">
        <v>1</v>
      </c>
    </row>
    <row r="71" spans="1:21" ht="30">
      <c r="A71" s="7" t="s">
        <v>78</v>
      </c>
      <c r="B71" s="15">
        <v>46118</v>
      </c>
      <c r="C71" s="5" t="s">
        <v>80</v>
      </c>
      <c r="D71" s="14">
        <v>1</v>
      </c>
      <c r="E71" s="5" t="s">
        <v>1699</v>
      </c>
      <c r="F71" s="5" t="s">
        <v>1700</v>
      </c>
      <c r="G71" s="13">
        <v>3</v>
      </c>
      <c r="H71" s="13">
        <v>19</v>
      </c>
      <c r="I71" s="13">
        <v>3</v>
      </c>
      <c r="J71" s="13">
        <v>2</v>
      </c>
      <c r="K71" s="14">
        <f t="shared" si="2"/>
        <v>6</v>
      </c>
      <c r="L71" s="5" t="str">
        <f t="shared" si="3"/>
        <v>HIGH</v>
      </c>
      <c r="M71" s="4" t="s">
        <v>1701</v>
      </c>
      <c r="N71" s="8" t="b">
        <v>0</v>
      </c>
      <c r="O71" s="6" t="s">
        <v>1702</v>
      </c>
      <c r="P71" s="6" t="s">
        <v>1703</v>
      </c>
      <c r="Q71" s="6"/>
      <c r="R71" s="9" t="b">
        <v>1</v>
      </c>
      <c r="S71" s="6" t="s">
        <v>83</v>
      </c>
      <c r="T71" s="6" t="s">
        <v>1828</v>
      </c>
      <c r="U71" s="9" t="b">
        <v>1</v>
      </c>
    </row>
    <row r="72" spans="1:21" ht="30">
      <c r="A72" s="7" t="s">
        <v>78</v>
      </c>
      <c r="B72" s="15">
        <v>46118</v>
      </c>
      <c r="C72" s="5" t="s">
        <v>80</v>
      </c>
      <c r="D72" s="14">
        <v>2</v>
      </c>
      <c r="E72" s="5" t="s">
        <v>1699</v>
      </c>
      <c r="F72" s="5" t="s">
        <v>1705</v>
      </c>
      <c r="G72" s="13">
        <v>6</v>
      </c>
      <c r="H72" s="13">
        <v>26</v>
      </c>
      <c r="I72" s="13">
        <v>2</v>
      </c>
      <c r="J72" s="13">
        <v>3</v>
      </c>
      <c r="K72" s="14">
        <f t="shared" si="2"/>
        <v>6</v>
      </c>
      <c r="L72" s="5" t="str">
        <f t="shared" si="3"/>
        <v>HIGH</v>
      </c>
      <c r="M72" s="4" t="s">
        <v>1701</v>
      </c>
      <c r="N72" s="8" t="b">
        <v>0</v>
      </c>
      <c r="O72" s="6" t="s">
        <v>1702</v>
      </c>
      <c r="P72" s="6" t="s">
        <v>1706</v>
      </c>
      <c r="Q72" s="6"/>
      <c r="R72" s="9" t="b">
        <v>1</v>
      </c>
      <c r="S72" s="6" t="s">
        <v>83</v>
      </c>
      <c r="T72" s="6" t="s">
        <v>1829</v>
      </c>
      <c r="U72" s="9" t="b">
        <v>1</v>
      </c>
    </row>
    <row r="73" spans="1:21" ht="30">
      <c r="A73" s="7" t="s">
        <v>78</v>
      </c>
      <c r="B73" s="15">
        <v>46118</v>
      </c>
      <c r="C73" s="5" t="s">
        <v>80</v>
      </c>
      <c r="D73" s="14">
        <v>3</v>
      </c>
      <c r="E73" s="5" t="s">
        <v>1708</v>
      </c>
      <c r="F73" s="5" t="s">
        <v>1709</v>
      </c>
      <c r="G73" s="13">
        <v>9</v>
      </c>
      <c r="H73" s="13">
        <v>2</v>
      </c>
      <c r="I73" s="13">
        <v>3</v>
      </c>
      <c r="J73" s="13">
        <v>3</v>
      </c>
      <c r="K73" s="14">
        <f t="shared" si="2"/>
        <v>9</v>
      </c>
      <c r="L73" s="5" t="str">
        <f t="shared" si="3"/>
        <v>HIGH</v>
      </c>
      <c r="M73" s="4" t="s">
        <v>1710</v>
      </c>
      <c r="N73" s="8" t="b">
        <v>1</v>
      </c>
      <c r="O73" s="6" t="s">
        <v>1711</v>
      </c>
      <c r="P73" s="6" t="s">
        <v>1712</v>
      </c>
      <c r="Q73" s="6"/>
      <c r="R73" s="9" t="b">
        <v>1</v>
      </c>
      <c r="S73" s="6" t="s">
        <v>83</v>
      </c>
      <c r="T73" s="6" t="s">
        <v>1830</v>
      </c>
      <c r="U73" s="9" t="b">
        <v>1</v>
      </c>
    </row>
    <row r="74" spans="1:21" ht="30">
      <c r="A74" s="7" t="s">
        <v>78</v>
      </c>
      <c r="B74" s="15">
        <v>46118</v>
      </c>
      <c r="C74" s="5" t="s">
        <v>80</v>
      </c>
      <c r="D74" s="14">
        <v>4</v>
      </c>
      <c r="E74" s="5" t="s">
        <v>1714</v>
      </c>
      <c r="F74" s="5" t="s">
        <v>1715</v>
      </c>
      <c r="G74" s="13">
        <v>12</v>
      </c>
      <c r="H74" s="13">
        <v>9</v>
      </c>
      <c r="I74" s="13">
        <v>3</v>
      </c>
      <c r="J74" s="13">
        <v>2</v>
      </c>
      <c r="K74" s="14">
        <f t="shared" si="2"/>
        <v>6</v>
      </c>
      <c r="L74" s="5" t="str">
        <f t="shared" si="3"/>
        <v>HIGH</v>
      </c>
      <c r="M74" s="4" t="s">
        <v>1716</v>
      </c>
      <c r="N74" s="8" t="b">
        <v>0</v>
      </c>
      <c r="O74" s="6" t="s">
        <v>1717</v>
      </c>
      <c r="P74" s="6" t="s">
        <v>1718</v>
      </c>
      <c r="Q74" s="6"/>
      <c r="R74" s="9" t="b">
        <v>1</v>
      </c>
      <c r="S74" s="6" t="s">
        <v>83</v>
      </c>
      <c r="T74" s="6" t="s">
        <v>1831</v>
      </c>
      <c r="U74" s="9" t="b">
        <v>1</v>
      </c>
    </row>
    <row r="75" spans="1:21" ht="30">
      <c r="A75" s="7" t="s">
        <v>78</v>
      </c>
      <c r="B75" s="15">
        <v>46118</v>
      </c>
      <c r="C75" s="5" t="s">
        <v>80</v>
      </c>
      <c r="D75" s="14">
        <v>5</v>
      </c>
      <c r="E75" s="5" t="s">
        <v>1714</v>
      </c>
      <c r="F75" s="5" t="s">
        <v>1771</v>
      </c>
      <c r="G75" s="13">
        <v>15</v>
      </c>
      <c r="H75" s="13">
        <v>16</v>
      </c>
      <c r="I75" s="13">
        <v>2</v>
      </c>
      <c r="J75" s="13">
        <v>3</v>
      </c>
      <c r="K75" s="14">
        <f t="shared" si="2"/>
        <v>6</v>
      </c>
      <c r="L75" s="5" t="str">
        <f t="shared" si="3"/>
        <v>HIGH</v>
      </c>
      <c r="M75" s="4" t="s">
        <v>1716</v>
      </c>
      <c r="N75" s="8" t="b">
        <v>0</v>
      </c>
      <c r="O75" s="6" t="s">
        <v>1717</v>
      </c>
      <c r="P75" s="6" t="s">
        <v>1772</v>
      </c>
      <c r="Q75" s="6"/>
      <c r="R75" s="9" t="b">
        <v>1</v>
      </c>
      <c r="S75" s="6" t="s">
        <v>83</v>
      </c>
      <c r="T75" s="6" t="s">
        <v>1832</v>
      </c>
      <c r="U75" s="9" t="b">
        <v>1</v>
      </c>
    </row>
    <row r="76" spans="1:21" ht="30">
      <c r="A76" s="7" t="s">
        <v>78</v>
      </c>
      <c r="B76" s="15">
        <v>46118</v>
      </c>
      <c r="C76" s="5" t="s">
        <v>80</v>
      </c>
      <c r="D76" s="14">
        <v>6</v>
      </c>
      <c r="E76" s="5" t="s">
        <v>1720</v>
      </c>
      <c r="F76" s="5" t="s">
        <v>1721</v>
      </c>
      <c r="G76" s="13">
        <v>18</v>
      </c>
      <c r="H76" s="13">
        <v>23</v>
      </c>
      <c r="I76" s="13">
        <v>3</v>
      </c>
      <c r="J76" s="13">
        <v>3</v>
      </c>
      <c r="K76" s="14">
        <f t="shared" si="2"/>
        <v>9</v>
      </c>
      <c r="L76" s="5" t="str">
        <f t="shared" si="3"/>
        <v>HIGH</v>
      </c>
      <c r="M76" s="4" t="s">
        <v>1722</v>
      </c>
      <c r="N76" s="8" t="b">
        <v>1</v>
      </c>
      <c r="O76" s="6" t="s">
        <v>1723</v>
      </c>
      <c r="P76" s="6" t="s">
        <v>1724</v>
      </c>
      <c r="Q76" s="6"/>
      <c r="R76" s="9" t="b">
        <v>1</v>
      </c>
      <c r="S76" s="6" t="s">
        <v>83</v>
      </c>
      <c r="T76" s="6" t="s">
        <v>1833</v>
      </c>
      <c r="U76" s="9" t="b">
        <v>1</v>
      </c>
    </row>
    <row r="77" spans="1:21" ht="30">
      <c r="A77" s="7" t="s">
        <v>78</v>
      </c>
      <c r="B77" s="15">
        <v>46118</v>
      </c>
      <c r="C77" s="5" t="s">
        <v>80</v>
      </c>
      <c r="D77" s="14">
        <v>7</v>
      </c>
      <c r="E77" s="5" t="s">
        <v>1778</v>
      </c>
      <c r="F77" s="5" t="s">
        <v>1779</v>
      </c>
      <c r="G77" s="13">
        <v>3</v>
      </c>
      <c r="H77" s="13">
        <v>30</v>
      </c>
      <c r="I77" s="13">
        <v>3</v>
      </c>
      <c r="J77" s="13">
        <v>2</v>
      </c>
      <c r="K77" s="14">
        <f t="shared" si="2"/>
        <v>6</v>
      </c>
      <c r="L77" s="5" t="str">
        <f t="shared" si="3"/>
        <v>HIGH</v>
      </c>
      <c r="M77" s="4" t="s">
        <v>1780</v>
      </c>
      <c r="N77" s="8" t="b">
        <v>0</v>
      </c>
      <c r="O77" s="6" t="s">
        <v>1781</v>
      </c>
      <c r="P77" s="6" t="s">
        <v>1782</v>
      </c>
      <c r="Q77" s="6"/>
      <c r="R77" s="9" t="b">
        <v>1</v>
      </c>
      <c r="S77" s="6" t="s">
        <v>83</v>
      </c>
      <c r="T77" s="6" t="s">
        <v>1834</v>
      </c>
      <c r="U77" s="9" t="b">
        <v>1</v>
      </c>
    </row>
    <row r="78" spans="1:21" ht="30">
      <c r="A78" s="7" t="s">
        <v>78</v>
      </c>
      <c r="B78" s="15">
        <v>46118</v>
      </c>
      <c r="C78" s="5" t="s">
        <v>80</v>
      </c>
      <c r="D78" s="14">
        <v>8</v>
      </c>
      <c r="E78" s="5" t="s">
        <v>1708</v>
      </c>
      <c r="F78" s="5" t="s">
        <v>1835</v>
      </c>
      <c r="G78" s="13">
        <v>6</v>
      </c>
      <c r="H78" s="13">
        <v>6</v>
      </c>
      <c r="I78" s="13">
        <v>2</v>
      </c>
      <c r="J78" s="13">
        <v>3</v>
      </c>
      <c r="K78" s="14">
        <f t="shared" si="2"/>
        <v>6</v>
      </c>
      <c r="L78" s="5" t="str">
        <f t="shared" si="3"/>
        <v>HIGH</v>
      </c>
      <c r="M78" s="4" t="s">
        <v>1710</v>
      </c>
      <c r="N78" s="8" t="b">
        <v>0</v>
      </c>
      <c r="O78" s="6" t="s">
        <v>1711</v>
      </c>
      <c r="P78" s="6" t="s">
        <v>1836</v>
      </c>
      <c r="Q78" s="6" t="s">
        <v>1835</v>
      </c>
      <c r="R78" s="9" t="b">
        <v>1</v>
      </c>
      <c r="S78" s="6" t="s">
        <v>83</v>
      </c>
      <c r="T78" s="6" t="s">
        <v>1837</v>
      </c>
      <c r="U78" s="9" t="b">
        <v>1</v>
      </c>
    </row>
    <row r="79" spans="1:21" ht="30">
      <c r="A79" s="7" t="s">
        <v>84</v>
      </c>
      <c r="B79" s="15">
        <v>46151</v>
      </c>
      <c r="C79" s="5" t="s">
        <v>86</v>
      </c>
      <c r="D79" s="14">
        <v>1</v>
      </c>
      <c r="E79" s="5" t="s">
        <v>1699</v>
      </c>
      <c r="F79" s="5" t="s">
        <v>1700</v>
      </c>
      <c r="G79" s="13">
        <v>23</v>
      </c>
      <c r="H79" s="13">
        <v>24</v>
      </c>
      <c r="I79" s="13">
        <v>3</v>
      </c>
      <c r="J79" s="13">
        <v>1</v>
      </c>
      <c r="K79" s="14">
        <f t="shared" si="2"/>
        <v>3</v>
      </c>
      <c r="L79" s="5" t="str">
        <f t="shared" si="3"/>
        <v>MEDIUM</v>
      </c>
      <c r="M79" s="4" t="s">
        <v>1701</v>
      </c>
      <c r="N79" s="8" t="b">
        <v>0</v>
      </c>
      <c r="O79" s="6" t="s">
        <v>1702</v>
      </c>
      <c r="P79" s="6" t="s">
        <v>1703</v>
      </c>
      <c r="Q79" s="6"/>
      <c r="R79" s="9" t="b">
        <v>1</v>
      </c>
      <c r="S79" s="6" t="s">
        <v>89</v>
      </c>
      <c r="T79" s="6" t="s">
        <v>1838</v>
      </c>
      <c r="U79" s="9" t="b">
        <v>1</v>
      </c>
    </row>
    <row r="80" spans="1:21" ht="30">
      <c r="A80" s="7" t="s">
        <v>84</v>
      </c>
      <c r="B80" s="15">
        <v>46151</v>
      </c>
      <c r="C80" s="5" t="s">
        <v>86</v>
      </c>
      <c r="D80" s="14">
        <v>2</v>
      </c>
      <c r="E80" s="5" t="s">
        <v>1778</v>
      </c>
      <c r="F80" s="5" t="s">
        <v>1839</v>
      </c>
      <c r="G80" s="13">
        <v>1</v>
      </c>
      <c r="H80" s="13">
        <v>0</v>
      </c>
      <c r="I80" s="13">
        <v>2</v>
      </c>
      <c r="J80" s="13">
        <v>2</v>
      </c>
      <c r="K80" s="14">
        <f t="shared" si="2"/>
        <v>4</v>
      </c>
      <c r="L80" s="5" t="str">
        <f t="shared" si="3"/>
        <v>MEDIUM</v>
      </c>
      <c r="M80" s="4" t="s">
        <v>1780</v>
      </c>
      <c r="N80" s="8" t="b">
        <v>0</v>
      </c>
      <c r="O80" s="6" t="s">
        <v>1781</v>
      </c>
      <c r="P80" s="6" t="s">
        <v>1840</v>
      </c>
      <c r="Q80" s="6"/>
      <c r="R80" s="9" t="b">
        <v>1</v>
      </c>
      <c r="S80" s="6" t="s">
        <v>89</v>
      </c>
      <c r="T80" s="6" t="s">
        <v>1841</v>
      </c>
      <c r="U80" s="9" t="b">
        <v>1</v>
      </c>
    </row>
    <row r="81" spans="1:21" ht="30">
      <c r="A81" s="7" t="s">
        <v>84</v>
      </c>
      <c r="B81" s="15">
        <v>46151</v>
      </c>
      <c r="C81" s="5" t="s">
        <v>86</v>
      </c>
      <c r="D81" s="14">
        <v>3</v>
      </c>
      <c r="E81" s="5" t="s">
        <v>1714</v>
      </c>
      <c r="F81" s="5" t="s">
        <v>1774</v>
      </c>
      <c r="G81" s="13">
        <v>4</v>
      </c>
      <c r="H81" s="13">
        <v>7</v>
      </c>
      <c r="I81" s="13">
        <v>1</v>
      </c>
      <c r="J81" s="13">
        <v>3</v>
      </c>
      <c r="K81" s="14">
        <f t="shared" si="2"/>
        <v>3</v>
      </c>
      <c r="L81" s="5" t="str">
        <f t="shared" si="3"/>
        <v>MEDIUM</v>
      </c>
      <c r="M81" s="4" t="s">
        <v>1716</v>
      </c>
      <c r="N81" s="8" t="b">
        <v>0</v>
      </c>
      <c r="O81" s="6" t="s">
        <v>1717</v>
      </c>
      <c r="P81" s="6" t="s">
        <v>1775</v>
      </c>
      <c r="Q81" s="6"/>
      <c r="R81" s="9" t="b">
        <v>1</v>
      </c>
      <c r="S81" s="6" t="s">
        <v>89</v>
      </c>
      <c r="T81" s="6" t="s">
        <v>1842</v>
      </c>
      <c r="U81" s="9" t="b">
        <v>1</v>
      </c>
    </row>
    <row r="82" spans="1:21" ht="30">
      <c r="A82" s="7" t="s">
        <v>84</v>
      </c>
      <c r="B82" s="15">
        <v>46151</v>
      </c>
      <c r="C82" s="5" t="s">
        <v>86</v>
      </c>
      <c r="D82" s="14">
        <v>4</v>
      </c>
      <c r="E82" s="5" t="s">
        <v>1720</v>
      </c>
      <c r="F82" s="5" t="s">
        <v>1753</v>
      </c>
      <c r="G82" s="13">
        <v>7</v>
      </c>
      <c r="H82" s="13">
        <v>14</v>
      </c>
      <c r="I82" s="13">
        <v>3</v>
      </c>
      <c r="J82" s="13">
        <v>1</v>
      </c>
      <c r="K82" s="14">
        <f t="shared" si="2"/>
        <v>3</v>
      </c>
      <c r="L82" s="5" t="str">
        <f t="shared" si="3"/>
        <v>MEDIUM</v>
      </c>
      <c r="M82" s="4" t="s">
        <v>1722</v>
      </c>
      <c r="N82" s="8" t="b">
        <v>0</v>
      </c>
      <c r="O82" s="6" t="s">
        <v>1723</v>
      </c>
      <c r="P82" s="6" t="s">
        <v>1754</v>
      </c>
      <c r="Q82" s="6"/>
      <c r="R82" s="9" t="b">
        <v>1</v>
      </c>
      <c r="S82" s="6" t="s">
        <v>89</v>
      </c>
      <c r="T82" s="6" t="s">
        <v>1843</v>
      </c>
      <c r="U82" s="9" t="b">
        <v>1</v>
      </c>
    </row>
    <row r="83" spans="1:21" ht="30">
      <c r="A83" s="7" t="s">
        <v>84</v>
      </c>
      <c r="B83" s="15">
        <v>46151</v>
      </c>
      <c r="C83" s="5" t="s">
        <v>86</v>
      </c>
      <c r="D83" s="14">
        <v>5</v>
      </c>
      <c r="E83" s="5" t="s">
        <v>1720</v>
      </c>
      <c r="F83" s="5" t="s">
        <v>1721</v>
      </c>
      <c r="G83" s="13">
        <v>10</v>
      </c>
      <c r="H83" s="13">
        <v>21</v>
      </c>
      <c r="I83" s="13">
        <v>2</v>
      </c>
      <c r="J83" s="13">
        <v>2</v>
      </c>
      <c r="K83" s="14">
        <f t="shared" si="2"/>
        <v>4</v>
      </c>
      <c r="L83" s="5" t="str">
        <f t="shared" si="3"/>
        <v>MEDIUM</v>
      </c>
      <c r="M83" s="4" t="s">
        <v>1722</v>
      </c>
      <c r="N83" s="8" t="b">
        <v>0</v>
      </c>
      <c r="O83" s="6" t="s">
        <v>1723</v>
      </c>
      <c r="P83" s="6" t="s">
        <v>1724</v>
      </c>
      <c r="Q83" s="6"/>
      <c r="R83" s="9" t="b">
        <v>1</v>
      </c>
      <c r="S83" s="6" t="s">
        <v>89</v>
      </c>
      <c r="T83" s="6" t="s">
        <v>1844</v>
      </c>
      <c r="U83" s="9" t="b">
        <v>1</v>
      </c>
    </row>
    <row r="84" spans="1:21" ht="45">
      <c r="A84" s="7" t="s">
        <v>84</v>
      </c>
      <c r="B84" s="15">
        <v>46151</v>
      </c>
      <c r="C84" s="5" t="s">
        <v>86</v>
      </c>
      <c r="D84" s="14">
        <v>6</v>
      </c>
      <c r="E84" s="5" t="s">
        <v>1729</v>
      </c>
      <c r="F84" s="5" t="s">
        <v>1730</v>
      </c>
      <c r="G84" s="13">
        <v>13</v>
      </c>
      <c r="H84" s="13">
        <v>28</v>
      </c>
      <c r="I84" s="13">
        <v>1</v>
      </c>
      <c r="J84" s="13">
        <v>3</v>
      </c>
      <c r="K84" s="14">
        <f t="shared" si="2"/>
        <v>3</v>
      </c>
      <c r="L84" s="5" t="str">
        <f t="shared" si="3"/>
        <v>MEDIUM</v>
      </c>
      <c r="M84" s="4" t="s">
        <v>1731</v>
      </c>
      <c r="N84" s="8" t="b">
        <v>0</v>
      </c>
      <c r="O84" s="6" t="s">
        <v>1732</v>
      </c>
      <c r="P84" s="6" t="s">
        <v>1733</v>
      </c>
      <c r="Q84" s="6"/>
      <c r="R84" s="9" t="b">
        <v>1</v>
      </c>
      <c r="S84" s="6" t="s">
        <v>89</v>
      </c>
      <c r="T84" s="6" t="s">
        <v>1845</v>
      </c>
      <c r="U84" s="9" t="b">
        <v>1</v>
      </c>
    </row>
    <row r="85" spans="1:21" ht="30">
      <c r="A85" s="7" t="s">
        <v>90</v>
      </c>
      <c r="B85" s="15">
        <v>46185</v>
      </c>
      <c r="C85" s="5" t="s">
        <v>92</v>
      </c>
      <c r="D85" s="14">
        <v>1</v>
      </c>
      <c r="E85" s="5" t="s">
        <v>1714</v>
      </c>
      <c r="F85" s="5" t="s">
        <v>1788</v>
      </c>
      <c r="G85" s="13">
        <v>25</v>
      </c>
      <c r="H85" s="13">
        <v>29</v>
      </c>
      <c r="I85" s="13">
        <v>2</v>
      </c>
      <c r="J85" s="13">
        <v>3</v>
      </c>
      <c r="K85" s="14">
        <f t="shared" si="2"/>
        <v>6</v>
      </c>
      <c r="L85" s="5" t="str">
        <f t="shared" si="3"/>
        <v>HIGH</v>
      </c>
      <c r="M85" s="4" t="s">
        <v>1716</v>
      </c>
      <c r="N85" s="8" t="b">
        <v>1</v>
      </c>
      <c r="O85" s="6" t="s">
        <v>1717</v>
      </c>
      <c r="P85" s="6" t="s">
        <v>1789</v>
      </c>
      <c r="Q85" s="6"/>
      <c r="R85" s="9" t="b">
        <v>1</v>
      </c>
      <c r="S85" s="6" t="s">
        <v>95</v>
      </c>
      <c r="T85" s="6" t="s">
        <v>1846</v>
      </c>
      <c r="U85" s="9" t="b">
        <v>1</v>
      </c>
    </row>
    <row r="86" spans="1:21" ht="30">
      <c r="A86" s="7" t="s">
        <v>90</v>
      </c>
      <c r="B86" s="15">
        <v>46185</v>
      </c>
      <c r="C86" s="5" t="s">
        <v>92</v>
      </c>
      <c r="D86" s="14">
        <v>2</v>
      </c>
      <c r="E86" s="5" t="s">
        <v>1714</v>
      </c>
      <c r="F86" s="5" t="s">
        <v>1774</v>
      </c>
      <c r="G86" s="13">
        <v>28</v>
      </c>
      <c r="H86" s="13">
        <v>5</v>
      </c>
      <c r="I86" s="13">
        <v>3</v>
      </c>
      <c r="J86" s="13">
        <v>3</v>
      </c>
      <c r="K86" s="14">
        <f t="shared" si="2"/>
        <v>9</v>
      </c>
      <c r="L86" s="5" t="str">
        <f t="shared" si="3"/>
        <v>HIGH</v>
      </c>
      <c r="M86" s="4" t="s">
        <v>1716</v>
      </c>
      <c r="N86" s="8" t="b">
        <v>0</v>
      </c>
      <c r="O86" s="6" t="s">
        <v>1717</v>
      </c>
      <c r="P86" s="6" t="s">
        <v>1775</v>
      </c>
      <c r="Q86" s="6"/>
      <c r="R86" s="9" t="b">
        <v>1</v>
      </c>
      <c r="S86" s="6" t="s">
        <v>95</v>
      </c>
      <c r="T86" s="6" t="s">
        <v>1847</v>
      </c>
      <c r="U86" s="9" t="b">
        <v>1</v>
      </c>
    </row>
    <row r="87" spans="1:21" ht="30">
      <c r="A87" s="7" t="s">
        <v>90</v>
      </c>
      <c r="B87" s="15">
        <v>46185</v>
      </c>
      <c r="C87" s="5" t="s">
        <v>92</v>
      </c>
      <c r="D87" s="14">
        <v>3</v>
      </c>
      <c r="E87" s="5" t="s">
        <v>1765</v>
      </c>
      <c r="F87" s="5" t="s">
        <v>1848</v>
      </c>
      <c r="G87" s="13">
        <v>31</v>
      </c>
      <c r="H87" s="13">
        <v>12</v>
      </c>
      <c r="I87" s="13">
        <v>3</v>
      </c>
      <c r="J87" s="13">
        <v>2</v>
      </c>
      <c r="K87" s="14">
        <f t="shared" si="2"/>
        <v>6</v>
      </c>
      <c r="L87" s="5" t="str">
        <f t="shared" si="3"/>
        <v>HIGH</v>
      </c>
      <c r="M87" s="4" t="s">
        <v>1767</v>
      </c>
      <c r="N87" s="8" t="b">
        <v>0</v>
      </c>
      <c r="O87" s="6" t="s">
        <v>1768</v>
      </c>
      <c r="P87" s="6" t="s">
        <v>1849</v>
      </c>
      <c r="Q87" s="6"/>
      <c r="R87" s="9" t="b">
        <v>1</v>
      </c>
      <c r="S87" s="6" t="s">
        <v>95</v>
      </c>
      <c r="T87" s="6" t="s">
        <v>1850</v>
      </c>
      <c r="U87" s="9" t="b">
        <v>1</v>
      </c>
    </row>
    <row r="88" spans="1:21" ht="30">
      <c r="A88" s="7" t="s">
        <v>90</v>
      </c>
      <c r="B88" s="15">
        <v>46185</v>
      </c>
      <c r="C88" s="5" t="s">
        <v>92</v>
      </c>
      <c r="D88" s="14">
        <v>4</v>
      </c>
      <c r="E88" s="5" t="s">
        <v>1708</v>
      </c>
      <c r="F88" s="5" t="s">
        <v>1735</v>
      </c>
      <c r="G88" s="13">
        <v>2</v>
      </c>
      <c r="H88" s="13">
        <v>19</v>
      </c>
      <c r="I88" s="13">
        <v>2</v>
      </c>
      <c r="J88" s="13">
        <v>3</v>
      </c>
      <c r="K88" s="14">
        <f t="shared" si="2"/>
        <v>6</v>
      </c>
      <c r="L88" s="5" t="str">
        <f t="shared" si="3"/>
        <v>HIGH</v>
      </c>
      <c r="M88" s="4" t="s">
        <v>1710</v>
      </c>
      <c r="N88" s="8" t="b">
        <v>1</v>
      </c>
      <c r="O88" s="6" t="s">
        <v>1711</v>
      </c>
      <c r="P88" s="6" t="s">
        <v>1736</v>
      </c>
      <c r="Q88" s="6"/>
      <c r="R88" s="9" t="b">
        <v>1</v>
      </c>
      <c r="S88" s="6" t="s">
        <v>95</v>
      </c>
      <c r="T88" s="6" t="s">
        <v>1851</v>
      </c>
      <c r="U88" s="9" t="b">
        <v>1</v>
      </c>
    </row>
    <row r="89" spans="1:21" ht="30">
      <c r="A89" s="7" t="s">
        <v>90</v>
      </c>
      <c r="B89" s="15">
        <v>46185</v>
      </c>
      <c r="C89" s="5" t="s">
        <v>92</v>
      </c>
      <c r="D89" s="14">
        <v>5</v>
      </c>
      <c r="E89" s="5" t="s">
        <v>1720</v>
      </c>
      <c r="F89" s="5" t="s">
        <v>1721</v>
      </c>
      <c r="G89" s="13">
        <v>5</v>
      </c>
      <c r="H89" s="13">
        <v>26</v>
      </c>
      <c r="I89" s="13">
        <v>3</v>
      </c>
      <c r="J89" s="13">
        <v>3</v>
      </c>
      <c r="K89" s="14">
        <f t="shared" si="2"/>
        <v>9</v>
      </c>
      <c r="L89" s="5" t="str">
        <f t="shared" si="3"/>
        <v>HIGH</v>
      </c>
      <c r="M89" s="4" t="s">
        <v>1722</v>
      </c>
      <c r="N89" s="8" t="b">
        <v>0</v>
      </c>
      <c r="O89" s="6" t="s">
        <v>1723</v>
      </c>
      <c r="P89" s="6" t="s">
        <v>1724</v>
      </c>
      <c r="Q89" s="6"/>
      <c r="R89" s="9" t="b">
        <v>1</v>
      </c>
      <c r="S89" s="6" t="s">
        <v>95</v>
      </c>
      <c r="T89" s="6" t="s">
        <v>1852</v>
      </c>
      <c r="U89" s="9" t="b">
        <v>1</v>
      </c>
    </row>
    <row r="90" spans="1:21" ht="30">
      <c r="A90" s="7" t="s">
        <v>90</v>
      </c>
      <c r="B90" s="15">
        <v>46185</v>
      </c>
      <c r="C90" s="5" t="s">
        <v>92</v>
      </c>
      <c r="D90" s="14">
        <v>6</v>
      </c>
      <c r="E90" s="5" t="s">
        <v>1778</v>
      </c>
      <c r="F90" s="5" t="s">
        <v>1804</v>
      </c>
      <c r="G90" s="13">
        <v>8</v>
      </c>
      <c r="H90" s="13">
        <v>2</v>
      </c>
      <c r="I90" s="13">
        <v>3</v>
      </c>
      <c r="J90" s="13">
        <v>2</v>
      </c>
      <c r="K90" s="14">
        <f t="shared" si="2"/>
        <v>6</v>
      </c>
      <c r="L90" s="5" t="str">
        <f t="shared" si="3"/>
        <v>HIGH</v>
      </c>
      <c r="M90" s="4" t="s">
        <v>1780</v>
      </c>
      <c r="N90" s="8" t="b">
        <v>0</v>
      </c>
      <c r="O90" s="6" t="s">
        <v>1781</v>
      </c>
      <c r="P90" s="6" t="s">
        <v>1805</v>
      </c>
      <c r="Q90" s="6"/>
      <c r="R90" s="9" t="b">
        <v>1</v>
      </c>
      <c r="S90" s="6" t="s">
        <v>95</v>
      </c>
      <c r="T90" s="6" t="s">
        <v>1853</v>
      </c>
      <c r="U90" s="9" t="b">
        <v>1</v>
      </c>
    </row>
    <row r="91" spans="1:21" ht="30">
      <c r="A91" s="7" t="s">
        <v>96</v>
      </c>
      <c r="B91" s="15">
        <v>46037</v>
      </c>
      <c r="C91" s="5" t="s">
        <v>98</v>
      </c>
      <c r="D91" s="14">
        <v>1</v>
      </c>
      <c r="E91" s="5" t="s">
        <v>1714</v>
      </c>
      <c r="F91" s="5" t="s">
        <v>1715</v>
      </c>
      <c r="G91" s="13">
        <v>27</v>
      </c>
      <c r="H91" s="13">
        <v>3</v>
      </c>
      <c r="I91" s="13">
        <v>2</v>
      </c>
      <c r="J91" s="13">
        <v>2</v>
      </c>
      <c r="K91" s="14">
        <f t="shared" si="2"/>
        <v>4</v>
      </c>
      <c r="L91" s="5" t="str">
        <f t="shared" si="3"/>
        <v>MEDIUM</v>
      </c>
      <c r="M91" s="4" t="s">
        <v>1716</v>
      </c>
      <c r="N91" s="8" t="b">
        <v>0</v>
      </c>
      <c r="O91" s="6" t="s">
        <v>1717</v>
      </c>
      <c r="P91" s="6" t="s">
        <v>1718</v>
      </c>
      <c r="Q91" s="6"/>
      <c r="R91" s="9" t="b">
        <v>1</v>
      </c>
      <c r="S91" s="6" t="s">
        <v>101</v>
      </c>
      <c r="T91" s="6" t="s">
        <v>1854</v>
      </c>
      <c r="U91" s="9" t="b">
        <v>1</v>
      </c>
    </row>
    <row r="92" spans="1:21" ht="30">
      <c r="A92" s="7" t="s">
        <v>96</v>
      </c>
      <c r="B92" s="15">
        <v>46037</v>
      </c>
      <c r="C92" s="5" t="s">
        <v>98</v>
      </c>
      <c r="D92" s="14">
        <v>2</v>
      </c>
      <c r="E92" s="5" t="s">
        <v>1714</v>
      </c>
      <c r="F92" s="5" t="s">
        <v>1855</v>
      </c>
      <c r="G92" s="13">
        <v>30</v>
      </c>
      <c r="H92" s="13">
        <v>10</v>
      </c>
      <c r="I92" s="13">
        <v>1</v>
      </c>
      <c r="J92" s="13">
        <v>3</v>
      </c>
      <c r="K92" s="14">
        <f t="shared" si="2"/>
        <v>3</v>
      </c>
      <c r="L92" s="5" t="str">
        <f t="shared" si="3"/>
        <v>MEDIUM</v>
      </c>
      <c r="M92" s="4" t="s">
        <v>1716</v>
      </c>
      <c r="N92" s="8" t="b">
        <v>0</v>
      </c>
      <c r="O92" s="6" t="s">
        <v>1717</v>
      </c>
      <c r="P92" s="6" t="s">
        <v>1856</v>
      </c>
      <c r="Q92" s="6"/>
      <c r="R92" s="9" t="b">
        <v>1</v>
      </c>
      <c r="S92" s="6" t="s">
        <v>101</v>
      </c>
      <c r="T92" s="6" t="s">
        <v>1857</v>
      </c>
      <c r="U92" s="9" t="b">
        <v>1</v>
      </c>
    </row>
    <row r="93" spans="1:21" ht="30">
      <c r="A93" s="7" t="s">
        <v>96</v>
      </c>
      <c r="B93" s="15">
        <v>46037</v>
      </c>
      <c r="C93" s="5" t="s">
        <v>98</v>
      </c>
      <c r="D93" s="14">
        <v>3</v>
      </c>
      <c r="E93" s="5" t="s">
        <v>1714</v>
      </c>
      <c r="F93" s="5" t="s">
        <v>1771</v>
      </c>
      <c r="G93" s="13">
        <v>33</v>
      </c>
      <c r="H93" s="13">
        <v>17</v>
      </c>
      <c r="I93" s="13">
        <v>3</v>
      </c>
      <c r="J93" s="13">
        <v>1</v>
      </c>
      <c r="K93" s="14">
        <f t="shared" si="2"/>
        <v>3</v>
      </c>
      <c r="L93" s="5" t="str">
        <f t="shared" si="3"/>
        <v>MEDIUM</v>
      </c>
      <c r="M93" s="4" t="s">
        <v>1716</v>
      </c>
      <c r="N93" s="8" t="b">
        <v>0</v>
      </c>
      <c r="O93" s="6" t="s">
        <v>1717</v>
      </c>
      <c r="P93" s="6" t="s">
        <v>1772</v>
      </c>
      <c r="Q93" s="6"/>
      <c r="R93" s="9" t="b">
        <v>1</v>
      </c>
      <c r="S93" s="6" t="s">
        <v>101</v>
      </c>
      <c r="T93" s="6" t="s">
        <v>1858</v>
      </c>
      <c r="U93" s="9" t="b">
        <v>1</v>
      </c>
    </row>
    <row r="94" spans="1:21" ht="30">
      <c r="A94" s="7" t="s">
        <v>96</v>
      </c>
      <c r="B94" s="15">
        <v>46037</v>
      </c>
      <c r="C94" s="5" t="s">
        <v>98</v>
      </c>
      <c r="D94" s="14">
        <v>4</v>
      </c>
      <c r="E94" s="5" t="s">
        <v>1714</v>
      </c>
      <c r="F94" s="5" t="s">
        <v>1788</v>
      </c>
      <c r="G94" s="13">
        <v>36</v>
      </c>
      <c r="H94" s="13">
        <v>24</v>
      </c>
      <c r="I94" s="13">
        <v>2</v>
      </c>
      <c r="J94" s="13">
        <v>2</v>
      </c>
      <c r="K94" s="14">
        <f t="shared" si="2"/>
        <v>4</v>
      </c>
      <c r="L94" s="5" t="str">
        <f t="shared" si="3"/>
        <v>MEDIUM</v>
      </c>
      <c r="M94" s="4" t="s">
        <v>1716</v>
      </c>
      <c r="N94" s="8" t="b">
        <v>0</v>
      </c>
      <c r="O94" s="6" t="s">
        <v>1717</v>
      </c>
      <c r="P94" s="6" t="s">
        <v>1789</v>
      </c>
      <c r="Q94" s="6"/>
      <c r="R94" s="9" t="b">
        <v>1</v>
      </c>
      <c r="S94" s="6" t="s">
        <v>101</v>
      </c>
      <c r="T94" s="6" t="s">
        <v>1859</v>
      </c>
      <c r="U94" s="9" t="b">
        <v>1</v>
      </c>
    </row>
    <row r="95" spans="1:21" ht="45">
      <c r="A95" s="7" t="s">
        <v>96</v>
      </c>
      <c r="B95" s="15">
        <v>46037</v>
      </c>
      <c r="C95" s="5" t="s">
        <v>98</v>
      </c>
      <c r="D95" s="14">
        <v>5</v>
      </c>
      <c r="E95" s="5" t="s">
        <v>1729</v>
      </c>
      <c r="F95" s="5" t="s">
        <v>1730</v>
      </c>
      <c r="G95" s="13">
        <v>39</v>
      </c>
      <c r="H95" s="13">
        <v>0</v>
      </c>
      <c r="I95" s="13">
        <v>1</v>
      </c>
      <c r="J95" s="13">
        <v>3</v>
      </c>
      <c r="K95" s="14">
        <f t="shared" si="2"/>
        <v>3</v>
      </c>
      <c r="L95" s="5" t="str">
        <f t="shared" si="3"/>
        <v>MEDIUM</v>
      </c>
      <c r="M95" s="4" t="s">
        <v>1731</v>
      </c>
      <c r="N95" s="8" t="b">
        <v>0</v>
      </c>
      <c r="O95" s="6" t="s">
        <v>1732</v>
      </c>
      <c r="P95" s="6" t="s">
        <v>1733</v>
      </c>
      <c r="Q95" s="6"/>
      <c r="R95" s="9" t="b">
        <v>1</v>
      </c>
      <c r="S95" s="6" t="s">
        <v>101</v>
      </c>
      <c r="T95" s="6" t="s">
        <v>1860</v>
      </c>
      <c r="U95" s="9" t="b">
        <v>1</v>
      </c>
    </row>
    <row r="96" spans="1:21" ht="30">
      <c r="A96" s="7" t="s">
        <v>96</v>
      </c>
      <c r="B96" s="15">
        <v>46037</v>
      </c>
      <c r="C96" s="5" t="s">
        <v>98</v>
      </c>
      <c r="D96" s="14">
        <v>6</v>
      </c>
      <c r="E96" s="5" t="s">
        <v>1708</v>
      </c>
      <c r="F96" s="5" t="s">
        <v>1757</v>
      </c>
      <c r="G96" s="13">
        <v>3</v>
      </c>
      <c r="H96" s="13">
        <v>7</v>
      </c>
      <c r="I96" s="13">
        <v>3</v>
      </c>
      <c r="J96" s="13">
        <v>1</v>
      </c>
      <c r="K96" s="14">
        <f t="shared" si="2"/>
        <v>3</v>
      </c>
      <c r="L96" s="5" t="str">
        <f t="shared" si="3"/>
        <v>MEDIUM</v>
      </c>
      <c r="M96" s="4" t="s">
        <v>1710</v>
      </c>
      <c r="N96" s="8" t="b">
        <v>0</v>
      </c>
      <c r="O96" s="6" t="s">
        <v>1711</v>
      </c>
      <c r="P96" s="6" t="s">
        <v>1758</v>
      </c>
      <c r="Q96" s="6"/>
      <c r="R96" s="9" t="b">
        <v>1</v>
      </c>
      <c r="S96" s="6" t="s">
        <v>101</v>
      </c>
      <c r="T96" s="6" t="s">
        <v>1861</v>
      </c>
      <c r="U96" s="9" t="b">
        <v>1</v>
      </c>
    </row>
    <row r="97" spans="1:21" ht="30">
      <c r="A97" s="7" t="s">
        <v>96</v>
      </c>
      <c r="B97" s="15">
        <v>46037</v>
      </c>
      <c r="C97" s="5" t="s">
        <v>98</v>
      </c>
      <c r="D97" s="14">
        <v>7</v>
      </c>
      <c r="E97" s="5" t="s">
        <v>1708</v>
      </c>
      <c r="F97" s="5" t="s">
        <v>1735</v>
      </c>
      <c r="G97" s="13">
        <v>6</v>
      </c>
      <c r="H97" s="13">
        <v>14</v>
      </c>
      <c r="I97" s="13">
        <v>2</v>
      </c>
      <c r="J97" s="13">
        <v>2</v>
      </c>
      <c r="K97" s="14">
        <f t="shared" si="2"/>
        <v>4</v>
      </c>
      <c r="L97" s="5" t="str">
        <f t="shared" si="3"/>
        <v>MEDIUM</v>
      </c>
      <c r="M97" s="4" t="s">
        <v>1710</v>
      </c>
      <c r="N97" s="8" t="b">
        <v>0</v>
      </c>
      <c r="O97" s="6" t="s">
        <v>1711</v>
      </c>
      <c r="P97" s="6" t="s">
        <v>1736</v>
      </c>
      <c r="Q97" s="6"/>
      <c r="R97" s="9" t="b">
        <v>1</v>
      </c>
      <c r="S97" s="6" t="s">
        <v>101</v>
      </c>
      <c r="T97" s="6" t="s">
        <v>1862</v>
      </c>
      <c r="U97" s="9" t="b">
        <v>1</v>
      </c>
    </row>
    <row r="98" spans="1:21" ht="30">
      <c r="A98" s="7" t="s">
        <v>102</v>
      </c>
      <c r="B98" s="15">
        <v>46071</v>
      </c>
      <c r="C98" s="5" t="s">
        <v>104</v>
      </c>
      <c r="D98" s="14">
        <v>1</v>
      </c>
      <c r="E98" s="5" t="s">
        <v>1699</v>
      </c>
      <c r="F98" s="5" t="s">
        <v>1700</v>
      </c>
      <c r="G98" s="13">
        <v>29</v>
      </c>
      <c r="H98" s="13">
        <v>8</v>
      </c>
      <c r="I98" s="13">
        <v>3</v>
      </c>
      <c r="J98" s="13">
        <v>1</v>
      </c>
      <c r="K98" s="14">
        <f t="shared" si="2"/>
        <v>3</v>
      </c>
      <c r="L98" s="5" t="str">
        <f t="shared" si="3"/>
        <v>MEDIUM</v>
      </c>
      <c r="M98" s="4" t="s">
        <v>1701</v>
      </c>
      <c r="N98" s="8" t="b">
        <v>0</v>
      </c>
      <c r="O98" s="6" t="s">
        <v>1702</v>
      </c>
      <c r="P98" s="6" t="s">
        <v>1703</v>
      </c>
      <c r="Q98" s="6"/>
      <c r="R98" s="9" t="b">
        <v>1</v>
      </c>
      <c r="S98" s="6" t="s">
        <v>107</v>
      </c>
      <c r="T98" s="6" t="s">
        <v>1863</v>
      </c>
      <c r="U98" s="9" t="b">
        <v>1</v>
      </c>
    </row>
    <row r="99" spans="1:21" ht="30">
      <c r="A99" s="7" t="s">
        <v>102</v>
      </c>
      <c r="B99" s="15">
        <v>46071</v>
      </c>
      <c r="C99" s="5" t="s">
        <v>104</v>
      </c>
      <c r="D99" s="14">
        <v>2</v>
      </c>
      <c r="E99" s="5" t="s">
        <v>1699</v>
      </c>
      <c r="F99" s="5" t="s">
        <v>1705</v>
      </c>
      <c r="G99" s="13">
        <v>32</v>
      </c>
      <c r="H99" s="13">
        <v>15</v>
      </c>
      <c r="I99" s="13">
        <v>2</v>
      </c>
      <c r="J99" s="13">
        <v>2</v>
      </c>
      <c r="K99" s="14">
        <f t="shared" si="2"/>
        <v>4</v>
      </c>
      <c r="L99" s="5" t="str">
        <f t="shared" si="3"/>
        <v>MEDIUM</v>
      </c>
      <c r="M99" s="4" t="s">
        <v>1701</v>
      </c>
      <c r="N99" s="8" t="b">
        <v>0</v>
      </c>
      <c r="O99" s="6" t="s">
        <v>1702</v>
      </c>
      <c r="P99" s="6" t="s">
        <v>1706</v>
      </c>
      <c r="Q99" s="6"/>
      <c r="R99" s="9" t="b">
        <v>1</v>
      </c>
      <c r="S99" s="6" t="s">
        <v>107</v>
      </c>
      <c r="T99" s="6" t="s">
        <v>1864</v>
      </c>
      <c r="U99" s="9" t="b">
        <v>1</v>
      </c>
    </row>
    <row r="100" spans="1:21" ht="30">
      <c r="A100" s="7" t="s">
        <v>102</v>
      </c>
      <c r="B100" s="15">
        <v>46071</v>
      </c>
      <c r="C100" s="5" t="s">
        <v>104</v>
      </c>
      <c r="D100" s="14">
        <v>3</v>
      </c>
      <c r="E100" s="5" t="s">
        <v>1708</v>
      </c>
      <c r="F100" s="5" t="s">
        <v>1709</v>
      </c>
      <c r="G100" s="13">
        <v>35</v>
      </c>
      <c r="H100" s="13">
        <v>22</v>
      </c>
      <c r="I100" s="13">
        <v>1</v>
      </c>
      <c r="J100" s="13">
        <v>3</v>
      </c>
      <c r="K100" s="14">
        <f t="shared" si="2"/>
        <v>3</v>
      </c>
      <c r="L100" s="5" t="str">
        <f t="shared" si="3"/>
        <v>MEDIUM</v>
      </c>
      <c r="M100" s="4" t="s">
        <v>1710</v>
      </c>
      <c r="N100" s="8" t="b">
        <v>0</v>
      </c>
      <c r="O100" s="6" t="s">
        <v>1711</v>
      </c>
      <c r="P100" s="6" t="s">
        <v>1712</v>
      </c>
      <c r="Q100" s="6"/>
      <c r="R100" s="9" t="b">
        <v>1</v>
      </c>
      <c r="S100" s="6" t="s">
        <v>107</v>
      </c>
      <c r="T100" s="6" t="s">
        <v>1865</v>
      </c>
      <c r="U100" s="9" t="b">
        <v>1</v>
      </c>
    </row>
    <row r="101" spans="1:21" ht="30">
      <c r="A101" s="7" t="s">
        <v>102</v>
      </c>
      <c r="B101" s="15">
        <v>46071</v>
      </c>
      <c r="C101" s="5" t="s">
        <v>104</v>
      </c>
      <c r="D101" s="14">
        <v>4</v>
      </c>
      <c r="E101" s="5" t="s">
        <v>1765</v>
      </c>
      <c r="F101" s="5" t="s">
        <v>1766</v>
      </c>
      <c r="G101" s="13">
        <v>38</v>
      </c>
      <c r="H101" s="13">
        <v>29</v>
      </c>
      <c r="I101" s="13">
        <v>3</v>
      </c>
      <c r="J101" s="13">
        <v>1</v>
      </c>
      <c r="K101" s="14">
        <f t="shared" si="2"/>
        <v>3</v>
      </c>
      <c r="L101" s="5" t="str">
        <f t="shared" si="3"/>
        <v>MEDIUM</v>
      </c>
      <c r="M101" s="4" t="s">
        <v>1767</v>
      </c>
      <c r="N101" s="8" t="b">
        <v>0</v>
      </c>
      <c r="O101" s="6" t="s">
        <v>1768</v>
      </c>
      <c r="P101" s="6" t="s">
        <v>1769</v>
      </c>
      <c r="Q101" s="6"/>
      <c r="R101" s="9" t="b">
        <v>1</v>
      </c>
      <c r="S101" s="6" t="s">
        <v>107</v>
      </c>
      <c r="T101" s="6" t="s">
        <v>1866</v>
      </c>
      <c r="U101" s="9" t="b">
        <v>1</v>
      </c>
    </row>
    <row r="102" spans="1:21" ht="30">
      <c r="A102" s="7" t="s">
        <v>102</v>
      </c>
      <c r="B102" s="15">
        <v>46071</v>
      </c>
      <c r="C102" s="5" t="s">
        <v>104</v>
      </c>
      <c r="D102" s="14">
        <v>5</v>
      </c>
      <c r="E102" s="5" t="s">
        <v>1714</v>
      </c>
      <c r="F102" s="5" t="s">
        <v>1771</v>
      </c>
      <c r="G102" s="13">
        <v>41</v>
      </c>
      <c r="H102" s="13">
        <v>5</v>
      </c>
      <c r="I102" s="13">
        <v>2</v>
      </c>
      <c r="J102" s="13">
        <v>2</v>
      </c>
      <c r="K102" s="14">
        <f t="shared" si="2"/>
        <v>4</v>
      </c>
      <c r="L102" s="5" t="str">
        <f t="shared" si="3"/>
        <v>MEDIUM</v>
      </c>
      <c r="M102" s="4" t="s">
        <v>1716</v>
      </c>
      <c r="N102" s="8" t="b">
        <v>0</v>
      </c>
      <c r="O102" s="6" t="s">
        <v>1717</v>
      </c>
      <c r="P102" s="6" t="s">
        <v>1772</v>
      </c>
      <c r="Q102" s="6"/>
      <c r="R102" s="9" t="b">
        <v>1</v>
      </c>
      <c r="S102" s="6" t="s">
        <v>107</v>
      </c>
      <c r="T102" s="6" t="s">
        <v>1867</v>
      </c>
      <c r="U102" s="9" t="b">
        <v>1</v>
      </c>
    </row>
    <row r="103" spans="1:21" ht="30">
      <c r="A103" s="7" t="s">
        <v>102</v>
      </c>
      <c r="B103" s="15">
        <v>46071</v>
      </c>
      <c r="C103" s="5" t="s">
        <v>104</v>
      </c>
      <c r="D103" s="14">
        <v>6</v>
      </c>
      <c r="E103" s="5" t="s">
        <v>1745</v>
      </c>
      <c r="F103" s="5" t="s">
        <v>1868</v>
      </c>
      <c r="G103" s="13">
        <v>44</v>
      </c>
      <c r="H103" s="13">
        <v>12</v>
      </c>
      <c r="I103" s="13">
        <v>1</v>
      </c>
      <c r="J103" s="13">
        <v>3</v>
      </c>
      <c r="K103" s="14">
        <f t="shared" si="2"/>
        <v>3</v>
      </c>
      <c r="L103" s="5" t="str">
        <f t="shared" si="3"/>
        <v>MEDIUM</v>
      </c>
      <c r="M103" s="4" t="s">
        <v>1747</v>
      </c>
      <c r="N103" s="8" t="b">
        <v>0</v>
      </c>
      <c r="O103" s="6" t="s">
        <v>1748</v>
      </c>
      <c r="P103" s="6" t="s">
        <v>1869</v>
      </c>
      <c r="Q103" s="6"/>
      <c r="R103" s="9" t="b">
        <v>1</v>
      </c>
      <c r="S103" s="6" t="s">
        <v>107</v>
      </c>
      <c r="T103" s="6" t="s">
        <v>1870</v>
      </c>
      <c r="U103" s="9" t="b">
        <v>1</v>
      </c>
    </row>
    <row r="104" spans="1:21" ht="30">
      <c r="A104" s="7" t="s">
        <v>102</v>
      </c>
      <c r="B104" s="15">
        <v>46071</v>
      </c>
      <c r="C104" s="5" t="s">
        <v>104</v>
      </c>
      <c r="D104" s="14">
        <v>7</v>
      </c>
      <c r="E104" s="5" t="s">
        <v>1745</v>
      </c>
      <c r="F104" s="5" t="s">
        <v>1746</v>
      </c>
      <c r="G104" s="13">
        <v>1</v>
      </c>
      <c r="H104" s="13">
        <v>19</v>
      </c>
      <c r="I104" s="13">
        <v>3</v>
      </c>
      <c r="J104" s="13">
        <v>1</v>
      </c>
      <c r="K104" s="14">
        <f t="shared" si="2"/>
        <v>3</v>
      </c>
      <c r="L104" s="5" t="str">
        <f t="shared" si="3"/>
        <v>MEDIUM</v>
      </c>
      <c r="M104" s="4" t="s">
        <v>1747</v>
      </c>
      <c r="N104" s="8" t="b">
        <v>0</v>
      </c>
      <c r="O104" s="6" t="s">
        <v>1748</v>
      </c>
      <c r="P104" s="6" t="s">
        <v>1749</v>
      </c>
      <c r="Q104" s="6"/>
      <c r="R104" s="9" t="b">
        <v>1</v>
      </c>
      <c r="S104" s="6" t="s">
        <v>107</v>
      </c>
      <c r="T104" s="6" t="s">
        <v>1871</v>
      </c>
      <c r="U104" s="9" t="b">
        <v>1</v>
      </c>
    </row>
    <row r="105" spans="1:21" ht="30">
      <c r="A105" s="7" t="s">
        <v>108</v>
      </c>
      <c r="B105" s="15">
        <v>46102</v>
      </c>
      <c r="C105" s="5" t="s">
        <v>110</v>
      </c>
      <c r="D105" s="14">
        <v>1</v>
      </c>
      <c r="E105" s="5" t="s">
        <v>1699</v>
      </c>
      <c r="F105" s="5" t="s">
        <v>1700</v>
      </c>
      <c r="G105" s="13">
        <v>31</v>
      </c>
      <c r="H105" s="13">
        <v>13</v>
      </c>
      <c r="I105" s="13">
        <v>1</v>
      </c>
      <c r="J105" s="13">
        <v>3</v>
      </c>
      <c r="K105" s="14">
        <f t="shared" si="2"/>
        <v>3</v>
      </c>
      <c r="L105" s="5" t="str">
        <f t="shared" si="3"/>
        <v>MEDIUM</v>
      </c>
      <c r="M105" s="4" t="s">
        <v>1701</v>
      </c>
      <c r="N105" s="8" t="b">
        <v>0</v>
      </c>
      <c r="O105" s="6" t="s">
        <v>1702</v>
      </c>
      <c r="P105" s="6" t="s">
        <v>1703</v>
      </c>
      <c r="Q105" s="6"/>
      <c r="R105" s="9" t="b">
        <v>1</v>
      </c>
      <c r="S105" s="6" t="s">
        <v>113</v>
      </c>
      <c r="T105" s="6" t="s">
        <v>1872</v>
      </c>
      <c r="U105" s="9" t="b">
        <v>1</v>
      </c>
    </row>
    <row r="106" spans="1:21" ht="30">
      <c r="A106" s="7" t="s">
        <v>108</v>
      </c>
      <c r="B106" s="15">
        <v>46102</v>
      </c>
      <c r="C106" s="5" t="s">
        <v>110</v>
      </c>
      <c r="D106" s="14">
        <v>2</v>
      </c>
      <c r="E106" s="5" t="s">
        <v>1778</v>
      </c>
      <c r="F106" s="5" t="s">
        <v>1839</v>
      </c>
      <c r="G106" s="13">
        <v>34</v>
      </c>
      <c r="H106" s="13">
        <v>20</v>
      </c>
      <c r="I106" s="13">
        <v>3</v>
      </c>
      <c r="J106" s="13">
        <v>1</v>
      </c>
      <c r="K106" s="14">
        <f t="shared" si="2"/>
        <v>3</v>
      </c>
      <c r="L106" s="5" t="str">
        <f t="shared" si="3"/>
        <v>MEDIUM</v>
      </c>
      <c r="M106" s="4" t="s">
        <v>1780</v>
      </c>
      <c r="N106" s="8" t="b">
        <v>0</v>
      </c>
      <c r="O106" s="6" t="s">
        <v>1781</v>
      </c>
      <c r="P106" s="6" t="s">
        <v>1840</v>
      </c>
      <c r="Q106" s="6"/>
      <c r="R106" s="9" t="b">
        <v>1</v>
      </c>
      <c r="S106" s="6" t="s">
        <v>113</v>
      </c>
      <c r="T106" s="6" t="s">
        <v>1873</v>
      </c>
      <c r="U106" s="9" t="b">
        <v>1</v>
      </c>
    </row>
    <row r="107" spans="1:21" ht="30">
      <c r="A107" s="7" t="s">
        <v>108</v>
      </c>
      <c r="B107" s="15">
        <v>46102</v>
      </c>
      <c r="C107" s="5" t="s">
        <v>110</v>
      </c>
      <c r="D107" s="14">
        <v>3</v>
      </c>
      <c r="E107" s="5" t="s">
        <v>1714</v>
      </c>
      <c r="F107" s="5" t="s">
        <v>1774</v>
      </c>
      <c r="G107" s="13">
        <v>37</v>
      </c>
      <c r="H107" s="13">
        <v>27</v>
      </c>
      <c r="I107" s="13">
        <v>2</v>
      </c>
      <c r="J107" s="13">
        <v>2</v>
      </c>
      <c r="K107" s="14">
        <f t="shared" si="2"/>
        <v>4</v>
      </c>
      <c r="L107" s="5" t="str">
        <f t="shared" si="3"/>
        <v>MEDIUM</v>
      </c>
      <c r="M107" s="4" t="s">
        <v>1716</v>
      </c>
      <c r="N107" s="8" t="b">
        <v>0</v>
      </c>
      <c r="O107" s="6" t="s">
        <v>1717</v>
      </c>
      <c r="P107" s="6" t="s">
        <v>1775</v>
      </c>
      <c r="Q107" s="6"/>
      <c r="R107" s="9" t="b">
        <v>1</v>
      </c>
      <c r="S107" s="6" t="s">
        <v>113</v>
      </c>
      <c r="T107" s="6" t="s">
        <v>1874</v>
      </c>
      <c r="U107" s="9" t="b">
        <v>1</v>
      </c>
    </row>
    <row r="108" spans="1:21" ht="30">
      <c r="A108" s="7" t="s">
        <v>108</v>
      </c>
      <c r="B108" s="15">
        <v>46102</v>
      </c>
      <c r="C108" s="5" t="s">
        <v>110</v>
      </c>
      <c r="D108" s="14">
        <v>4</v>
      </c>
      <c r="E108" s="5" t="s">
        <v>1720</v>
      </c>
      <c r="F108" s="5" t="s">
        <v>1753</v>
      </c>
      <c r="G108" s="13">
        <v>40</v>
      </c>
      <c r="H108" s="13">
        <v>3</v>
      </c>
      <c r="I108" s="13">
        <v>1</v>
      </c>
      <c r="J108" s="13">
        <v>3</v>
      </c>
      <c r="K108" s="14">
        <f t="shared" si="2"/>
        <v>3</v>
      </c>
      <c r="L108" s="5" t="str">
        <f t="shared" si="3"/>
        <v>MEDIUM</v>
      </c>
      <c r="M108" s="4" t="s">
        <v>1722</v>
      </c>
      <c r="N108" s="8" t="b">
        <v>0</v>
      </c>
      <c r="O108" s="6" t="s">
        <v>1723</v>
      </c>
      <c r="P108" s="6" t="s">
        <v>1754</v>
      </c>
      <c r="Q108" s="6"/>
      <c r="R108" s="9" t="b">
        <v>1</v>
      </c>
      <c r="S108" s="6" t="s">
        <v>113</v>
      </c>
      <c r="T108" s="6" t="s">
        <v>1875</v>
      </c>
      <c r="U108" s="9" t="b">
        <v>1</v>
      </c>
    </row>
    <row r="109" spans="1:21" ht="30">
      <c r="A109" s="7" t="s">
        <v>108</v>
      </c>
      <c r="B109" s="15">
        <v>46102</v>
      </c>
      <c r="C109" s="5" t="s">
        <v>110</v>
      </c>
      <c r="D109" s="14">
        <v>5</v>
      </c>
      <c r="E109" s="5" t="s">
        <v>1720</v>
      </c>
      <c r="F109" s="5" t="s">
        <v>1721</v>
      </c>
      <c r="G109" s="13">
        <v>43</v>
      </c>
      <c r="H109" s="13">
        <v>10</v>
      </c>
      <c r="I109" s="13">
        <v>3</v>
      </c>
      <c r="J109" s="13">
        <v>1</v>
      </c>
      <c r="K109" s="14">
        <f t="shared" si="2"/>
        <v>3</v>
      </c>
      <c r="L109" s="5" t="str">
        <f t="shared" si="3"/>
        <v>MEDIUM</v>
      </c>
      <c r="M109" s="4" t="s">
        <v>1722</v>
      </c>
      <c r="N109" s="8" t="b">
        <v>0</v>
      </c>
      <c r="O109" s="6" t="s">
        <v>1723</v>
      </c>
      <c r="P109" s="6" t="s">
        <v>1724</v>
      </c>
      <c r="Q109" s="6"/>
      <c r="R109" s="9" t="b">
        <v>1</v>
      </c>
      <c r="S109" s="6" t="s">
        <v>113</v>
      </c>
      <c r="T109" s="6" t="s">
        <v>1876</v>
      </c>
      <c r="U109" s="9" t="b">
        <v>1</v>
      </c>
    </row>
    <row r="110" spans="1:21" ht="30">
      <c r="A110" s="7" t="s">
        <v>108</v>
      </c>
      <c r="B110" s="15">
        <v>46102</v>
      </c>
      <c r="C110" s="5" t="s">
        <v>110</v>
      </c>
      <c r="D110" s="14">
        <v>6</v>
      </c>
      <c r="E110" s="5" t="s">
        <v>1720</v>
      </c>
      <c r="F110" s="5" t="s">
        <v>1726</v>
      </c>
      <c r="G110" s="13">
        <v>46</v>
      </c>
      <c r="H110" s="13">
        <v>17</v>
      </c>
      <c r="I110" s="13">
        <v>2</v>
      </c>
      <c r="J110" s="13">
        <v>2</v>
      </c>
      <c r="K110" s="14">
        <f t="shared" si="2"/>
        <v>4</v>
      </c>
      <c r="L110" s="5" t="str">
        <f t="shared" si="3"/>
        <v>MEDIUM</v>
      </c>
      <c r="M110" s="4" t="s">
        <v>1722</v>
      </c>
      <c r="N110" s="8" t="b">
        <v>0</v>
      </c>
      <c r="O110" s="6" t="s">
        <v>1723</v>
      </c>
      <c r="P110" s="6" t="s">
        <v>1727</v>
      </c>
      <c r="Q110" s="6"/>
      <c r="R110" s="9" t="b">
        <v>1</v>
      </c>
      <c r="S110" s="6" t="s">
        <v>113</v>
      </c>
      <c r="T110" s="6" t="s">
        <v>1877</v>
      </c>
      <c r="U110" s="9" t="b">
        <v>1</v>
      </c>
    </row>
    <row r="111" spans="1:21" ht="30">
      <c r="A111" s="7" t="s">
        <v>114</v>
      </c>
      <c r="B111" s="15">
        <v>46136</v>
      </c>
      <c r="C111" s="5" t="s">
        <v>116</v>
      </c>
      <c r="D111" s="14">
        <v>1</v>
      </c>
      <c r="E111" s="5" t="s">
        <v>1699</v>
      </c>
      <c r="F111" s="5" t="s">
        <v>1700</v>
      </c>
      <c r="G111" s="13">
        <v>33</v>
      </c>
      <c r="H111" s="13">
        <v>18</v>
      </c>
      <c r="I111" s="13">
        <v>3</v>
      </c>
      <c r="J111" s="13">
        <v>2</v>
      </c>
      <c r="K111" s="14">
        <f t="shared" si="2"/>
        <v>6</v>
      </c>
      <c r="L111" s="5" t="str">
        <f t="shared" si="3"/>
        <v>HIGH</v>
      </c>
      <c r="M111" s="4" t="s">
        <v>1701</v>
      </c>
      <c r="N111" s="8" t="b">
        <v>0</v>
      </c>
      <c r="O111" s="6" t="s">
        <v>1702</v>
      </c>
      <c r="P111" s="6" t="s">
        <v>1703</v>
      </c>
      <c r="Q111" s="6"/>
      <c r="R111" s="9" t="b">
        <v>1</v>
      </c>
      <c r="S111" s="6" t="s">
        <v>119</v>
      </c>
      <c r="T111" s="6" t="s">
        <v>1878</v>
      </c>
      <c r="U111" s="9" t="b">
        <v>1</v>
      </c>
    </row>
    <row r="112" spans="1:21" ht="30">
      <c r="A112" s="7" t="s">
        <v>114</v>
      </c>
      <c r="B112" s="15">
        <v>46136</v>
      </c>
      <c r="C112" s="5" t="s">
        <v>116</v>
      </c>
      <c r="D112" s="14">
        <v>2</v>
      </c>
      <c r="E112" s="5" t="s">
        <v>1778</v>
      </c>
      <c r="F112" s="5" t="s">
        <v>1839</v>
      </c>
      <c r="G112" s="13">
        <v>36</v>
      </c>
      <c r="H112" s="13">
        <v>25</v>
      </c>
      <c r="I112" s="13">
        <v>2</v>
      </c>
      <c r="J112" s="13">
        <v>3</v>
      </c>
      <c r="K112" s="14">
        <f t="shared" si="2"/>
        <v>6</v>
      </c>
      <c r="L112" s="5" t="str">
        <f t="shared" si="3"/>
        <v>HIGH</v>
      </c>
      <c r="M112" s="4" t="s">
        <v>1780</v>
      </c>
      <c r="N112" s="8" t="b">
        <v>0</v>
      </c>
      <c r="O112" s="6" t="s">
        <v>1781</v>
      </c>
      <c r="P112" s="6" t="s">
        <v>1840</v>
      </c>
      <c r="Q112" s="6"/>
      <c r="R112" s="9" t="b">
        <v>1</v>
      </c>
      <c r="S112" s="6" t="s">
        <v>119</v>
      </c>
      <c r="T112" s="6" t="s">
        <v>1879</v>
      </c>
      <c r="U112" s="9" t="b">
        <v>1</v>
      </c>
    </row>
    <row r="113" spans="1:21" ht="30">
      <c r="A113" s="7" t="s">
        <v>114</v>
      </c>
      <c r="B113" s="15">
        <v>46136</v>
      </c>
      <c r="C113" s="5" t="s">
        <v>116</v>
      </c>
      <c r="D113" s="14">
        <v>3</v>
      </c>
      <c r="E113" s="5" t="s">
        <v>1714</v>
      </c>
      <c r="F113" s="5" t="s">
        <v>1774</v>
      </c>
      <c r="G113" s="13">
        <v>39</v>
      </c>
      <c r="H113" s="13">
        <v>1</v>
      </c>
      <c r="I113" s="13">
        <v>3</v>
      </c>
      <c r="J113" s="13">
        <v>3</v>
      </c>
      <c r="K113" s="14">
        <f t="shared" si="2"/>
        <v>9</v>
      </c>
      <c r="L113" s="5" t="str">
        <f t="shared" si="3"/>
        <v>HIGH</v>
      </c>
      <c r="M113" s="4" t="s">
        <v>1716</v>
      </c>
      <c r="N113" s="8" t="b">
        <v>1</v>
      </c>
      <c r="O113" s="6" t="s">
        <v>1717</v>
      </c>
      <c r="P113" s="6" t="s">
        <v>1775</v>
      </c>
      <c r="Q113" s="6"/>
      <c r="R113" s="9" t="b">
        <v>1</v>
      </c>
      <c r="S113" s="6" t="s">
        <v>119</v>
      </c>
      <c r="T113" s="6" t="s">
        <v>1880</v>
      </c>
      <c r="U113" s="9" t="b">
        <v>1</v>
      </c>
    </row>
    <row r="114" spans="1:21" ht="30">
      <c r="A114" s="7" t="s">
        <v>114</v>
      </c>
      <c r="B114" s="15">
        <v>46136</v>
      </c>
      <c r="C114" s="5" t="s">
        <v>116</v>
      </c>
      <c r="D114" s="14">
        <v>4</v>
      </c>
      <c r="E114" s="5" t="s">
        <v>1720</v>
      </c>
      <c r="F114" s="5" t="s">
        <v>1753</v>
      </c>
      <c r="G114" s="13">
        <v>42</v>
      </c>
      <c r="H114" s="13">
        <v>8</v>
      </c>
      <c r="I114" s="13">
        <v>3</v>
      </c>
      <c r="J114" s="13">
        <v>2</v>
      </c>
      <c r="K114" s="14">
        <f t="shared" si="2"/>
        <v>6</v>
      </c>
      <c r="L114" s="5" t="str">
        <f t="shared" si="3"/>
        <v>HIGH</v>
      </c>
      <c r="M114" s="4" t="s">
        <v>1722</v>
      </c>
      <c r="N114" s="8" t="b">
        <v>0</v>
      </c>
      <c r="O114" s="6" t="s">
        <v>1723</v>
      </c>
      <c r="P114" s="6" t="s">
        <v>1754</v>
      </c>
      <c r="Q114" s="6"/>
      <c r="R114" s="9" t="b">
        <v>1</v>
      </c>
      <c r="S114" s="6" t="s">
        <v>119</v>
      </c>
      <c r="T114" s="6" t="s">
        <v>1881</v>
      </c>
      <c r="U114" s="9" t="b">
        <v>1</v>
      </c>
    </row>
    <row r="115" spans="1:21" ht="30">
      <c r="A115" s="7" t="s">
        <v>114</v>
      </c>
      <c r="B115" s="15">
        <v>46136</v>
      </c>
      <c r="C115" s="5" t="s">
        <v>116</v>
      </c>
      <c r="D115" s="14">
        <v>5</v>
      </c>
      <c r="E115" s="5" t="s">
        <v>1720</v>
      </c>
      <c r="F115" s="5" t="s">
        <v>1721</v>
      </c>
      <c r="G115" s="13">
        <v>45</v>
      </c>
      <c r="H115" s="13">
        <v>15</v>
      </c>
      <c r="I115" s="13">
        <v>2</v>
      </c>
      <c r="J115" s="13">
        <v>3</v>
      </c>
      <c r="K115" s="14">
        <f t="shared" si="2"/>
        <v>6</v>
      </c>
      <c r="L115" s="5" t="str">
        <f t="shared" si="3"/>
        <v>HIGH</v>
      </c>
      <c r="M115" s="4" t="s">
        <v>1722</v>
      </c>
      <c r="N115" s="8" t="b">
        <v>0</v>
      </c>
      <c r="O115" s="6" t="s">
        <v>1723</v>
      </c>
      <c r="P115" s="6" t="s">
        <v>1724</v>
      </c>
      <c r="Q115" s="6"/>
      <c r="R115" s="9" t="b">
        <v>1</v>
      </c>
      <c r="S115" s="6" t="s">
        <v>119</v>
      </c>
      <c r="T115" s="6" t="s">
        <v>1882</v>
      </c>
      <c r="U115" s="9" t="b">
        <v>1</v>
      </c>
    </row>
    <row r="116" spans="1:21" ht="30">
      <c r="A116" s="7" t="s">
        <v>114</v>
      </c>
      <c r="B116" s="15">
        <v>46136</v>
      </c>
      <c r="C116" s="5" t="s">
        <v>116</v>
      </c>
      <c r="D116" s="14">
        <v>6</v>
      </c>
      <c r="E116" s="5" t="s">
        <v>1778</v>
      </c>
      <c r="F116" s="5" t="s">
        <v>1779</v>
      </c>
      <c r="G116" s="13">
        <v>48</v>
      </c>
      <c r="H116" s="13">
        <v>22</v>
      </c>
      <c r="I116" s="13">
        <v>3</v>
      </c>
      <c r="J116" s="13">
        <v>3</v>
      </c>
      <c r="K116" s="14">
        <f t="shared" si="2"/>
        <v>9</v>
      </c>
      <c r="L116" s="5" t="str">
        <f t="shared" si="3"/>
        <v>HIGH</v>
      </c>
      <c r="M116" s="4" t="s">
        <v>1780</v>
      </c>
      <c r="N116" s="8" t="b">
        <v>1</v>
      </c>
      <c r="O116" s="6" t="s">
        <v>1781</v>
      </c>
      <c r="P116" s="6" t="s">
        <v>1782</v>
      </c>
      <c r="Q116" s="6"/>
      <c r="R116" s="9" t="b">
        <v>1</v>
      </c>
      <c r="S116" s="6" t="s">
        <v>119</v>
      </c>
      <c r="T116" s="6" t="s">
        <v>1883</v>
      </c>
      <c r="U116" s="9" t="b">
        <v>1</v>
      </c>
    </row>
    <row r="117" spans="1:21" ht="30">
      <c r="A117" s="7" t="s">
        <v>120</v>
      </c>
      <c r="B117" s="15">
        <v>46144</v>
      </c>
      <c r="C117" s="5" t="s">
        <v>122</v>
      </c>
      <c r="D117" s="14">
        <v>1</v>
      </c>
      <c r="E117" s="5" t="s">
        <v>1699</v>
      </c>
      <c r="F117" s="5" t="s">
        <v>1700</v>
      </c>
      <c r="G117" s="13">
        <v>8</v>
      </c>
      <c r="H117" s="13">
        <v>23</v>
      </c>
      <c r="I117" s="13">
        <v>3</v>
      </c>
      <c r="J117" s="13">
        <v>1</v>
      </c>
      <c r="K117" s="14">
        <f t="shared" si="2"/>
        <v>3</v>
      </c>
      <c r="L117" s="5" t="str">
        <f t="shared" si="3"/>
        <v>MEDIUM</v>
      </c>
      <c r="M117" s="4" t="s">
        <v>1701</v>
      </c>
      <c r="N117" s="8" t="b">
        <v>0</v>
      </c>
      <c r="O117" s="6" t="s">
        <v>1702</v>
      </c>
      <c r="P117" s="6" t="s">
        <v>1703</v>
      </c>
      <c r="Q117" s="6"/>
      <c r="R117" s="9" t="b">
        <v>1</v>
      </c>
      <c r="S117" s="6" t="s">
        <v>125</v>
      </c>
      <c r="T117" s="6" t="s">
        <v>1884</v>
      </c>
      <c r="U117" s="9" t="b">
        <v>1</v>
      </c>
    </row>
    <row r="118" spans="1:21" ht="30">
      <c r="A118" s="7" t="s">
        <v>120</v>
      </c>
      <c r="B118" s="15">
        <v>46144</v>
      </c>
      <c r="C118" s="5" t="s">
        <v>122</v>
      </c>
      <c r="D118" s="14">
        <v>2</v>
      </c>
      <c r="E118" s="5" t="s">
        <v>1778</v>
      </c>
      <c r="F118" s="5" t="s">
        <v>1839</v>
      </c>
      <c r="G118" s="13">
        <v>2</v>
      </c>
      <c r="H118" s="13">
        <v>30</v>
      </c>
      <c r="I118" s="13">
        <v>2</v>
      </c>
      <c r="J118" s="13">
        <v>2</v>
      </c>
      <c r="K118" s="14">
        <f t="shared" si="2"/>
        <v>4</v>
      </c>
      <c r="L118" s="5" t="str">
        <f t="shared" si="3"/>
        <v>MEDIUM</v>
      </c>
      <c r="M118" s="4" t="s">
        <v>1780</v>
      </c>
      <c r="N118" s="8" t="b">
        <v>0</v>
      </c>
      <c r="O118" s="6" t="s">
        <v>1781</v>
      </c>
      <c r="P118" s="6" t="s">
        <v>1840</v>
      </c>
      <c r="Q118" s="6"/>
      <c r="R118" s="9" t="b">
        <v>1</v>
      </c>
      <c r="S118" s="6" t="s">
        <v>125</v>
      </c>
      <c r="T118" s="6" t="s">
        <v>1885</v>
      </c>
      <c r="U118" s="9" t="b">
        <v>1</v>
      </c>
    </row>
    <row r="119" spans="1:21" ht="30">
      <c r="A119" s="7" t="s">
        <v>120</v>
      </c>
      <c r="B119" s="15">
        <v>46144</v>
      </c>
      <c r="C119" s="5" t="s">
        <v>122</v>
      </c>
      <c r="D119" s="14">
        <v>3</v>
      </c>
      <c r="E119" s="5" t="s">
        <v>1714</v>
      </c>
      <c r="F119" s="5" t="s">
        <v>1774</v>
      </c>
      <c r="G119" s="13">
        <v>5</v>
      </c>
      <c r="H119" s="13">
        <v>6</v>
      </c>
      <c r="I119" s="13">
        <v>1</v>
      </c>
      <c r="J119" s="13">
        <v>3</v>
      </c>
      <c r="K119" s="14">
        <f t="shared" si="2"/>
        <v>3</v>
      </c>
      <c r="L119" s="5" t="str">
        <f t="shared" si="3"/>
        <v>MEDIUM</v>
      </c>
      <c r="M119" s="4" t="s">
        <v>1716</v>
      </c>
      <c r="N119" s="8" t="b">
        <v>0</v>
      </c>
      <c r="O119" s="6" t="s">
        <v>1717</v>
      </c>
      <c r="P119" s="6" t="s">
        <v>1775</v>
      </c>
      <c r="Q119" s="6"/>
      <c r="R119" s="9" t="b">
        <v>1</v>
      </c>
      <c r="S119" s="6" t="s">
        <v>125</v>
      </c>
      <c r="T119" s="6" t="s">
        <v>1886</v>
      </c>
      <c r="U119" s="9" t="b">
        <v>1</v>
      </c>
    </row>
    <row r="120" spans="1:21" ht="30">
      <c r="A120" s="7" t="s">
        <v>120</v>
      </c>
      <c r="B120" s="15">
        <v>46144</v>
      </c>
      <c r="C120" s="5" t="s">
        <v>122</v>
      </c>
      <c r="D120" s="14">
        <v>4</v>
      </c>
      <c r="E120" s="5" t="s">
        <v>1720</v>
      </c>
      <c r="F120" s="5" t="s">
        <v>1753</v>
      </c>
      <c r="G120" s="13">
        <v>8</v>
      </c>
      <c r="H120" s="13">
        <v>13</v>
      </c>
      <c r="I120" s="13">
        <v>3</v>
      </c>
      <c r="J120" s="13">
        <v>1</v>
      </c>
      <c r="K120" s="14">
        <f t="shared" si="2"/>
        <v>3</v>
      </c>
      <c r="L120" s="5" t="str">
        <f t="shared" si="3"/>
        <v>MEDIUM</v>
      </c>
      <c r="M120" s="4" t="s">
        <v>1722</v>
      </c>
      <c r="N120" s="8" t="b">
        <v>0</v>
      </c>
      <c r="O120" s="6" t="s">
        <v>1723</v>
      </c>
      <c r="P120" s="6" t="s">
        <v>1754</v>
      </c>
      <c r="Q120" s="6"/>
      <c r="R120" s="9" t="b">
        <v>1</v>
      </c>
      <c r="S120" s="6" t="s">
        <v>125</v>
      </c>
      <c r="T120" s="6" t="s">
        <v>1887</v>
      </c>
      <c r="U120" s="9" t="b">
        <v>1</v>
      </c>
    </row>
    <row r="121" spans="1:21" ht="30">
      <c r="A121" s="7" t="s">
        <v>120</v>
      </c>
      <c r="B121" s="15">
        <v>46144</v>
      </c>
      <c r="C121" s="5" t="s">
        <v>122</v>
      </c>
      <c r="D121" s="14">
        <v>5</v>
      </c>
      <c r="E121" s="5" t="s">
        <v>1720</v>
      </c>
      <c r="F121" s="5" t="s">
        <v>1721</v>
      </c>
      <c r="G121" s="13">
        <v>2</v>
      </c>
      <c r="H121" s="13">
        <v>20</v>
      </c>
      <c r="I121" s="13">
        <v>2</v>
      </c>
      <c r="J121" s="13">
        <v>2</v>
      </c>
      <c r="K121" s="14">
        <f t="shared" si="2"/>
        <v>4</v>
      </c>
      <c r="L121" s="5" t="str">
        <f t="shared" si="3"/>
        <v>MEDIUM</v>
      </c>
      <c r="M121" s="4" t="s">
        <v>1722</v>
      </c>
      <c r="N121" s="8" t="b">
        <v>0</v>
      </c>
      <c r="O121" s="6" t="s">
        <v>1723</v>
      </c>
      <c r="P121" s="6" t="s">
        <v>1724</v>
      </c>
      <c r="Q121" s="6"/>
      <c r="R121" s="9" t="b">
        <v>1</v>
      </c>
      <c r="S121" s="6" t="s">
        <v>125</v>
      </c>
      <c r="T121" s="6" t="s">
        <v>1888</v>
      </c>
      <c r="U121" s="9" t="b">
        <v>1</v>
      </c>
    </row>
    <row r="122" spans="1:21" ht="45">
      <c r="A122" s="7" t="s">
        <v>120</v>
      </c>
      <c r="B122" s="15">
        <v>46144</v>
      </c>
      <c r="C122" s="5" t="s">
        <v>122</v>
      </c>
      <c r="D122" s="14">
        <v>6</v>
      </c>
      <c r="E122" s="5" t="s">
        <v>1729</v>
      </c>
      <c r="F122" s="5" t="s">
        <v>1730</v>
      </c>
      <c r="G122" s="13">
        <v>5</v>
      </c>
      <c r="H122" s="13">
        <v>27</v>
      </c>
      <c r="I122" s="13">
        <v>1</v>
      </c>
      <c r="J122" s="13">
        <v>3</v>
      </c>
      <c r="K122" s="14">
        <f t="shared" si="2"/>
        <v>3</v>
      </c>
      <c r="L122" s="5" t="str">
        <f t="shared" si="3"/>
        <v>MEDIUM</v>
      </c>
      <c r="M122" s="4" t="s">
        <v>1731</v>
      </c>
      <c r="N122" s="8" t="b">
        <v>0</v>
      </c>
      <c r="O122" s="6" t="s">
        <v>1732</v>
      </c>
      <c r="P122" s="6" t="s">
        <v>1733</v>
      </c>
      <c r="Q122" s="6"/>
      <c r="R122" s="9" t="b">
        <v>1</v>
      </c>
      <c r="S122" s="6" t="s">
        <v>125</v>
      </c>
      <c r="T122" s="6" t="s">
        <v>1889</v>
      </c>
      <c r="U122" s="9" t="b">
        <v>1</v>
      </c>
    </row>
    <row r="123" spans="1:21" ht="30">
      <c r="A123" s="7" t="s">
        <v>126</v>
      </c>
      <c r="B123" s="15">
        <v>46178</v>
      </c>
      <c r="C123" s="5" t="s">
        <v>128</v>
      </c>
      <c r="D123" s="14">
        <v>1</v>
      </c>
      <c r="E123" s="5" t="s">
        <v>1699</v>
      </c>
      <c r="F123" s="5" t="s">
        <v>1700</v>
      </c>
      <c r="G123" s="13">
        <v>5</v>
      </c>
      <c r="H123" s="13">
        <v>28</v>
      </c>
      <c r="I123" s="13">
        <v>2</v>
      </c>
      <c r="J123" s="13">
        <v>3</v>
      </c>
      <c r="K123" s="14">
        <f t="shared" si="2"/>
        <v>6</v>
      </c>
      <c r="L123" s="5" t="str">
        <f t="shared" si="3"/>
        <v>HIGH</v>
      </c>
      <c r="M123" s="4" t="s">
        <v>1701</v>
      </c>
      <c r="N123" s="8" t="b">
        <v>1</v>
      </c>
      <c r="O123" s="6" t="s">
        <v>1702</v>
      </c>
      <c r="P123" s="6" t="s">
        <v>1703</v>
      </c>
      <c r="Q123" s="6"/>
      <c r="R123" s="9" t="b">
        <v>1</v>
      </c>
      <c r="S123" s="6" t="s">
        <v>131</v>
      </c>
      <c r="T123" s="6" t="s">
        <v>1890</v>
      </c>
      <c r="U123" s="9" t="b">
        <v>1</v>
      </c>
    </row>
    <row r="124" spans="1:21" ht="30">
      <c r="A124" s="7" t="s">
        <v>126</v>
      </c>
      <c r="B124" s="15">
        <v>46178</v>
      </c>
      <c r="C124" s="5" t="s">
        <v>128</v>
      </c>
      <c r="D124" s="14">
        <v>2</v>
      </c>
      <c r="E124" s="5" t="s">
        <v>1699</v>
      </c>
      <c r="F124" s="5" t="s">
        <v>1705</v>
      </c>
      <c r="G124" s="13">
        <v>8</v>
      </c>
      <c r="H124" s="13">
        <v>4</v>
      </c>
      <c r="I124" s="13">
        <v>3</v>
      </c>
      <c r="J124" s="13">
        <v>3</v>
      </c>
      <c r="K124" s="14">
        <f t="shared" si="2"/>
        <v>9</v>
      </c>
      <c r="L124" s="5" t="str">
        <f t="shared" si="3"/>
        <v>HIGH</v>
      </c>
      <c r="M124" s="4" t="s">
        <v>1701</v>
      </c>
      <c r="N124" s="8" t="b">
        <v>0</v>
      </c>
      <c r="O124" s="6" t="s">
        <v>1702</v>
      </c>
      <c r="P124" s="6" t="s">
        <v>1706</v>
      </c>
      <c r="Q124" s="6"/>
      <c r="R124" s="9" t="b">
        <v>1</v>
      </c>
      <c r="S124" s="6" t="s">
        <v>131</v>
      </c>
      <c r="T124" s="6" t="s">
        <v>1891</v>
      </c>
      <c r="U124" s="9" t="b">
        <v>1</v>
      </c>
    </row>
    <row r="125" spans="1:21" ht="30">
      <c r="A125" s="7" t="s">
        <v>126</v>
      </c>
      <c r="B125" s="15">
        <v>46178</v>
      </c>
      <c r="C125" s="5" t="s">
        <v>128</v>
      </c>
      <c r="D125" s="14">
        <v>3</v>
      </c>
      <c r="E125" s="5" t="s">
        <v>1708</v>
      </c>
      <c r="F125" s="5" t="s">
        <v>1709</v>
      </c>
      <c r="G125" s="13">
        <v>11</v>
      </c>
      <c r="H125" s="13">
        <v>11</v>
      </c>
      <c r="I125" s="13">
        <v>3</v>
      </c>
      <c r="J125" s="13">
        <v>2</v>
      </c>
      <c r="K125" s="14">
        <f t="shared" si="2"/>
        <v>6</v>
      </c>
      <c r="L125" s="5" t="str">
        <f t="shared" si="3"/>
        <v>HIGH</v>
      </c>
      <c r="M125" s="4" t="s">
        <v>1710</v>
      </c>
      <c r="N125" s="8" t="b">
        <v>0</v>
      </c>
      <c r="O125" s="6" t="s">
        <v>1711</v>
      </c>
      <c r="P125" s="6" t="s">
        <v>1712</v>
      </c>
      <c r="Q125" s="6"/>
      <c r="R125" s="9" t="b">
        <v>1</v>
      </c>
      <c r="S125" s="6" t="s">
        <v>131</v>
      </c>
      <c r="T125" s="6" t="s">
        <v>1892</v>
      </c>
      <c r="U125" s="9" t="b">
        <v>1</v>
      </c>
    </row>
    <row r="126" spans="1:21" ht="30">
      <c r="A126" s="7" t="s">
        <v>126</v>
      </c>
      <c r="B126" s="15">
        <v>46178</v>
      </c>
      <c r="C126" s="5" t="s">
        <v>128</v>
      </c>
      <c r="D126" s="14">
        <v>4</v>
      </c>
      <c r="E126" s="5" t="s">
        <v>1714</v>
      </c>
      <c r="F126" s="5" t="s">
        <v>1715</v>
      </c>
      <c r="G126" s="13">
        <v>14</v>
      </c>
      <c r="H126" s="13">
        <v>18</v>
      </c>
      <c r="I126" s="13">
        <v>2</v>
      </c>
      <c r="J126" s="13">
        <v>3</v>
      </c>
      <c r="K126" s="14">
        <f t="shared" si="2"/>
        <v>6</v>
      </c>
      <c r="L126" s="5" t="str">
        <f t="shared" si="3"/>
        <v>HIGH</v>
      </c>
      <c r="M126" s="4" t="s">
        <v>1716</v>
      </c>
      <c r="N126" s="8" t="b">
        <v>1</v>
      </c>
      <c r="O126" s="6" t="s">
        <v>1717</v>
      </c>
      <c r="P126" s="6" t="s">
        <v>1718</v>
      </c>
      <c r="Q126" s="6"/>
      <c r="R126" s="9" t="b">
        <v>1</v>
      </c>
      <c r="S126" s="6" t="s">
        <v>131</v>
      </c>
      <c r="T126" s="6" t="s">
        <v>1893</v>
      </c>
      <c r="U126" s="9" t="b">
        <v>1</v>
      </c>
    </row>
    <row r="127" spans="1:21" ht="30">
      <c r="A127" s="7" t="s">
        <v>126</v>
      </c>
      <c r="B127" s="15">
        <v>46178</v>
      </c>
      <c r="C127" s="5" t="s">
        <v>128</v>
      </c>
      <c r="D127" s="14">
        <v>5</v>
      </c>
      <c r="E127" s="5" t="s">
        <v>1714</v>
      </c>
      <c r="F127" s="5" t="s">
        <v>1771</v>
      </c>
      <c r="G127" s="13">
        <v>1</v>
      </c>
      <c r="H127" s="13">
        <v>25</v>
      </c>
      <c r="I127" s="13">
        <v>3</v>
      </c>
      <c r="J127" s="13">
        <v>3</v>
      </c>
      <c r="K127" s="14">
        <f t="shared" si="2"/>
        <v>9</v>
      </c>
      <c r="L127" s="5" t="str">
        <f t="shared" si="3"/>
        <v>HIGH</v>
      </c>
      <c r="M127" s="4" t="s">
        <v>1716</v>
      </c>
      <c r="N127" s="8" t="b">
        <v>0</v>
      </c>
      <c r="O127" s="6" t="s">
        <v>1717</v>
      </c>
      <c r="P127" s="6" t="s">
        <v>1772</v>
      </c>
      <c r="Q127" s="6"/>
      <c r="R127" s="9" t="b">
        <v>1</v>
      </c>
      <c r="S127" s="6" t="s">
        <v>131</v>
      </c>
      <c r="T127" s="6" t="s">
        <v>1894</v>
      </c>
      <c r="U127" s="9" t="b">
        <v>1</v>
      </c>
    </row>
    <row r="128" spans="1:21" ht="30">
      <c r="A128" s="7" t="s">
        <v>126</v>
      </c>
      <c r="B128" s="15">
        <v>46178</v>
      </c>
      <c r="C128" s="5" t="s">
        <v>128</v>
      </c>
      <c r="D128" s="14">
        <v>6</v>
      </c>
      <c r="E128" s="5" t="s">
        <v>1720</v>
      </c>
      <c r="F128" s="5" t="s">
        <v>1721</v>
      </c>
      <c r="G128" s="13">
        <v>4</v>
      </c>
      <c r="H128" s="13">
        <v>1</v>
      </c>
      <c r="I128" s="13">
        <v>3</v>
      </c>
      <c r="J128" s="13">
        <v>2</v>
      </c>
      <c r="K128" s="14">
        <f t="shared" si="2"/>
        <v>6</v>
      </c>
      <c r="L128" s="5" t="str">
        <f t="shared" si="3"/>
        <v>HIGH</v>
      </c>
      <c r="M128" s="4" t="s">
        <v>1722</v>
      </c>
      <c r="N128" s="8" t="b">
        <v>0</v>
      </c>
      <c r="O128" s="6" t="s">
        <v>1723</v>
      </c>
      <c r="P128" s="6" t="s">
        <v>1724</v>
      </c>
      <c r="Q128" s="6"/>
      <c r="R128" s="9" t="b">
        <v>1</v>
      </c>
      <c r="S128" s="6" t="s">
        <v>131</v>
      </c>
      <c r="T128" s="6" t="s">
        <v>1895</v>
      </c>
      <c r="U128" s="9" t="b">
        <v>1</v>
      </c>
    </row>
    <row r="129" spans="1:21" ht="30">
      <c r="A129" s="7" t="s">
        <v>126</v>
      </c>
      <c r="B129" s="15">
        <v>46178</v>
      </c>
      <c r="C129" s="5" t="s">
        <v>128</v>
      </c>
      <c r="D129" s="14">
        <v>7</v>
      </c>
      <c r="E129" s="5" t="s">
        <v>1778</v>
      </c>
      <c r="F129" s="5" t="s">
        <v>1804</v>
      </c>
      <c r="G129" s="13">
        <v>7</v>
      </c>
      <c r="H129" s="13">
        <v>8</v>
      </c>
      <c r="I129" s="13">
        <v>2</v>
      </c>
      <c r="J129" s="13">
        <v>3</v>
      </c>
      <c r="K129" s="14">
        <f t="shared" si="2"/>
        <v>6</v>
      </c>
      <c r="L129" s="5" t="str">
        <f t="shared" si="3"/>
        <v>HIGH</v>
      </c>
      <c r="M129" s="4" t="s">
        <v>1780</v>
      </c>
      <c r="N129" s="8" t="b">
        <v>1</v>
      </c>
      <c r="O129" s="6" t="s">
        <v>1781</v>
      </c>
      <c r="P129" s="6" t="s">
        <v>1805</v>
      </c>
      <c r="Q129" s="6"/>
      <c r="R129" s="9" t="b">
        <v>1</v>
      </c>
      <c r="S129" s="6" t="s">
        <v>131</v>
      </c>
      <c r="T129" s="6" t="s">
        <v>1896</v>
      </c>
      <c r="U129" s="9" t="b">
        <v>1</v>
      </c>
    </row>
    <row r="130" spans="1:21" ht="30">
      <c r="A130" s="7" t="s">
        <v>132</v>
      </c>
      <c r="B130" s="15">
        <v>46030</v>
      </c>
      <c r="C130" s="5" t="s">
        <v>134</v>
      </c>
      <c r="D130" s="14">
        <v>1</v>
      </c>
      <c r="E130" s="5" t="s">
        <v>1699</v>
      </c>
      <c r="F130" s="5" t="s">
        <v>1700</v>
      </c>
      <c r="G130" s="13">
        <v>16</v>
      </c>
      <c r="H130" s="13">
        <v>2</v>
      </c>
      <c r="I130" s="13">
        <v>2</v>
      </c>
      <c r="J130" s="13">
        <v>2</v>
      </c>
      <c r="K130" s="14">
        <f t="shared" si="2"/>
        <v>4</v>
      </c>
      <c r="L130" s="5" t="str">
        <f t="shared" si="3"/>
        <v>MEDIUM</v>
      </c>
      <c r="M130" s="4" t="s">
        <v>1701</v>
      </c>
      <c r="N130" s="8" t="b">
        <v>0</v>
      </c>
      <c r="O130" s="6" t="s">
        <v>1702</v>
      </c>
      <c r="P130" s="6" t="s">
        <v>1703</v>
      </c>
      <c r="Q130" s="6"/>
      <c r="R130" s="9" t="b">
        <v>1</v>
      </c>
      <c r="S130" s="6" t="s">
        <v>137</v>
      </c>
      <c r="T130" s="6" t="s">
        <v>1897</v>
      </c>
      <c r="U130" s="9" t="b">
        <v>1</v>
      </c>
    </row>
    <row r="131" spans="1:21" ht="30">
      <c r="A131" s="7" t="s">
        <v>132</v>
      </c>
      <c r="B131" s="15">
        <v>46030</v>
      </c>
      <c r="C131" s="5" t="s">
        <v>134</v>
      </c>
      <c r="D131" s="14">
        <v>2</v>
      </c>
      <c r="E131" s="5" t="s">
        <v>1778</v>
      </c>
      <c r="F131" s="5" t="s">
        <v>1839</v>
      </c>
      <c r="G131" s="13">
        <v>19</v>
      </c>
      <c r="H131" s="13">
        <v>9</v>
      </c>
      <c r="I131" s="13">
        <v>1</v>
      </c>
      <c r="J131" s="13">
        <v>3</v>
      </c>
      <c r="K131" s="14">
        <f t="shared" si="2"/>
        <v>3</v>
      </c>
      <c r="L131" s="5" t="str">
        <f t="shared" si="3"/>
        <v>MEDIUM</v>
      </c>
      <c r="M131" s="4" t="s">
        <v>1780</v>
      </c>
      <c r="N131" s="8" t="b">
        <v>0</v>
      </c>
      <c r="O131" s="6" t="s">
        <v>1781</v>
      </c>
      <c r="P131" s="6" t="s">
        <v>1840</v>
      </c>
      <c r="Q131" s="6"/>
      <c r="R131" s="9" t="b">
        <v>1</v>
      </c>
      <c r="S131" s="6" t="s">
        <v>137</v>
      </c>
      <c r="T131" s="6" t="s">
        <v>1898</v>
      </c>
      <c r="U131" s="9" t="b">
        <v>1</v>
      </c>
    </row>
    <row r="132" spans="1:21" ht="30">
      <c r="A132" s="7" t="s">
        <v>132</v>
      </c>
      <c r="B132" s="15">
        <v>46030</v>
      </c>
      <c r="C132" s="5" t="s">
        <v>134</v>
      </c>
      <c r="D132" s="14">
        <v>3</v>
      </c>
      <c r="E132" s="5" t="s">
        <v>1714</v>
      </c>
      <c r="F132" s="5" t="s">
        <v>1774</v>
      </c>
      <c r="G132" s="13">
        <v>22</v>
      </c>
      <c r="H132" s="13">
        <v>16</v>
      </c>
      <c r="I132" s="13">
        <v>3</v>
      </c>
      <c r="J132" s="13">
        <v>1</v>
      </c>
      <c r="K132" s="14">
        <f t="shared" ref="K132:K195" si="4">IF(AND(R132=TRUE,U132=TRUE,ISNUMBER(I132),I132=INT(I132),I132&gt;=1,I132&lt;=3,ISNUMBER(J132),J132=INT(J132),J132&gt;=1,J132&lt;=3),I132*J132,"")</f>
        <v>3</v>
      </c>
      <c r="L132" s="5" t="str">
        <f t="shared" ref="L132:L195" si="5">IF(K132="","",IF(K132&lt;=2,"LOW",IF(K132&lt;=4,"MEDIUM","HIGH")))</f>
        <v>MEDIUM</v>
      </c>
      <c r="M132" s="4" t="s">
        <v>1716</v>
      </c>
      <c r="N132" s="8" t="b">
        <v>0</v>
      </c>
      <c r="O132" s="6" t="s">
        <v>1717</v>
      </c>
      <c r="P132" s="6" t="s">
        <v>1775</v>
      </c>
      <c r="Q132" s="6"/>
      <c r="R132" s="9" t="b">
        <v>1</v>
      </c>
      <c r="S132" s="6" t="s">
        <v>137</v>
      </c>
      <c r="T132" s="6" t="s">
        <v>1899</v>
      </c>
      <c r="U132" s="9" t="b">
        <v>1</v>
      </c>
    </row>
    <row r="133" spans="1:21" ht="30">
      <c r="A133" s="7" t="s">
        <v>132</v>
      </c>
      <c r="B133" s="15">
        <v>46030</v>
      </c>
      <c r="C133" s="5" t="s">
        <v>134</v>
      </c>
      <c r="D133" s="14">
        <v>4</v>
      </c>
      <c r="E133" s="5" t="s">
        <v>1720</v>
      </c>
      <c r="F133" s="5" t="s">
        <v>1753</v>
      </c>
      <c r="G133" s="13">
        <v>2</v>
      </c>
      <c r="H133" s="13">
        <v>23</v>
      </c>
      <c r="I133" s="13">
        <v>2</v>
      </c>
      <c r="J133" s="13">
        <v>2</v>
      </c>
      <c r="K133" s="14">
        <f t="shared" si="4"/>
        <v>4</v>
      </c>
      <c r="L133" s="5" t="str">
        <f t="shared" si="5"/>
        <v>MEDIUM</v>
      </c>
      <c r="M133" s="4" t="s">
        <v>1722</v>
      </c>
      <c r="N133" s="8" t="b">
        <v>0</v>
      </c>
      <c r="O133" s="6" t="s">
        <v>1723</v>
      </c>
      <c r="P133" s="6" t="s">
        <v>1754</v>
      </c>
      <c r="Q133" s="6"/>
      <c r="R133" s="9" t="b">
        <v>1</v>
      </c>
      <c r="S133" s="6" t="s">
        <v>137</v>
      </c>
      <c r="T133" s="6" t="s">
        <v>1900</v>
      </c>
      <c r="U133" s="9" t="b">
        <v>1</v>
      </c>
    </row>
    <row r="134" spans="1:21" ht="30">
      <c r="A134" s="7" t="s">
        <v>132</v>
      </c>
      <c r="B134" s="15">
        <v>46030</v>
      </c>
      <c r="C134" s="5" t="s">
        <v>134</v>
      </c>
      <c r="D134" s="14">
        <v>5</v>
      </c>
      <c r="E134" s="5" t="s">
        <v>1720</v>
      </c>
      <c r="F134" s="5" t="s">
        <v>1721</v>
      </c>
      <c r="G134" s="13">
        <v>5</v>
      </c>
      <c r="H134" s="13">
        <v>30</v>
      </c>
      <c r="I134" s="13">
        <v>1</v>
      </c>
      <c r="J134" s="13">
        <v>3</v>
      </c>
      <c r="K134" s="14">
        <f t="shared" si="4"/>
        <v>3</v>
      </c>
      <c r="L134" s="5" t="str">
        <f t="shared" si="5"/>
        <v>MEDIUM</v>
      </c>
      <c r="M134" s="4" t="s">
        <v>1722</v>
      </c>
      <c r="N134" s="8" t="b">
        <v>0</v>
      </c>
      <c r="O134" s="6" t="s">
        <v>1723</v>
      </c>
      <c r="P134" s="6" t="s">
        <v>1724</v>
      </c>
      <c r="Q134" s="6"/>
      <c r="R134" s="9" t="b">
        <v>1</v>
      </c>
      <c r="S134" s="6" t="s">
        <v>137</v>
      </c>
      <c r="T134" s="6" t="s">
        <v>1901</v>
      </c>
      <c r="U134" s="9" t="b">
        <v>1</v>
      </c>
    </row>
    <row r="135" spans="1:21" ht="30">
      <c r="A135" s="7" t="s">
        <v>132</v>
      </c>
      <c r="B135" s="15">
        <v>46030</v>
      </c>
      <c r="C135" s="5" t="s">
        <v>134</v>
      </c>
      <c r="D135" s="14">
        <v>6</v>
      </c>
      <c r="E135" s="5" t="s">
        <v>1708</v>
      </c>
      <c r="F135" s="5" t="s">
        <v>1735</v>
      </c>
      <c r="G135" s="13">
        <v>8</v>
      </c>
      <c r="H135" s="13">
        <v>6</v>
      </c>
      <c r="I135" s="13">
        <v>3</v>
      </c>
      <c r="J135" s="13">
        <v>1</v>
      </c>
      <c r="K135" s="14">
        <f t="shared" si="4"/>
        <v>3</v>
      </c>
      <c r="L135" s="5" t="str">
        <f t="shared" si="5"/>
        <v>MEDIUM</v>
      </c>
      <c r="M135" s="4" t="s">
        <v>1710</v>
      </c>
      <c r="N135" s="8" t="b">
        <v>0</v>
      </c>
      <c r="O135" s="6" t="s">
        <v>1711</v>
      </c>
      <c r="P135" s="6" t="s">
        <v>1736</v>
      </c>
      <c r="Q135" s="6"/>
      <c r="R135" s="9" t="b">
        <v>1</v>
      </c>
      <c r="S135" s="6" t="s">
        <v>137</v>
      </c>
      <c r="T135" s="6" t="s">
        <v>1902</v>
      </c>
      <c r="U135" s="9" t="b">
        <v>1</v>
      </c>
    </row>
    <row r="136" spans="1:21" ht="30">
      <c r="A136" s="7" t="s">
        <v>138</v>
      </c>
      <c r="B136" s="15">
        <v>46064</v>
      </c>
      <c r="C136" s="5" t="s">
        <v>140</v>
      </c>
      <c r="D136" s="14">
        <v>1</v>
      </c>
      <c r="E136" s="5" t="s">
        <v>1699</v>
      </c>
      <c r="F136" s="5" t="s">
        <v>1700</v>
      </c>
      <c r="G136" s="13">
        <v>11</v>
      </c>
      <c r="H136" s="13">
        <v>7</v>
      </c>
      <c r="I136" s="13">
        <v>3</v>
      </c>
      <c r="J136" s="13">
        <v>3</v>
      </c>
      <c r="K136" s="14">
        <f t="shared" si="4"/>
        <v>9</v>
      </c>
      <c r="L136" s="5" t="str">
        <f t="shared" si="5"/>
        <v>HIGH</v>
      </c>
      <c r="M136" s="4" t="s">
        <v>1701</v>
      </c>
      <c r="N136" s="8" t="b">
        <v>0</v>
      </c>
      <c r="O136" s="6" t="s">
        <v>1702</v>
      </c>
      <c r="P136" s="6" t="s">
        <v>1703</v>
      </c>
      <c r="Q136" s="6"/>
      <c r="R136" s="9" t="b">
        <v>1</v>
      </c>
      <c r="S136" s="6" t="s">
        <v>143</v>
      </c>
      <c r="T136" s="6" t="s">
        <v>1903</v>
      </c>
      <c r="U136" s="9" t="b">
        <v>1</v>
      </c>
    </row>
    <row r="137" spans="1:21" ht="30">
      <c r="A137" s="7" t="s">
        <v>138</v>
      </c>
      <c r="B137" s="15">
        <v>46064</v>
      </c>
      <c r="C137" s="5" t="s">
        <v>140</v>
      </c>
      <c r="D137" s="14">
        <v>2</v>
      </c>
      <c r="E137" s="5" t="s">
        <v>1699</v>
      </c>
      <c r="F137" s="5" t="s">
        <v>1705</v>
      </c>
      <c r="G137" s="13">
        <v>14</v>
      </c>
      <c r="H137" s="13">
        <v>14</v>
      </c>
      <c r="I137" s="13">
        <v>3</v>
      </c>
      <c r="J137" s="13">
        <v>2</v>
      </c>
      <c r="K137" s="14">
        <f t="shared" si="4"/>
        <v>6</v>
      </c>
      <c r="L137" s="5" t="str">
        <f t="shared" si="5"/>
        <v>HIGH</v>
      </c>
      <c r="M137" s="4" t="s">
        <v>1701</v>
      </c>
      <c r="N137" s="8" t="b">
        <v>1</v>
      </c>
      <c r="O137" s="6" t="s">
        <v>1702</v>
      </c>
      <c r="P137" s="6" t="s">
        <v>1706</v>
      </c>
      <c r="Q137" s="6"/>
      <c r="R137" s="9" t="b">
        <v>1</v>
      </c>
      <c r="S137" s="6" t="s">
        <v>143</v>
      </c>
      <c r="T137" s="6" t="s">
        <v>1904</v>
      </c>
      <c r="U137" s="9" t="b">
        <v>1</v>
      </c>
    </row>
    <row r="138" spans="1:21" ht="30">
      <c r="A138" s="7" t="s">
        <v>138</v>
      </c>
      <c r="B138" s="15">
        <v>46064</v>
      </c>
      <c r="C138" s="5" t="s">
        <v>140</v>
      </c>
      <c r="D138" s="14">
        <v>3</v>
      </c>
      <c r="E138" s="5" t="s">
        <v>1708</v>
      </c>
      <c r="F138" s="5" t="s">
        <v>1709</v>
      </c>
      <c r="G138" s="13">
        <v>17</v>
      </c>
      <c r="H138" s="13">
        <v>21</v>
      </c>
      <c r="I138" s="13">
        <v>2</v>
      </c>
      <c r="J138" s="13">
        <v>3</v>
      </c>
      <c r="K138" s="14">
        <f t="shared" si="4"/>
        <v>6</v>
      </c>
      <c r="L138" s="5" t="str">
        <f t="shared" si="5"/>
        <v>HIGH</v>
      </c>
      <c r="M138" s="4" t="s">
        <v>1710</v>
      </c>
      <c r="N138" s="8" t="b">
        <v>0</v>
      </c>
      <c r="O138" s="6" t="s">
        <v>1711</v>
      </c>
      <c r="P138" s="6" t="s">
        <v>1712</v>
      </c>
      <c r="Q138" s="6"/>
      <c r="R138" s="9" t="b">
        <v>1</v>
      </c>
      <c r="S138" s="6" t="s">
        <v>143</v>
      </c>
      <c r="T138" s="6" t="s">
        <v>1905</v>
      </c>
      <c r="U138" s="9" t="b">
        <v>1</v>
      </c>
    </row>
    <row r="139" spans="1:21" ht="30">
      <c r="A139" s="7" t="s">
        <v>138</v>
      </c>
      <c r="B139" s="15">
        <v>46064</v>
      </c>
      <c r="C139" s="5" t="s">
        <v>140</v>
      </c>
      <c r="D139" s="14">
        <v>4</v>
      </c>
      <c r="E139" s="5" t="s">
        <v>1714</v>
      </c>
      <c r="F139" s="5" t="s">
        <v>1715</v>
      </c>
      <c r="G139" s="13">
        <v>20</v>
      </c>
      <c r="H139" s="13">
        <v>28</v>
      </c>
      <c r="I139" s="13">
        <v>3</v>
      </c>
      <c r="J139" s="13">
        <v>3</v>
      </c>
      <c r="K139" s="14">
        <f t="shared" si="4"/>
        <v>9</v>
      </c>
      <c r="L139" s="5" t="str">
        <f t="shared" si="5"/>
        <v>HIGH</v>
      </c>
      <c r="M139" s="4" t="s">
        <v>1716</v>
      </c>
      <c r="N139" s="8" t="b">
        <v>0</v>
      </c>
      <c r="O139" s="6" t="s">
        <v>1717</v>
      </c>
      <c r="P139" s="6" t="s">
        <v>1718</v>
      </c>
      <c r="Q139" s="6"/>
      <c r="R139" s="9" t="b">
        <v>1</v>
      </c>
      <c r="S139" s="6" t="s">
        <v>143</v>
      </c>
      <c r="T139" s="6" t="s">
        <v>1906</v>
      </c>
      <c r="U139" s="9" t="b">
        <v>1</v>
      </c>
    </row>
    <row r="140" spans="1:21" ht="30">
      <c r="A140" s="7" t="s">
        <v>138</v>
      </c>
      <c r="B140" s="15">
        <v>46064</v>
      </c>
      <c r="C140" s="5" t="s">
        <v>140</v>
      </c>
      <c r="D140" s="14">
        <v>5</v>
      </c>
      <c r="E140" s="5" t="s">
        <v>1714</v>
      </c>
      <c r="F140" s="5" t="s">
        <v>1771</v>
      </c>
      <c r="G140" s="13">
        <v>23</v>
      </c>
      <c r="H140" s="13">
        <v>4</v>
      </c>
      <c r="I140" s="13">
        <v>3</v>
      </c>
      <c r="J140" s="13">
        <v>2</v>
      </c>
      <c r="K140" s="14">
        <f t="shared" si="4"/>
        <v>6</v>
      </c>
      <c r="L140" s="5" t="str">
        <f t="shared" si="5"/>
        <v>HIGH</v>
      </c>
      <c r="M140" s="4" t="s">
        <v>1716</v>
      </c>
      <c r="N140" s="8" t="b">
        <v>1</v>
      </c>
      <c r="O140" s="6" t="s">
        <v>1717</v>
      </c>
      <c r="P140" s="6" t="s">
        <v>1772</v>
      </c>
      <c r="Q140" s="6"/>
      <c r="R140" s="9" t="b">
        <v>1</v>
      </c>
      <c r="S140" s="6" t="s">
        <v>143</v>
      </c>
      <c r="T140" s="6" t="s">
        <v>1907</v>
      </c>
      <c r="U140" s="9" t="b">
        <v>1</v>
      </c>
    </row>
    <row r="141" spans="1:21" ht="30">
      <c r="A141" s="7" t="s">
        <v>138</v>
      </c>
      <c r="B141" s="15">
        <v>46064</v>
      </c>
      <c r="C141" s="5" t="s">
        <v>140</v>
      </c>
      <c r="D141" s="14">
        <v>6</v>
      </c>
      <c r="E141" s="5" t="s">
        <v>1720</v>
      </c>
      <c r="F141" s="5" t="s">
        <v>1721</v>
      </c>
      <c r="G141" s="13">
        <v>26</v>
      </c>
      <c r="H141" s="13">
        <v>11</v>
      </c>
      <c r="I141" s="13">
        <v>2</v>
      </c>
      <c r="J141" s="13">
        <v>3</v>
      </c>
      <c r="K141" s="14">
        <f t="shared" si="4"/>
        <v>6</v>
      </c>
      <c r="L141" s="5" t="str">
        <f t="shared" si="5"/>
        <v>HIGH</v>
      </c>
      <c r="M141" s="4" t="s">
        <v>1722</v>
      </c>
      <c r="N141" s="8" t="b">
        <v>0</v>
      </c>
      <c r="O141" s="6" t="s">
        <v>1723</v>
      </c>
      <c r="P141" s="6" t="s">
        <v>1724</v>
      </c>
      <c r="Q141" s="6"/>
      <c r="R141" s="9" t="b">
        <v>1</v>
      </c>
      <c r="S141" s="6" t="s">
        <v>143</v>
      </c>
      <c r="T141" s="6" t="s">
        <v>1908</v>
      </c>
      <c r="U141" s="9" t="b">
        <v>1</v>
      </c>
    </row>
    <row r="142" spans="1:21" ht="30">
      <c r="A142" s="7" t="s">
        <v>138</v>
      </c>
      <c r="B142" s="15">
        <v>46064</v>
      </c>
      <c r="C142" s="5" t="s">
        <v>140</v>
      </c>
      <c r="D142" s="14">
        <v>7</v>
      </c>
      <c r="E142" s="5" t="s">
        <v>1745</v>
      </c>
      <c r="F142" s="5" t="s">
        <v>1746</v>
      </c>
      <c r="G142" s="13">
        <v>29</v>
      </c>
      <c r="H142" s="13">
        <v>18</v>
      </c>
      <c r="I142" s="13">
        <v>3</v>
      </c>
      <c r="J142" s="13">
        <v>3</v>
      </c>
      <c r="K142" s="14">
        <f t="shared" si="4"/>
        <v>9</v>
      </c>
      <c r="L142" s="5" t="str">
        <f t="shared" si="5"/>
        <v>HIGH</v>
      </c>
      <c r="M142" s="4" t="s">
        <v>1747</v>
      </c>
      <c r="N142" s="8" t="b">
        <v>0</v>
      </c>
      <c r="O142" s="6" t="s">
        <v>1748</v>
      </c>
      <c r="P142" s="6" t="s">
        <v>1749</v>
      </c>
      <c r="Q142" s="6"/>
      <c r="R142" s="9" t="b">
        <v>1</v>
      </c>
      <c r="S142" s="6" t="s">
        <v>143</v>
      </c>
      <c r="T142" s="6" t="s">
        <v>1909</v>
      </c>
      <c r="U142" s="9" t="b">
        <v>1</v>
      </c>
    </row>
    <row r="143" spans="1:21" ht="30">
      <c r="A143" s="7" t="s">
        <v>138</v>
      </c>
      <c r="B143" s="15">
        <v>46064</v>
      </c>
      <c r="C143" s="5" t="s">
        <v>140</v>
      </c>
      <c r="D143" s="14">
        <v>8</v>
      </c>
      <c r="E143" s="5" t="s">
        <v>1708</v>
      </c>
      <c r="F143" s="5" t="s">
        <v>1835</v>
      </c>
      <c r="G143" s="13">
        <v>2</v>
      </c>
      <c r="H143" s="13">
        <v>25</v>
      </c>
      <c r="I143" s="13">
        <v>3</v>
      </c>
      <c r="J143" s="13">
        <v>2</v>
      </c>
      <c r="K143" s="14">
        <f t="shared" si="4"/>
        <v>6</v>
      </c>
      <c r="L143" s="5" t="str">
        <f t="shared" si="5"/>
        <v>HIGH</v>
      </c>
      <c r="M143" s="4" t="s">
        <v>1710</v>
      </c>
      <c r="N143" s="8" t="b">
        <v>1</v>
      </c>
      <c r="O143" s="6" t="s">
        <v>1711</v>
      </c>
      <c r="P143" s="6" t="s">
        <v>1836</v>
      </c>
      <c r="Q143" s="6" t="s">
        <v>1835</v>
      </c>
      <c r="R143" s="9" t="b">
        <v>1</v>
      </c>
      <c r="S143" s="6" t="s">
        <v>143</v>
      </c>
      <c r="T143" s="6" t="s">
        <v>1910</v>
      </c>
      <c r="U143" s="9" t="b">
        <v>1</v>
      </c>
    </row>
    <row r="144" spans="1:21" ht="30">
      <c r="A144" s="7" t="s">
        <v>144</v>
      </c>
      <c r="B144" s="15">
        <v>46095</v>
      </c>
      <c r="C144" s="5" t="s">
        <v>146</v>
      </c>
      <c r="D144" s="14">
        <v>1</v>
      </c>
      <c r="E144" s="5" t="s">
        <v>1699</v>
      </c>
      <c r="F144" s="5" t="s">
        <v>1705</v>
      </c>
      <c r="G144" s="13">
        <v>6</v>
      </c>
      <c r="H144" s="13">
        <v>12</v>
      </c>
      <c r="I144" s="13">
        <v>1</v>
      </c>
      <c r="J144" s="13">
        <v>3</v>
      </c>
      <c r="K144" s="14">
        <f t="shared" si="4"/>
        <v>3</v>
      </c>
      <c r="L144" s="5" t="str">
        <f t="shared" si="5"/>
        <v>MEDIUM</v>
      </c>
      <c r="M144" s="4" t="s">
        <v>1701</v>
      </c>
      <c r="N144" s="8" t="b">
        <v>0</v>
      </c>
      <c r="O144" s="6" t="s">
        <v>1702</v>
      </c>
      <c r="P144" s="6" t="s">
        <v>1706</v>
      </c>
      <c r="Q144" s="6"/>
      <c r="R144" s="9" t="b">
        <v>1</v>
      </c>
      <c r="S144" s="6" t="s">
        <v>149</v>
      </c>
      <c r="T144" s="6" t="s">
        <v>1911</v>
      </c>
      <c r="U144" s="9" t="b">
        <v>1</v>
      </c>
    </row>
    <row r="145" spans="1:21" ht="30">
      <c r="A145" s="7" t="s">
        <v>144</v>
      </c>
      <c r="B145" s="15">
        <v>46095</v>
      </c>
      <c r="C145" s="5" t="s">
        <v>146</v>
      </c>
      <c r="D145" s="14">
        <v>2</v>
      </c>
      <c r="E145" s="5" t="s">
        <v>1699</v>
      </c>
      <c r="F145" s="5" t="s">
        <v>1700</v>
      </c>
      <c r="G145" s="13">
        <v>9</v>
      </c>
      <c r="H145" s="13">
        <v>19</v>
      </c>
      <c r="I145" s="13">
        <v>3</v>
      </c>
      <c r="J145" s="13">
        <v>1</v>
      </c>
      <c r="K145" s="14">
        <f t="shared" si="4"/>
        <v>3</v>
      </c>
      <c r="L145" s="5" t="str">
        <f t="shared" si="5"/>
        <v>MEDIUM</v>
      </c>
      <c r="M145" s="4" t="s">
        <v>1701</v>
      </c>
      <c r="N145" s="8" t="b">
        <v>0</v>
      </c>
      <c r="O145" s="6" t="s">
        <v>1702</v>
      </c>
      <c r="P145" s="6" t="s">
        <v>1703</v>
      </c>
      <c r="Q145" s="6"/>
      <c r="R145" s="9" t="b">
        <v>1</v>
      </c>
      <c r="S145" s="6" t="s">
        <v>149</v>
      </c>
      <c r="T145" s="6" t="s">
        <v>1912</v>
      </c>
      <c r="U145" s="9" t="b">
        <v>1</v>
      </c>
    </row>
    <row r="146" spans="1:21" ht="30">
      <c r="A146" s="7" t="s">
        <v>144</v>
      </c>
      <c r="B146" s="15">
        <v>46095</v>
      </c>
      <c r="C146" s="5" t="s">
        <v>146</v>
      </c>
      <c r="D146" s="14">
        <v>3</v>
      </c>
      <c r="E146" s="5" t="s">
        <v>1708</v>
      </c>
      <c r="F146" s="5" t="s">
        <v>1709</v>
      </c>
      <c r="G146" s="13">
        <v>12</v>
      </c>
      <c r="H146" s="13">
        <v>26</v>
      </c>
      <c r="I146" s="13">
        <v>2</v>
      </c>
      <c r="J146" s="13">
        <v>2</v>
      </c>
      <c r="K146" s="14">
        <f t="shared" si="4"/>
        <v>4</v>
      </c>
      <c r="L146" s="5" t="str">
        <f t="shared" si="5"/>
        <v>MEDIUM</v>
      </c>
      <c r="M146" s="4" t="s">
        <v>1710</v>
      </c>
      <c r="N146" s="8" t="b">
        <v>0</v>
      </c>
      <c r="O146" s="6" t="s">
        <v>1711</v>
      </c>
      <c r="P146" s="6" t="s">
        <v>1712</v>
      </c>
      <c r="Q146" s="6"/>
      <c r="R146" s="9" t="b">
        <v>1</v>
      </c>
      <c r="S146" s="6" t="s">
        <v>149</v>
      </c>
      <c r="T146" s="6" t="s">
        <v>1913</v>
      </c>
      <c r="U146" s="9" t="b">
        <v>1</v>
      </c>
    </row>
    <row r="147" spans="1:21" ht="30">
      <c r="A147" s="7" t="s">
        <v>144</v>
      </c>
      <c r="B147" s="15">
        <v>46095</v>
      </c>
      <c r="C147" s="5" t="s">
        <v>146</v>
      </c>
      <c r="D147" s="14">
        <v>4</v>
      </c>
      <c r="E147" s="5" t="s">
        <v>1765</v>
      </c>
      <c r="F147" s="5" t="s">
        <v>1766</v>
      </c>
      <c r="G147" s="13">
        <v>15</v>
      </c>
      <c r="H147" s="13">
        <v>2</v>
      </c>
      <c r="I147" s="13">
        <v>1</v>
      </c>
      <c r="J147" s="13">
        <v>3</v>
      </c>
      <c r="K147" s="14">
        <f t="shared" si="4"/>
        <v>3</v>
      </c>
      <c r="L147" s="5" t="str">
        <f t="shared" si="5"/>
        <v>MEDIUM</v>
      </c>
      <c r="M147" s="4" t="s">
        <v>1767</v>
      </c>
      <c r="N147" s="8" t="b">
        <v>0</v>
      </c>
      <c r="O147" s="6" t="s">
        <v>1768</v>
      </c>
      <c r="P147" s="6" t="s">
        <v>1769</v>
      </c>
      <c r="Q147" s="6"/>
      <c r="R147" s="9" t="b">
        <v>1</v>
      </c>
      <c r="S147" s="6" t="s">
        <v>149</v>
      </c>
      <c r="T147" s="6" t="s">
        <v>1914</v>
      </c>
      <c r="U147" s="9" t="b">
        <v>1</v>
      </c>
    </row>
    <row r="148" spans="1:21" ht="30">
      <c r="A148" s="7" t="s">
        <v>144</v>
      </c>
      <c r="B148" s="15">
        <v>46095</v>
      </c>
      <c r="C148" s="5" t="s">
        <v>146</v>
      </c>
      <c r="D148" s="14">
        <v>5</v>
      </c>
      <c r="E148" s="5" t="s">
        <v>1714</v>
      </c>
      <c r="F148" s="5" t="s">
        <v>1788</v>
      </c>
      <c r="G148" s="13">
        <v>18</v>
      </c>
      <c r="H148" s="13">
        <v>9</v>
      </c>
      <c r="I148" s="13">
        <v>3</v>
      </c>
      <c r="J148" s="13">
        <v>1</v>
      </c>
      <c r="K148" s="14">
        <f t="shared" si="4"/>
        <v>3</v>
      </c>
      <c r="L148" s="5" t="str">
        <f t="shared" si="5"/>
        <v>MEDIUM</v>
      </c>
      <c r="M148" s="4" t="s">
        <v>1716</v>
      </c>
      <c r="N148" s="8" t="b">
        <v>0</v>
      </c>
      <c r="O148" s="6" t="s">
        <v>1717</v>
      </c>
      <c r="P148" s="6" t="s">
        <v>1789</v>
      </c>
      <c r="Q148" s="6"/>
      <c r="R148" s="9" t="b">
        <v>1</v>
      </c>
      <c r="S148" s="6" t="s">
        <v>149</v>
      </c>
      <c r="T148" s="6" t="s">
        <v>1915</v>
      </c>
      <c r="U148" s="9" t="b">
        <v>1</v>
      </c>
    </row>
    <row r="149" spans="1:21" ht="30">
      <c r="A149" s="7" t="s">
        <v>144</v>
      </c>
      <c r="B149" s="15">
        <v>46095</v>
      </c>
      <c r="C149" s="5" t="s">
        <v>146</v>
      </c>
      <c r="D149" s="14">
        <v>6</v>
      </c>
      <c r="E149" s="5" t="s">
        <v>1778</v>
      </c>
      <c r="F149" s="5" t="s">
        <v>1791</v>
      </c>
      <c r="G149" s="13">
        <v>21</v>
      </c>
      <c r="H149" s="13">
        <v>16</v>
      </c>
      <c r="I149" s="13">
        <v>2</v>
      </c>
      <c r="J149" s="13">
        <v>2</v>
      </c>
      <c r="K149" s="14">
        <f t="shared" si="4"/>
        <v>4</v>
      </c>
      <c r="L149" s="5" t="str">
        <f t="shared" si="5"/>
        <v>MEDIUM</v>
      </c>
      <c r="M149" s="4" t="s">
        <v>1780</v>
      </c>
      <c r="N149" s="8" t="b">
        <v>0</v>
      </c>
      <c r="O149" s="6" t="s">
        <v>1781</v>
      </c>
      <c r="P149" s="6" t="s">
        <v>1792</v>
      </c>
      <c r="Q149" s="6"/>
      <c r="R149" s="9" t="b">
        <v>1</v>
      </c>
      <c r="S149" s="6" t="s">
        <v>149</v>
      </c>
      <c r="T149" s="6" t="s">
        <v>1916</v>
      </c>
      <c r="U149" s="9" t="b">
        <v>1</v>
      </c>
    </row>
    <row r="150" spans="1:21" ht="45">
      <c r="A150" s="7" t="s">
        <v>144</v>
      </c>
      <c r="B150" s="15">
        <v>46095</v>
      </c>
      <c r="C150" s="5" t="s">
        <v>146</v>
      </c>
      <c r="D150" s="14">
        <v>7</v>
      </c>
      <c r="E150" s="5" t="s">
        <v>1729</v>
      </c>
      <c r="F150" s="5" t="s">
        <v>1730</v>
      </c>
      <c r="G150" s="13">
        <v>24</v>
      </c>
      <c r="H150" s="13">
        <v>23</v>
      </c>
      <c r="I150" s="13">
        <v>1</v>
      </c>
      <c r="J150" s="13">
        <v>3</v>
      </c>
      <c r="K150" s="14">
        <f t="shared" si="4"/>
        <v>3</v>
      </c>
      <c r="L150" s="5" t="str">
        <f t="shared" si="5"/>
        <v>MEDIUM</v>
      </c>
      <c r="M150" s="4" t="s">
        <v>1731</v>
      </c>
      <c r="N150" s="8" t="b">
        <v>0</v>
      </c>
      <c r="O150" s="6" t="s">
        <v>1732</v>
      </c>
      <c r="P150" s="6" t="s">
        <v>1733</v>
      </c>
      <c r="Q150" s="6"/>
      <c r="R150" s="9" t="b">
        <v>1</v>
      </c>
      <c r="S150" s="6" t="s">
        <v>149</v>
      </c>
      <c r="T150" s="6" t="s">
        <v>1917</v>
      </c>
      <c r="U150" s="9" t="b">
        <v>1</v>
      </c>
    </row>
    <row r="151" spans="1:21" ht="30">
      <c r="A151" s="7" t="s">
        <v>144</v>
      </c>
      <c r="B151" s="15">
        <v>46095</v>
      </c>
      <c r="C151" s="5" t="s">
        <v>146</v>
      </c>
      <c r="D151" s="14">
        <v>8</v>
      </c>
      <c r="E151" s="5" t="s">
        <v>1720</v>
      </c>
      <c r="F151" s="5" t="s">
        <v>1726</v>
      </c>
      <c r="G151" s="13">
        <v>27</v>
      </c>
      <c r="H151" s="13">
        <v>30</v>
      </c>
      <c r="I151" s="13">
        <v>3</v>
      </c>
      <c r="J151" s="13">
        <v>1</v>
      </c>
      <c r="K151" s="14">
        <f t="shared" si="4"/>
        <v>3</v>
      </c>
      <c r="L151" s="5" t="str">
        <f t="shared" si="5"/>
        <v>MEDIUM</v>
      </c>
      <c r="M151" s="4" t="s">
        <v>1722</v>
      </c>
      <c r="N151" s="8" t="b">
        <v>0</v>
      </c>
      <c r="O151" s="6" t="s">
        <v>1723</v>
      </c>
      <c r="P151" s="6" t="s">
        <v>1727</v>
      </c>
      <c r="Q151" s="6"/>
      <c r="R151" s="9" t="b">
        <v>1</v>
      </c>
      <c r="S151" s="6" t="s">
        <v>149</v>
      </c>
      <c r="T151" s="6" t="s">
        <v>1918</v>
      </c>
      <c r="U151" s="9" t="b">
        <v>1</v>
      </c>
    </row>
    <row r="152" spans="1:21" ht="30">
      <c r="A152" s="7" t="s">
        <v>150</v>
      </c>
      <c r="B152" s="15">
        <v>46129</v>
      </c>
      <c r="C152" s="5" t="s">
        <v>152</v>
      </c>
      <c r="D152" s="14">
        <v>1</v>
      </c>
      <c r="E152" s="5" t="s">
        <v>1699</v>
      </c>
      <c r="F152" s="5" t="s">
        <v>1705</v>
      </c>
      <c r="G152" s="13">
        <v>1</v>
      </c>
      <c r="H152" s="13">
        <v>17</v>
      </c>
      <c r="I152" s="13">
        <v>3</v>
      </c>
      <c r="J152" s="13">
        <v>2</v>
      </c>
      <c r="K152" s="14">
        <f t="shared" si="4"/>
        <v>6</v>
      </c>
      <c r="L152" s="5" t="str">
        <f t="shared" si="5"/>
        <v>HIGH</v>
      </c>
      <c r="M152" s="4" t="s">
        <v>1701</v>
      </c>
      <c r="N152" s="8" t="b">
        <v>0</v>
      </c>
      <c r="O152" s="6" t="s">
        <v>1702</v>
      </c>
      <c r="P152" s="6" t="s">
        <v>1706</v>
      </c>
      <c r="Q152" s="6"/>
      <c r="R152" s="9" t="b">
        <v>1</v>
      </c>
      <c r="S152" s="6" t="s">
        <v>155</v>
      </c>
      <c r="T152" s="6" t="s">
        <v>1919</v>
      </c>
      <c r="U152" s="9" t="b">
        <v>1</v>
      </c>
    </row>
    <row r="153" spans="1:21" ht="30">
      <c r="A153" s="7" t="s">
        <v>150</v>
      </c>
      <c r="B153" s="15">
        <v>46129</v>
      </c>
      <c r="C153" s="5" t="s">
        <v>152</v>
      </c>
      <c r="D153" s="14">
        <v>2</v>
      </c>
      <c r="E153" s="5" t="s">
        <v>1699</v>
      </c>
      <c r="F153" s="5" t="s">
        <v>1700</v>
      </c>
      <c r="G153" s="13">
        <v>4</v>
      </c>
      <c r="H153" s="13">
        <v>24</v>
      </c>
      <c r="I153" s="13">
        <v>2</v>
      </c>
      <c r="J153" s="13">
        <v>3</v>
      </c>
      <c r="K153" s="14">
        <f t="shared" si="4"/>
        <v>6</v>
      </c>
      <c r="L153" s="5" t="str">
        <f t="shared" si="5"/>
        <v>HIGH</v>
      </c>
      <c r="M153" s="4" t="s">
        <v>1701</v>
      </c>
      <c r="N153" s="8" t="b">
        <v>0</v>
      </c>
      <c r="O153" s="6" t="s">
        <v>1702</v>
      </c>
      <c r="P153" s="6" t="s">
        <v>1703</v>
      </c>
      <c r="Q153" s="6"/>
      <c r="R153" s="9" t="b">
        <v>1</v>
      </c>
      <c r="S153" s="6" t="s">
        <v>155</v>
      </c>
      <c r="T153" s="6" t="s">
        <v>1920</v>
      </c>
      <c r="U153" s="9" t="b">
        <v>1</v>
      </c>
    </row>
    <row r="154" spans="1:21" ht="30">
      <c r="A154" s="7" t="s">
        <v>150</v>
      </c>
      <c r="B154" s="15">
        <v>46129</v>
      </c>
      <c r="C154" s="5" t="s">
        <v>152</v>
      </c>
      <c r="D154" s="14">
        <v>3</v>
      </c>
      <c r="E154" s="5" t="s">
        <v>1708</v>
      </c>
      <c r="F154" s="5" t="s">
        <v>1709</v>
      </c>
      <c r="G154" s="13">
        <v>7</v>
      </c>
      <c r="H154" s="13">
        <v>0</v>
      </c>
      <c r="I154" s="13">
        <v>3</v>
      </c>
      <c r="J154" s="13">
        <v>3</v>
      </c>
      <c r="K154" s="14">
        <f t="shared" si="4"/>
        <v>9</v>
      </c>
      <c r="L154" s="5" t="str">
        <f t="shared" si="5"/>
        <v>HIGH</v>
      </c>
      <c r="M154" s="4" t="s">
        <v>1710</v>
      </c>
      <c r="N154" s="8" t="b">
        <v>1</v>
      </c>
      <c r="O154" s="6" t="s">
        <v>1711</v>
      </c>
      <c r="P154" s="6" t="s">
        <v>1712</v>
      </c>
      <c r="Q154" s="6"/>
      <c r="R154" s="9" t="b">
        <v>1</v>
      </c>
      <c r="S154" s="6" t="s">
        <v>155</v>
      </c>
      <c r="T154" s="6" t="s">
        <v>1921</v>
      </c>
      <c r="U154" s="9" t="b">
        <v>1</v>
      </c>
    </row>
    <row r="155" spans="1:21" ht="30">
      <c r="A155" s="7" t="s">
        <v>150</v>
      </c>
      <c r="B155" s="15">
        <v>46129</v>
      </c>
      <c r="C155" s="5" t="s">
        <v>152</v>
      </c>
      <c r="D155" s="14">
        <v>4</v>
      </c>
      <c r="E155" s="5" t="s">
        <v>1765</v>
      </c>
      <c r="F155" s="5" t="s">
        <v>1766</v>
      </c>
      <c r="G155" s="13">
        <v>10</v>
      </c>
      <c r="H155" s="13">
        <v>7</v>
      </c>
      <c r="I155" s="13">
        <v>3</v>
      </c>
      <c r="J155" s="13">
        <v>2</v>
      </c>
      <c r="K155" s="14">
        <f t="shared" si="4"/>
        <v>6</v>
      </c>
      <c r="L155" s="5" t="str">
        <f t="shared" si="5"/>
        <v>HIGH</v>
      </c>
      <c r="M155" s="4" t="s">
        <v>1767</v>
      </c>
      <c r="N155" s="8" t="b">
        <v>0</v>
      </c>
      <c r="O155" s="6" t="s">
        <v>1768</v>
      </c>
      <c r="P155" s="6" t="s">
        <v>1769</v>
      </c>
      <c r="Q155" s="6"/>
      <c r="R155" s="9" t="b">
        <v>1</v>
      </c>
      <c r="S155" s="6" t="s">
        <v>155</v>
      </c>
      <c r="T155" s="6" t="s">
        <v>1922</v>
      </c>
      <c r="U155" s="9" t="b">
        <v>1</v>
      </c>
    </row>
    <row r="156" spans="1:21" ht="30">
      <c r="A156" s="7" t="s">
        <v>150</v>
      </c>
      <c r="B156" s="15">
        <v>46129</v>
      </c>
      <c r="C156" s="5" t="s">
        <v>152</v>
      </c>
      <c r="D156" s="14">
        <v>5</v>
      </c>
      <c r="E156" s="5" t="s">
        <v>1714</v>
      </c>
      <c r="F156" s="5" t="s">
        <v>1788</v>
      </c>
      <c r="G156" s="13">
        <v>13</v>
      </c>
      <c r="H156" s="13">
        <v>14</v>
      </c>
      <c r="I156" s="13">
        <v>2</v>
      </c>
      <c r="J156" s="13">
        <v>3</v>
      </c>
      <c r="K156" s="14">
        <f t="shared" si="4"/>
        <v>6</v>
      </c>
      <c r="L156" s="5" t="str">
        <f t="shared" si="5"/>
        <v>HIGH</v>
      </c>
      <c r="M156" s="4" t="s">
        <v>1716</v>
      </c>
      <c r="N156" s="8" t="b">
        <v>0</v>
      </c>
      <c r="O156" s="6" t="s">
        <v>1717</v>
      </c>
      <c r="P156" s="6" t="s">
        <v>1789</v>
      </c>
      <c r="Q156" s="6"/>
      <c r="R156" s="9" t="b">
        <v>1</v>
      </c>
      <c r="S156" s="6" t="s">
        <v>155</v>
      </c>
      <c r="T156" s="6" t="s">
        <v>1923</v>
      </c>
      <c r="U156" s="9" t="b">
        <v>1</v>
      </c>
    </row>
    <row r="157" spans="1:21" ht="30">
      <c r="A157" s="7" t="s">
        <v>150</v>
      </c>
      <c r="B157" s="15">
        <v>46129</v>
      </c>
      <c r="C157" s="5" t="s">
        <v>152</v>
      </c>
      <c r="D157" s="14">
        <v>6</v>
      </c>
      <c r="E157" s="5" t="s">
        <v>1778</v>
      </c>
      <c r="F157" s="5" t="s">
        <v>1791</v>
      </c>
      <c r="G157" s="13">
        <v>16</v>
      </c>
      <c r="H157" s="13">
        <v>21</v>
      </c>
      <c r="I157" s="13">
        <v>3</v>
      </c>
      <c r="J157" s="13">
        <v>3</v>
      </c>
      <c r="K157" s="14">
        <f t="shared" si="4"/>
        <v>9</v>
      </c>
      <c r="L157" s="5" t="str">
        <f t="shared" si="5"/>
        <v>HIGH</v>
      </c>
      <c r="M157" s="4" t="s">
        <v>1780</v>
      </c>
      <c r="N157" s="8" t="b">
        <v>1</v>
      </c>
      <c r="O157" s="6" t="s">
        <v>1781</v>
      </c>
      <c r="P157" s="6" t="s">
        <v>1792</v>
      </c>
      <c r="Q157" s="6"/>
      <c r="R157" s="9" t="b">
        <v>1</v>
      </c>
      <c r="S157" s="6" t="s">
        <v>155</v>
      </c>
      <c r="T157" s="6" t="s">
        <v>1924</v>
      </c>
      <c r="U157" s="9" t="b">
        <v>1</v>
      </c>
    </row>
    <row r="158" spans="1:21" ht="45">
      <c r="A158" s="7" t="s">
        <v>150</v>
      </c>
      <c r="B158" s="15">
        <v>46129</v>
      </c>
      <c r="C158" s="5" t="s">
        <v>152</v>
      </c>
      <c r="D158" s="14">
        <v>7</v>
      </c>
      <c r="E158" s="5" t="s">
        <v>1729</v>
      </c>
      <c r="F158" s="5" t="s">
        <v>1730</v>
      </c>
      <c r="G158" s="13">
        <v>19</v>
      </c>
      <c r="H158" s="13">
        <v>28</v>
      </c>
      <c r="I158" s="13">
        <v>3</v>
      </c>
      <c r="J158" s="13">
        <v>2</v>
      </c>
      <c r="K158" s="14">
        <f t="shared" si="4"/>
        <v>6</v>
      </c>
      <c r="L158" s="5" t="str">
        <f t="shared" si="5"/>
        <v>HIGH</v>
      </c>
      <c r="M158" s="4" t="s">
        <v>1731</v>
      </c>
      <c r="N158" s="8" t="b">
        <v>0</v>
      </c>
      <c r="O158" s="6" t="s">
        <v>1732</v>
      </c>
      <c r="P158" s="6" t="s">
        <v>1733</v>
      </c>
      <c r="Q158" s="6"/>
      <c r="R158" s="9" t="b">
        <v>1</v>
      </c>
      <c r="S158" s="6" t="s">
        <v>155</v>
      </c>
      <c r="T158" s="6" t="s">
        <v>1925</v>
      </c>
      <c r="U158" s="9" t="b">
        <v>1</v>
      </c>
    </row>
    <row r="159" spans="1:21" ht="30">
      <c r="A159" s="7" t="s">
        <v>150</v>
      </c>
      <c r="B159" s="15">
        <v>46129</v>
      </c>
      <c r="C159" s="5" t="s">
        <v>152</v>
      </c>
      <c r="D159" s="14">
        <v>8</v>
      </c>
      <c r="E159" s="5" t="s">
        <v>1778</v>
      </c>
      <c r="F159" s="5" t="s">
        <v>1779</v>
      </c>
      <c r="G159" s="13">
        <v>22</v>
      </c>
      <c r="H159" s="13">
        <v>4</v>
      </c>
      <c r="I159" s="13">
        <v>2</v>
      </c>
      <c r="J159" s="13">
        <v>3</v>
      </c>
      <c r="K159" s="14">
        <f t="shared" si="4"/>
        <v>6</v>
      </c>
      <c r="L159" s="5" t="str">
        <f t="shared" si="5"/>
        <v>HIGH</v>
      </c>
      <c r="M159" s="4" t="s">
        <v>1780</v>
      </c>
      <c r="N159" s="8" t="b">
        <v>0</v>
      </c>
      <c r="O159" s="6" t="s">
        <v>1781</v>
      </c>
      <c r="P159" s="6" t="s">
        <v>1782</v>
      </c>
      <c r="Q159" s="6"/>
      <c r="R159" s="9" t="b">
        <v>1</v>
      </c>
      <c r="S159" s="6" t="s">
        <v>155</v>
      </c>
      <c r="T159" s="6" t="s">
        <v>1926</v>
      </c>
      <c r="U159" s="9" t="b">
        <v>1</v>
      </c>
    </row>
    <row r="160" spans="1:21" ht="30">
      <c r="A160" s="7" t="s">
        <v>156</v>
      </c>
      <c r="B160" s="15">
        <v>46162</v>
      </c>
      <c r="C160" s="5" t="s">
        <v>158</v>
      </c>
      <c r="D160" s="14">
        <v>1</v>
      </c>
      <c r="E160" s="5" t="s">
        <v>1714</v>
      </c>
      <c r="F160" s="5" t="s">
        <v>1774</v>
      </c>
      <c r="G160" s="13">
        <v>47</v>
      </c>
      <c r="H160" s="13">
        <v>2</v>
      </c>
      <c r="I160" s="13">
        <v>2</v>
      </c>
      <c r="J160" s="13">
        <v>1</v>
      </c>
      <c r="K160" s="14">
        <f t="shared" si="4"/>
        <v>2</v>
      </c>
      <c r="L160" s="5" t="str">
        <f t="shared" si="5"/>
        <v>LOW</v>
      </c>
      <c r="M160" s="4" t="s">
        <v>1716</v>
      </c>
      <c r="N160" s="8" t="b">
        <v>0</v>
      </c>
      <c r="O160" s="6" t="s">
        <v>1717</v>
      </c>
      <c r="P160" s="6" t="s">
        <v>1775</v>
      </c>
      <c r="Q160" s="6"/>
      <c r="R160" s="9" t="b">
        <v>1</v>
      </c>
      <c r="S160" s="6" t="s">
        <v>161</v>
      </c>
      <c r="T160" s="6" t="s">
        <v>1927</v>
      </c>
      <c r="U160" s="9" t="b">
        <v>1</v>
      </c>
    </row>
    <row r="161" spans="1:21" ht="30">
      <c r="A161" s="7" t="s">
        <v>156</v>
      </c>
      <c r="B161" s="15">
        <v>46162</v>
      </c>
      <c r="C161" s="5" t="s">
        <v>158</v>
      </c>
      <c r="D161" s="14">
        <v>2</v>
      </c>
      <c r="E161" s="5" t="s">
        <v>1714</v>
      </c>
      <c r="F161" s="5" t="s">
        <v>1928</v>
      </c>
      <c r="G161" s="13">
        <v>50</v>
      </c>
      <c r="H161" s="13">
        <v>0</v>
      </c>
      <c r="I161" s="13">
        <v>1</v>
      </c>
      <c r="J161" s="13">
        <v>2</v>
      </c>
      <c r="K161" s="14">
        <f t="shared" si="4"/>
        <v>2</v>
      </c>
      <c r="L161" s="5" t="str">
        <f t="shared" si="5"/>
        <v>LOW</v>
      </c>
      <c r="M161" s="4" t="s">
        <v>1716</v>
      </c>
      <c r="N161" s="8" t="b">
        <v>0</v>
      </c>
      <c r="O161" s="6" t="s">
        <v>1717</v>
      </c>
      <c r="P161" s="6" t="s">
        <v>1929</v>
      </c>
      <c r="Q161" s="6"/>
      <c r="R161" s="9" t="b">
        <v>1</v>
      </c>
      <c r="S161" s="6" t="s">
        <v>161</v>
      </c>
      <c r="T161" s="6" t="s">
        <v>1930</v>
      </c>
      <c r="U161" s="9" t="b">
        <v>1</v>
      </c>
    </row>
    <row r="162" spans="1:21" ht="30">
      <c r="A162" s="7" t="s">
        <v>156</v>
      </c>
      <c r="B162" s="15">
        <v>46162</v>
      </c>
      <c r="C162" s="5" t="s">
        <v>158</v>
      </c>
      <c r="D162" s="14">
        <v>3</v>
      </c>
      <c r="E162" s="5" t="s">
        <v>1714</v>
      </c>
      <c r="F162" s="5" t="s">
        <v>1788</v>
      </c>
      <c r="G162" s="13">
        <v>2</v>
      </c>
      <c r="H162" s="13">
        <v>1</v>
      </c>
      <c r="I162" s="13">
        <v>1</v>
      </c>
      <c r="J162" s="13">
        <v>1</v>
      </c>
      <c r="K162" s="14">
        <f t="shared" si="4"/>
        <v>1</v>
      </c>
      <c r="L162" s="5" t="str">
        <f t="shared" si="5"/>
        <v>LOW</v>
      </c>
      <c r="M162" s="4" t="s">
        <v>1716</v>
      </c>
      <c r="N162" s="8" t="b">
        <v>0</v>
      </c>
      <c r="O162" s="6" t="s">
        <v>1717</v>
      </c>
      <c r="P162" s="6" t="s">
        <v>1789</v>
      </c>
      <c r="Q162" s="6"/>
      <c r="R162" s="9" t="b">
        <v>1</v>
      </c>
      <c r="S162" s="6" t="s">
        <v>161</v>
      </c>
      <c r="T162" s="6" t="s">
        <v>1931</v>
      </c>
      <c r="U162" s="9" t="b">
        <v>1</v>
      </c>
    </row>
    <row r="163" spans="1:21" ht="30">
      <c r="A163" s="7" t="s">
        <v>156</v>
      </c>
      <c r="B163" s="15">
        <v>46162</v>
      </c>
      <c r="C163" s="5" t="s">
        <v>158</v>
      </c>
      <c r="D163" s="14">
        <v>4</v>
      </c>
      <c r="E163" s="5" t="s">
        <v>1720</v>
      </c>
      <c r="F163" s="5" t="s">
        <v>1721</v>
      </c>
      <c r="G163" s="13">
        <v>5</v>
      </c>
      <c r="H163" s="13">
        <v>2</v>
      </c>
      <c r="I163" s="13">
        <v>2</v>
      </c>
      <c r="J163" s="13">
        <v>1</v>
      </c>
      <c r="K163" s="14">
        <f t="shared" si="4"/>
        <v>2</v>
      </c>
      <c r="L163" s="5" t="str">
        <f t="shared" si="5"/>
        <v>LOW</v>
      </c>
      <c r="M163" s="4" t="s">
        <v>1722</v>
      </c>
      <c r="N163" s="8" t="b">
        <v>0</v>
      </c>
      <c r="O163" s="6" t="s">
        <v>1723</v>
      </c>
      <c r="P163" s="6" t="s">
        <v>1724</v>
      </c>
      <c r="Q163" s="6"/>
      <c r="R163" s="9" t="b">
        <v>1</v>
      </c>
      <c r="S163" s="6" t="s">
        <v>161</v>
      </c>
      <c r="T163" s="6" t="s">
        <v>1932</v>
      </c>
      <c r="U163" s="9" t="b">
        <v>1</v>
      </c>
    </row>
    <row r="164" spans="1:21" ht="30">
      <c r="A164" s="7" t="s">
        <v>156</v>
      </c>
      <c r="B164" s="15">
        <v>46162</v>
      </c>
      <c r="C164" s="5" t="s">
        <v>158</v>
      </c>
      <c r="D164" s="14">
        <v>5</v>
      </c>
      <c r="E164" s="5" t="s">
        <v>1745</v>
      </c>
      <c r="F164" s="5" t="s">
        <v>1746</v>
      </c>
      <c r="G164" s="13">
        <v>8</v>
      </c>
      <c r="H164" s="13">
        <v>0</v>
      </c>
      <c r="I164" s="13">
        <v>1</v>
      </c>
      <c r="J164" s="13">
        <v>2</v>
      </c>
      <c r="K164" s="14">
        <f t="shared" si="4"/>
        <v>2</v>
      </c>
      <c r="L164" s="5" t="str">
        <f t="shared" si="5"/>
        <v>LOW</v>
      </c>
      <c r="M164" s="4" t="s">
        <v>1747</v>
      </c>
      <c r="N164" s="8" t="b">
        <v>0</v>
      </c>
      <c r="O164" s="6" t="s">
        <v>1748</v>
      </c>
      <c r="P164" s="6" t="s">
        <v>1749</v>
      </c>
      <c r="Q164" s="6"/>
      <c r="R164" s="9" t="b">
        <v>1</v>
      </c>
      <c r="S164" s="6" t="s">
        <v>161</v>
      </c>
      <c r="T164" s="6" t="s">
        <v>1933</v>
      </c>
      <c r="U164" s="9" t="b">
        <v>1</v>
      </c>
    </row>
    <row r="165" spans="1:21" ht="45">
      <c r="A165" s="7" t="s">
        <v>156</v>
      </c>
      <c r="B165" s="15">
        <v>46162</v>
      </c>
      <c r="C165" s="5" t="s">
        <v>158</v>
      </c>
      <c r="D165" s="14">
        <v>6</v>
      </c>
      <c r="E165" s="5" t="s">
        <v>1729</v>
      </c>
      <c r="F165" s="5" t="s">
        <v>1730</v>
      </c>
      <c r="G165" s="13">
        <v>11</v>
      </c>
      <c r="H165" s="13">
        <v>1</v>
      </c>
      <c r="I165" s="13">
        <v>1</v>
      </c>
      <c r="J165" s="13">
        <v>1</v>
      </c>
      <c r="K165" s="14">
        <f t="shared" si="4"/>
        <v>1</v>
      </c>
      <c r="L165" s="5" t="str">
        <f t="shared" si="5"/>
        <v>LOW</v>
      </c>
      <c r="M165" s="4" t="s">
        <v>1731</v>
      </c>
      <c r="N165" s="8" t="b">
        <v>0</v>
      </c>
      <c r="O165" s="6" t="s">
        <v>1732</v>
      </c>
      <c r="P165" s="6" t="s">
        <v>1733</v>
      </c>
      <c r="Q165" s="6"/>
      <c r="R165" s="9" t="b">
        <v>1</v>
      </c>
      <c r="S165" s="6" t="s">
        <v>161</v>
      </c>
      <c r="T165" s="6" t="s">
        <v>1934</v>
      </c>
      <c r="U165" s="9" t="b">
        <v>1</v>
      </c>
    </row>
    <row r="166" spans="1:21" ht="30">
      <c r="A166" s="7" t="s">
        <v>162</v>
      </c>
      <c r="B166" s="15">
        <v>46196</v>
      </c>
      <c r="C166" s="5" t="s">
        <v>164</v>
      </c>
      <c r="D166" s="14">
        <v>1</v>
      </c>
      <c r="E166" s="5" t="s">
        <v>1699</v>
      </c>
      <c r="F166" s="5" t="s">
        <v>1700</v>
      </c>
      <c r="G166" s="13">
        <v>49</v>
      </c>
      <c r="H166" s="13">
        <v>27</v>
      </c>
      <c r="I166" s="13">
        <v>2</v>
      </c>
      <c r="J166" s="13">
        <v>3</v>
      </c>
      <c r="K166" s="14">
        <f t="shared" si="4"/>
        <v>6</v>
      </c>
      <c r="L166" s="5" t="str">
        <f t="shared" si="5"/>
        <v>HIGH</v>
      </c>
      <c r="M166" s="4" t="s">
        <v>1701</v>
      </c>
      <c r="N166" s="8" t="b">
        <v>1</v>
      </c>
      <c r="O166" s="6" t="s">
        <v>1702</v>
      </c>
      <c r="P166" s="6" t="s">
        <v>1703</v>
      </c>
      <c r="Q166" s="6"/>
      <c r="R166" s="9" t="b">
        <v>1</v>
      </c>
      <c r="S166" s="6" t="s">
        <v>167</v>
      </c>
      <c r="T166" s="6" t="s">
        <v>1935</v>
      </c>
      <c r="U166" s="9" t="b">
        <v>1</v>
      </c>
    </row>
    <row r="167" spans="1:21" ht="30">
      <c r="A167" s="7" t="s">
        <v>162</v>
      </c>
      <c r="B167" s="15">
        <v>46196</v>
      </c>
      <c r="C167" s="5" t="s">
        <v>164</v>
      </c>
      <c r="D167" s="14">
        <v>2</v>
      </c>
      <c r="E167" s="5" t="s">
        <v>1778</v>
      </c>
      <c r="F167" s="5" t="s">
        <v>1839</v>
      </c>
      <c r="G167" s="13">
        <v>52</v>
      </c>
      <c r="H167" s="13">
        <v>3</v>
      </c>
      <c r="I167" s="13">
        <v>3</v>
      </c>
      <c r="J167" s="13">
        <v>3</v>
      </c>
      <c r="K167" s="14">
        <f t="shared" si="4"/>
        <v>9</v>
      </c>
      <c r="L167" s="5" t="str">
        <f t="shared" si="5"/>
        <v>HIGH</v>
      </c>
      <c r="M167" s="4" t="s">
        <v>1780</v>
      </c>
      <c r="N167" s="8" t="b">
        <v>0</v>
      </c>
      <c r="O167" s="6" t="s">
        <v>1781</v>
      </c>
      <c r="P167" s="6" t="s">
        <v>1840</v>
      </c>
      <c r="Q167" s="6"/>
      <c r="R167" s="9" t="b">
        <v>1</v>
      </c>
      <c r="S167" s="6" t="s">
        <v>167</v>
      </c>
      <c r="T167" s="6" t="s">
        <v>1936</v>
      </c>
      <c r="U167" s="9" t="b">
        <v>1</v>
      </c>
    </row>
    <row r="168" spans="1:21" ht="30">
      <c r="A168" s="7" t="s">
        <v>162</v>
      </c>
      <c r="B168" s="15">
        <v>46196</v>
      </c>
      <c r="C168" s="5" t="s">
        <v>164</v>
      </c>
      <c r="D168" s="14">
        <v>3</v>
      </c>
      <c r="E168" s="5" t="s">
        <v>1714</v>
      </c>
      <c r="F168" s="5" t="s">
        <v>1774</v>
      </c>
      <c r="G168" s="13">
        <v>55</v>
      </c>
      <c r="H168" s="13">
        <v>10</v>
      </c>
      <c r="I168" s="13">
        <v>3</v>
      </c>
      <c r="J168" s="13">
        <v>2</v>
      </c>
      <c r="K168" s="14">
        <f t="shared" si="4"/>
        <v>6</v>
      </c>
      <c r="L168" s="5" t="str">
        <f t="shared" si="5"/>
        <v>HIGH</v>
      </c>
      <c r="M168" s="4" t="s">
        <v>1716</v>
      </c>
      <c r="N168" s="8" t="b">
        <v>0</v>
      </c>
      <c r="O168" s="6" t="s">
        <v>1717</v>
      </c>
      <c r="P168" s="6" t="s">
        <v>1775</v>
      </c>
      <c r="Q168" s="6"/>
      <c r="R168" s="9" t="b">
        <v>1</v>
      </c>
      <c r="S168" s="6" t="s">
        <v>167</v>
      </c>
      <c r="T168" s="6" t="s">
        <v>1937</v>
      </c>
      <c r="U168" s="9" t="b">
        <v>1</v>
      </c>
    </row>
    <row r="169" spans="1:21" ht="30">
      <c r="A169" s="7" t="s">
        <v>162</v>
      </c>
      <c r="B169" s="15">
        <v>46196</v>
      </c>
      <c r="C169" s="5" t="s">
        <v>164</v>
      </c>
      <c r="D169" s="14">
        <v>4</v>
      </c>
      <c r="E169" s="5" t="s">
        <v>1720</v>
      </c>
      <c r="F169" s="5" t="s">
        <v>1753</v>
      </c>
      <c r="G169" s="13">
        <v>58</v>
      </c>
      <c r="H169" s="13">
        <v>17</v>
      </c>
      <c r="I169" s="13">
        <v>2</v>
      </c>
      <c r="J169" s="13">
        <v>3</v>
      </c>
      <c r="K169" s="14">
        <f t="shared" si="4"/>
        <v>6</v>
      </c>
      <c r="L169" s="5" t="str">
        <f t="shared" si="5"/>
        <v>HIGH</v>
      </c>
      <c r="M169" s="4" t="s">
        <v>1722</v>
      </c>
      <c r="N169" s="8" t="b">
        <v>1</v>
      </c>
      <c r="O169" s="6" t="s">
        <v>1723</v>
      </c>
      <c r="P169" s="6" t="s">
        <v>1754</v>
      </c>
      <c r="Q169" s="6"/>
      <c r="R169" s="9" t="b">
        <v>1</v>
      </c>
      <c r="S169" s="6" t="s">
        <v>167</v>
      </c>
      <c r="T169" s="6" t="s">
        <v>1938</v>
      </c>
      <c r="U169" s="9" t="b">
        <v>1</v>
      </c>
    </row>
    <row r="170" spans="1:21" ht="30">
      <c r="A170" s="7" t="s">
        <v>162</v>
      </c>
      <c r="B170" s="15">
        <v>46196</v>
      </c>
      <c r="C170" s="5" t="s">
        <v>164</v>
      </c>
      <c r="D170" s="14">
        <v>5</v>
      </c>
      <c r="E170" s="5" t="s">
        <v>1720</v>
      </c>
      <c r="F170" s="5" t="s">
        <v>1721</v>
      </c>
      <c r="G170" s="13">
        <v>3</v>
      </c>
      <c r="H170" s="13">
        <v>24</v>
      </c>
      <c r="I170" s="13">
        <v>3</v>
      </c>
      <c r="J170" s="13">
        <v>3</v>
      </c>
      <c r="K170" s="14">
        <f t="shared" si="4"/>
        <v>9</v>
      </c>
      <c r="L170" s="5" t="str">
        <f t="shared" si="5"/>
        <v>HIGH</v>
      </c>
      <c r="M170" s="4" t="s">
        <v>1722</v>
      </c>
      <c r="N170" s="8" t="b">
        <v>0</v>
      </c>
      <c r="O170" s="6" t="s">
        <v>1723</v>
      </c>
      <c r="P170" s="6" t="s">
        <v>1724</v>
      </c>
      <c r="Q170" s="6"/>
      <c r="R170" s="9" t="b">
        <v>1</v>
      </c>
      <c r="S170" s="6" t="s">
        <v>167</v>
      </c>
      <c r="T170" s="6" t="s">
        <v>1939</v>
      </c>
      <c r="U170" s="9" t="b">
        <v>1</v>
      </c>
    </row>
    <row r="171" spans="1:21" ht="30">
      <c r="A171" s="7" t="s">
        <v>162</v>
      </c>
      <c r="B171" s="15">
        <v>46196</v>
      </c>
      <c r="C171" s="5" t="s">
        <v>164</v>
      </c>
      <c r="D171" s="14">
        <v>6</v>
      </c>
      <c r="E171" s="5" t="s">
        <v>1778</v>
      </c>
      <c r="F171" s="5" t="s">
        <v>1804</v>
      </c>
      <c r="G171" s="13">
        <v>6</v>
      </c>
      <c r="H171" s="13">
        <v>0</v>
      </c>
      <c r="I171" s="13">
        <v>3</v>
      </c>
      <c r="J171" s="13">
        <v>2</v>
      </c>
      <c r="K171" s="14">
        <f t="shared" si="4"/>
        <v>6</v>
      </c>
      <c r="L171" s="5" t="str">
        <f t="shared" si="5"/>
        <v>HIGH</v>
      </c>
      <c r="M171" s="4" t="s">
        <v>1780</v>
      </c>
      <c r="N171" s="8" t="b">
        <v>0</v>
      </c>
      <c r="O171" s="6" t="s">
        <v>1781</v>
      </c>
      <c r="P171" s="6" t="s">
        <v>1805</v>
      </c>
      <c r="Q171" s="6"/>
      <c r="R171" s="9" t="b">
        <v>1</v>
      </c>
      <c r="S171" s="6" t="s">
        <v>167</v>
      </c>
      <c r="T171" s="6" t="s">
        <v>1940</v>
      </c>
      <c r="U171" s="9" t="b">
        <v>1</v>
      </c>
    </row>
    <row r="172" spans="1:21" ht="30">
      <c r="A172" s="7" t="s">
        <v>168</v>
      </c>
      <c r="B172" s="15">
        <v>46023</v>
      </c>
      <c r="C172" s="5" t="s">
        <v>170</v>
      </c>
      <c r="D172" s="14">
        <v>1</v>
      </c>
      <c r="E172" s="5" t="s">
        <v>1699</v>
      </c>
      <c r="F172" s="5" t="s">
        <v>1700</v>
      </c>
      <c r="G172" s="13">
        <v>2</v>
      </c>
      <c r="H172" s="13">
        <v>1</v>
      </c>
      <c r="I172" s="13">
        <v>2</v>
      </c>
      <c r="J172" s="13">
        <v>2</v>
      </c>
      <c r="K172" s="14">
        <f t="shared" si="4"/>
        <v>4</v>
      </c>
      <c r="L172" s="5" t="str">
        <f t="shared" si="5"/>
        <v>MEDIUM</v>
      </c>
      <c r="M172" s="4" t="s">
        <v>1701</v>
      </c>
      <c r="N172" s="8" t="b">
        <v>0</v>
      </c>
      <c r="O172" s="6" t="s">
        <v>1702</v>
      </c>
      <c r="P172" s="6" t="s">
        <v>1703</v>
      </c>
      <c r="Q172" s="6"/>
      <c r="R172" s="9" t="b">
        <v>1</v>
      </c>
      <c r="S172" s="6" t="s">
        <v>173</v>
      </c>
      <c r="T172" s="6" t="s">
        <v>1941</v>
      </c>
      <c r="U172" s="9" t="b">
        <v>1</v>
      </c>
    </row>
    <row r="173" spans="1:21" ht="30">
      <c r="A173" s="7" t="s">
        <v>168</v>
      </c>
      <c r="B173" s="15">
        <v>46023</v>
      </c>
      <c r="C173" s="5" t="s">
        <v>170</v>
      </c>
      <c r="D173" s="14">
        <v>2</v>
      </c>
      <c r="E173" s="5" t="s">
        <v>1778</v>
      </c>
      <c r="F173" s="5" t="s">
        <v>1839</v>
      </c>
      <c r="G173" s="13">
        <v>5</v>
      </c>
      <c r="H173" s="13">
        <v>8</v>
      </c>
      <c r="I173" s="13">
        <v>1</v>
      </c>
      <c r="J173" s="13">
        <v>3</v>
      </c>
      <c r="K173" s="14">
        <f t="shared" si="4"/>
        <v>3</v>
      </c>
      <c r="L173" s="5" t="str">
        <f t="shared" si="5"/>
        <v>MEDIUM</v>
      </c>
      <c r="M173" s="4" t="s">
        <v>1780</v>
      </c>
      <c r="N173" s="8" t="b">
        <v>0</v>
      </c>
      <c r="O173" s="6" t="s">
        <v>1781</v>
      </c>
      <c r="P173" s="6" t="s">
        <v>1840</v>
      </c>
      <c r="Q173" s="6"/>
      <c r="R173" s="9" t="b">
        <v>1</v>
      </c>
      <c r="S173" s="6" t="s">
        <v>173</v>
      </c>
      <c r="T173" s="6" t="s">
        <v>1942</v>
      </c>
      <c r="U173" s="9" t="b">
        <v>1</v>
      </c>
    </row>
    <row r="174" spans="1:21" ht="30">
      <c r="A174" s="7" t="s">
        <v>168</v>
      </c>
      <c r="B174" s="15">
        <v>46023</v>
      </c>
      <c r="C174" s="5" t="s">
        <v>170</v>
      </c>
      <c r="D174" s="14">
        <v>3</v>
      </c>
      <c r="E174" s="5" t="s">
        <v>1714</v>
      </c>
      <c r="F174" s="5" t="s">
        <v>1774</v>
      </c>
      <c r="G174" s="13">
        <v>1</v>
      </c>
      <c r="H174" s="13">
        <v>15</v>
      </c>
      <c r="I174" s="13">
        <v>3</v>
      </c>
      <c r="J174" s="13">
        <v>1</v>
      </c>
      <c r="K174" s="14">
        <f t="shared" si="4"/>
        <v>3</v>
      </c>
      <c r="L174" s="5" t="str">
        <f t="shared" si="5"/>
        <v>MEDIUM</v>
      </c>
      <c r="M174" s="4" t="s">
        <v>1716</v>
      </c>
      <c r="N174" s="8" t="b">
        <v>0</v>
      </c>
      <c r="O174" s="6" t="s">
        <v>1717</v>
      </c>
      <c r="P174" s="6" t="s">
        <v>1775</v>
      </c>
      <c r="Q174" s="6"/>
      <c r="R174" s="9" t="b">
        <v>1</v>
      </c>
      <c r="S174" s="6" t="s">
        <v>173</v>
      </c>
      <c r="T174" s="6" t="s">
        <v>1943</v>
      </c>
      <c r="U174" s="9" t="b">
        <v>1</v>
      </c>
    </row>
    <row r="175" spans="1:21" ht="30">
      <c r="A175" s="7" t="s">
        <v>168</v>
      </c>
      <c r="B175" s="15">
        <v>46023</v>
      </c>
      <c r="C175" s="5" t="s">
        <v>170</v>
      </c>
      <c r="D175" s="14">
        <v>4</v>
      </c>
      <c r="E175" s="5" t="s">
        <v>1720</v>
      </c>
      <c r="F175" s="5" t="s">
        <v>1753</v>
      </c>
      <c r="G175" s="13">
        <v>4</v>
      </c>
      <c r="H175" s="13">
        <v>22</v>
      </c>
      <c r="I175" s="13">
        <v>2</v>
      </c>
      <c r="J175" s="13">
        <v>2</v>
      </c>
      <c r="K175" s="14">
        <f t="shared" si="4"/>
        <v>4</v>
      </c>
      <c r="L175" s="5" t="str">
        <f t="shared" si="5"/>
        <v>MEDIUM</v>
      </c>
      <c r="M175" s="4" t="s">
        <v>1722</v>
      </c>
      <c r="N175" s="8" t="b">
        <v>0</v>
      </c>
      <c r="O175" s="6" t="s">
        <v>1723</v>
      </c>
      <c r="P175" s="6" t="s">
        <v>1754</v>
      </c>
      <c r="Q175" s="6"/>
      <c r="R175" s="9" t="b">
        <v>1</v>
      </c>
      <c r="S175" s="6" t="s">
        <v>173</v>
      </c>
      <c r="T175" s="6" t="s">
        <v>1944</v>
      </c>
      <c r="U175" s="9" t="b">
        <v>1</v>
      </c>
    </row>
    <row r="176" spans="1:21" ht="30">
      <c r="A176" s="7" t="s">
        <v>168</v>
      </c>
      <c r="B176" s="15">
        <v>46023</v>
      </c>
      <c r="C176" s="5" t="s">
        <v>170</v>
      </c>
      <c r="D176" s="14">
        <v>5</v>
      </c>
      <c r="E176" s="5" t="s">
        <v>1720</v>
      </c>
      <c r="F176" s="5" t="s">
        <v>1721</v>
      </c>
      <c r="G176" s="13">
        <v>7</v>
      </c>
      <c r="H176" s="13">
        <v>29</v>
      </c>
      <c r="I176" s="13">
        <v>1</v>
      </c>
      <c r="J176" s="13">
        <v>3</v>
      </c>
      <c r="K176" s="14">
        <f t="shared" si="4"/>
        <v>3</v>
      </c>
      <c r="L176" s="5" t="str">
        <f t="shared" si="5"/>
        <v>MEDIUM</v>
      </c>
      <c r="M176" s="4" t="s">
        <v>1722</v>
      </c>
      <c r="N176" s="8" t="b">
        <v>0</v>
      </c>
      <c r="O176" s="6" t="s">
        <v>1723</v>
      </c>
      <c r="P176" s="6" t="s">
        <v>1724</v>
      </c>
      <c r="Q176" s="6"/>
      <c r="R176" s="9" t="b">
        <v>1</v>
      </c>
      <c r="S176" s="6" t="s">
        <v>173</v>
      </c>
      <c r="T176" s="6" t="s">
        <v>1945</v>
      </c>
      <c r="U176" s="9" t="b">
        <v>1</v>
      </c>
    </row>
    <row r="177" spans="1:21" ht="30">
      <c r="A177" s="7" t="s">
        <v>168</v>
      </c>
      <c r="B177" s="15">
        <v>46023</v>
      </c>
      <c r="C177" s="5" t="s">
        <v>170</v>
      </c>
      <c r="D177" s="14">
        <v>6</v>
      </c>
      <c r="E177" s="5" t="s">
        <v>1708</v>
      </c>
      <c r="F177" s="5" t="s">
        <v>1735</v>
      </c>
      <c r="G177" s="13">
        <v>3</v>
      </c>
      <c r="H177" s="13">
        <v>5</v>
      </c>
      <c r="I177" s="13">
        <v>3</v>
      </c>
      <c r="J177" s="13">
        <v>1</v>
      </c>
      <c r="K177" s="14">
        <f t="shared" si="4"/>
        <v>3</v>
      </c>
      <c r="L177" s="5" t="str">
        <f t="shared" si="5"/>
        <v>MEDIUM</v>
      </c>
      <c r="M177" s="4" t="s">
        <v>1710</v>
      </c>
      <c r="N177" s="8" t="b">
        <v>0</v>
      </c>
      <c r="O177" s="6" t="s">
        <v>1711</v>
      </c>
      <c r="P177" s="6" t="s">
        <v>1736</v>
      </c>
      <c r="Q177" s="6"/>
      <c r="R177" s="9" t="b">
        <v>1</v>
      </c>
      <c r="S177" s="6" t="s">
        <v>173</v>
      </c>
      <c r="T177" s="6" t="s">
        <v>1946</v>
      </c>
      <c r="U177" s="9" t="b">
        <v>1</v>
      </c>
    </row>
    <row r="178" spans="1:21" ht="30">
      <c r="A178" s="7" t="s">
        <v>174</v>
      </c>
      <c r="B178" s="15">
        <v>46057</v>
      </c>
      <c r="C178" s="5" t="s">
        <v>176</v>
      </c>
      <c r="D178" s="14">
        <v>1</v>
      </c>
      <c r="E178" s="5" t="s">
        <v>1708</v>
      </c>
      <c r="F178" s="5" t="s">
        <v>1709</v>
      </c>
      <c r="G178" s="13">
        <v>11</v>
      </c>
      <c r="H178" s="13">
        <v>6</v>
      </c>
      <c r="I178" s="13">
        <v>3</v>
      </c>
      <c r="J178" s="13">
        <v>3</v>
      </c>
      <c r="K178" s="14">
        <f t="shared" si="4"/>
        <v>9</v>
      </c>
      <c r="L178" s="5" t="str">
        <f t="shared" si="5"/>
        <v>HIGH</v>
      </c>
      <c r="M178" s="4" t="s">
        <v>1710</v>
      </c>
      <c r="N178" s="8" t="b">
        <v>0</v>
      </c>
      <c r="O178" s="6" t="s">
        <v>1711</v>
      </c>
      <c r="P178" s="6" t="s">
        <v>1712</v>
      </c>
      <c r="Q178" s="6"/>
      <c r="R178" s="9" t="b">
        <v>1</v>
      </c>
      <c r="S178" s="6" t="s">
        <v>179</v>
      </c>
      <c r="T178" s="6" t="s">
        <v>1947</v>
      </c>
      <c r="U178" s="9" t="b">
        <v>1</v>
      </c>
    </row>
    <row r="179" spans="1:21" ht="30">
      <c r="A179" s="7" t="s">
        <v>174</v>
      </c>
      <c r="B179" s="15">
        <v>46057</v>
      </c>
      <c r="C179" s="5" t="s">
        <v>176</v>
      </c>
      <c r="D179" s="14">
        <v>2</v>
      </c>
      <c r="E179" s="5" t="s">
        <v>1699</v>
      </c>
      <c r="F179" s="5" t="s">
        <v>1705</v>
      </c>
      <c r="G179" s="13">
        <v>14</v>
      </c>
      <c r="H179" s="13">
        <v>13</v>
      </c>
      <c r="I179" s="13">
        <v>3</v>
      </c>
      <c r="J179" s="13">
        <v>2</v>
      </c>
      <c r="K179" s="14">
        <f t="shared" si="4"/>
        <v>6</v>
      </c>
      <c r="L179" s="5" t="str">
        <f t="shared" si="5"/>
        <v>HIGH</v>
      </c>
      <c r="M179" s="4" t="s">
        <v>1701</v>
      </c>
      <c r="N179" s="8" t="b">
        <v>1</v>
      </c>
      <c r="O179" s="6" t="s">
        <v>1702</v>
      </c>
      <c r="P179" s="6" t="s">
        <v>1706</v>
      </c>
      <c r="Q179" s="6"/>
      <c r="R179" s="9" t="b">
        <v>1</v>
      </c>
      <c r="S179" s="6" t="s">
        <v>179</v>
      </c>
      <c r="T179" s="6" t="s">
        <v>1948</v>
      </c>
      <c r="U179" s="9" t="b">
        <v>1</v>
      </c>
    </row>
    <row r="180" spans="1:21" ht="30">
      <c r="A180" s="7" t="s">
        <v>174</v>
      </c>
      <c r="B180" s="15">
        <v>46057</v>
      </c>
      <c r="C180" s="5" t="s">
        <v>176</v>
      </c>
      <c r="D180" s="14">
        <v>3</v>
      </c>
      <c r="E180" s="5" t="s">
        <v>1699</v>
      </c>
      <c r="F180" s="5" t="s">
        <v>1700</v>
      </c>
      <c r="G180" s="13">
        <v>3</v>
      </c>
      <c r="H180" s="13">
        <v>20</v>
      </c>
      <c r="I180" s="13">
        <v>2</v>
      </c>
      <c r="J180" s="13">
        <v>3</v>
      </c>
      <c r="K180" s="14">
        <f t="shared" si="4"/>
        <v>6</v>
      </c>
      <c r="L180" s="5" t="str">
        <f t="shared" si="5"/>
        <v>HIGH</v>
      </c>
      <c r="M180" s="4" t="s">
        <v>1701</v>
      </c>
      <c r="N180" s="8" t="b">
        <v>0</v>
      </c>
      <c r="O180" s="6" t="s">
        <v>1702</v>
      </c>
      <c r="P180" s="6" t="s">
        <v>1703</v>
      </c>
      <c r="Q180" s="6"/>
      <c r="R180" s="9" t="b">
        <v>1</v>
      </c>
      <c r="S180" s="6" t="s">
        <v>179</v>
      </c>
      <c r="T180" s="6" t="s">
        <v>1949</v>
      </c>
      <c r="U180" s="9" t="b">
        <v>1</v>
      </c>
    </row>
    <row r="181" spans="1:21" ht="30">
      <c r="A181" s="7" t="s">
        <v>174</v>
      </c>
      <c r="B181" s="15">
        <v>46057</v>
      </c>
      <c r="C181" s="5" t="s">
        <v>176</v>
      </c>
      <c r="D181" s="14">
        <v>4</v>
      </c>
      <c r="E181" s="5" t="s">
        <v>1765</v>
      </c>
      <c r="F181" s="5" t="s">
        <v>1766</v>
      </c>
      <c r="G181" s="13">
        <v>6</v>
      </c>
      <c r="H181" s="13">
        <v>27</v>
      </c>
      <c r="I181" s="13">
        <v>3</v>
      </c>
      <c r="J181" s="13">
        <v>3</v>
      </c>
      <c r="K181" s="14">
        <f t="shared" si="4"/>
        <v>9</v>
      </c>
      <c r="L181" s="5" t="str">
        <f t="shared" si="5"/>
        <v>HIGH</v>
      </c>
      <c r="M181" s="4" t="s">
        <v>1767</v>
      </c>
      <c r="N181" s="8" t="b">
        <v>0</v>
      </c>
      <c r="O181" s="6" t="s">
        <v>1768</v>
      </c>
      <c r="P181" s="6" t="s">
        <v>1769</v>
      </c>
      <c r="Q181" s="6"/>
      <c r="R181" s="9" t="b">
        <v>1</v>
      </c>
      <c r="S181" s="6" t="s">
        <v>179</v>
      </c>
      <c r="T181" s="6" t="s">
        <v>1950</v>
      </c>
      <c r="U181" s="9" t="b">
        <v>1</v>
      </c>
    </row>
    <row r="182" spans="1:21" ht="30">
      <c r="A182" s="7" t="s">
        <v>174</v>
      </c>
      <c r="B182" s="15">
        <v>46057</v>
      </c>
      <c r="C182" s="5" t="s">
        <v>176</v>
      </c>
      <c r="D182" s="14">
        <v>5</v>
      </c>
      <c r="E182" s="5" t="s">
        <v>1714</v>
      </c>
      <c r="F182" s="5" t="s">
        <v>1771</v>
      </c>
      <c r="G182" s="13">
        <v>9</v>
      </c>
      <c r="H182" s="13">
        <v>3</v>
      </c>
      <c r="I182" s="13">
        <v>3</v>
      </c>
      <c r="J182" s="13">
        <v>2</v>
      </c>
      <c r="K182" s="14">
        <f t="shared" si="4"/>
        <v>6</v>
      </c>
      <c r="L182" s="5" t="str">
        <f t="shared" si="5"/>
        <v>HIGH</v>
      </c>
      <c r="M182" s="4" t="s">
        <v>1716</v>
      </c>
      <c r="N182" s="8" t="b">
        <v>1</v>
      </c>
      <c r="O182" s="6" t="s">
        <v>1717</v>
      </c>
      <c r="P182" s="6" t="s">
        <v>1772</v>
      </c>
      <c r="Q182" s="6"/>
      <c r="R182" s="9" t="b">
        <v>1</v>
      </c>
      <c r="S182" s="6" t="s">
        <v>179</v>
      </c>
      <c r="T182" s="6" t="s">
        <v>1951</v>
      </c>
      <c r="U182" s="9" t="b">
        <v>1</v>
      </c>
    </row>
    <row r="183" spans="1:21" ht="30">
      <c r="A183" s="7" t="s">
        <v>174</v>
      </c>
      <c r="B183" s="15">
        <v>46057</v>
      </c>
      <c r="C183" s="5" t="s">
        <v>176</v>
      </c>
      <c r="D183" s="14">
        <v>6</v>
      </c>
      <c r="E183" s="5" t="s">
        <v>1714</v>
      </c>
      <c r="F183" s="5" t="s">
        <v>1774</v>
      </c>
      <c r="G183" s="13">
        <v>12</v>
      </c>
      <c r="H183" s="13">
        <v>10</v>
      </c>
      <c r="I183" s="13">
        <v>2</v>
      </c>
      <c r="J183" s="13">
        <v>3</v>
      </c>
      <c r="K183" s="14">
        <f t="shared" si="4"/>
        <v>6</v>
      </c>
      <c r="L183" s="5" t="str">
        <f t="shared" si="5"/>
        <v>HIGH</v>
      </c>
      <c r="M183" s="4" t="s">
        <v>1716</v>
      </c>
      <c r="N183" s="8" t="b">
        <v>0</v>
      </c>
      <c r="O183" s="6" t="s">
        <v>1717</v>
      </c>
      <c r="P183" s="6" t="s">
        <v>1775</v>
      </c>
      <c r="Q183" s="6"/>
      <c r="R183" s="9" t="b">
        <v>1</v>
      </c>
      <c r="S183" s="6" t="s">
        <v>179</v>
      </c>
      <c r="T183" s="6" t="s">
        <v>1952</v>
      </c>
      <c r="U183" s="9" t="b">
        <v>1</v>
      </c>
    </row>
    <row r="184" spans="1:21" ht="45">
      <c r="A184" s="7" t="s">
        <v>174</v>
      </c>
      <c r="B184" s="15">
        <v>46057</v>
      </c>
      <c r="C184" s="5" t="s">
        <v>176</v>
      </c>
      <c r="D184" s="14">
        <v>7</v>
      </c>
      <c r="E184" s="5" t="s">
        <v>1729</v>
      </c>
      <c r="F184" s="5" t="s">
        <v>1730</v>
      </c>
      <c r="G184" s="13">
        <v>1</v>
      </c>
      <c r="H184" s="13">
        <v>17</v>
      </c>
      <c r="I184" s="13">
        <v>3</v>
      </c>
      <c r="J184" s="13">
        <v>3</v>
      </c>
      <c r="K184" s="14">
        <f t="shared" si="4"/>
        <v>9</v>
      </c>
      <c r="L184" s="5" t="str">
        <f t="shared" si="5"/>
        <v>HIGH</v>
      </c>
      <c r="M184" s="4" t="s">
        <v>1731</v>
      </c>
      <c r="N184" s="8" t="b">
        <v>0</v>
      </c>
      <c r="O184" s="6" t="s">
        <v>1732</v>
      </c>
      <c r="P184" s="6" t="s">
        <v>1733</v>
      </c>
      <c r="Q184" s="6"/>
      <c r="R184" s="9" t="b">
        <v>1</v>
      </c>
      <c r="S184" s="6" t="s">
        <v>179</v>
      </c>
      <c r="T184" s="6" t="s">
        <v>1953</v>
      </c>
      <c r="U184" s="9" t="b">
        <v>1</v>
      </c>
    </row>
    <row r="185" spans="1:21" ht="30">
      <c r="A185" s="7" t="s">
        <v>174</v>
      </c>
      <c r="B185" s="15">
        <v>46057</v>
      </c>
      <c r="C185" s="5" t="s">
        <v>176</v>
      </c>
      <c r="D185" s="14">
        <v>8</v>
      </c>
      <c r="E185" s="5" t="s">
        <v>1745</v>
      </c>
      <c r="F185" s="5" t="s">
        <v>1746</v>
      </c>
      <c r="G185" s="13">
        <v>4</v>
      </c>
      <c r="H185" s="13">
        <v>24</v>
      </c>
      <c r="I185" s="13">
        <v>3</v>
      </c>
      <c r="J185" s="13">
        <v>2</v>
      </c>
      <c r="K185" s="14">
        <f t="shared" si="4"/>
        <v>6</v>
      </c>
      <c r="L185" s="5" t="str">
        <f t="shared" si="5"/>
        <v>HIGH</v>
      </c>
      <c r="M185" s="4" t="s">
        <v>1747</v>
      </c>
      <c r="N185" s="8" t="b">
        <v>1</v>
      </c>
      <c r="O185" s="6" t="s">
        <v>1748</v>
      </c>
      <c r="P185" s="6" t="s">
        <v>1749</v>
      </c>
      <c r="Q185" s="6"/>
      <c r="R185" s="9" t="b">
        <v>1</v>
      </c>
      <c r="S185" s="6" t="s">
        <v>179</v>
      </c>
      <c r="T185" s="6" t="s">
        <v>1954</v>
      </c>
      <c r="U185" s="9" t="b">
        <v>1</v>
      </c>
    </row>
    <row r="186" spans="1:21" ht="30">
      <c r="A186" s="7" t="s">
        <v>180</v>
      </c>
      <c r="B186" s="15">
        <v>46088</v>
      </c>
      <c r="C186" s="5" t="s">
        <v>182</v>
      </c>
      <c r="D186" s="14">
        <v>1</v>
      </c>
      <c r="E186" s="5" t="s">
        <v>1708</v>
      </c>
      <c r="F186" s="5" t="s">
        <v>1709</v>
      </c>
      <c r="G186" s="13">
        <v>13</v>
      </c>
      <c r="H186" s="13">
        <v>11</v>
      </c>
      <c r="I186" s="13">
        <v>2</v>
      </c>
      <c r="J186" s="13">
        <v>3</v>
      </c>
      <c r="K186" s="14">
        <f t="shared" si="4"/>
        <v>6</v>
      </c>
      <c r="L186" s="5" t="str">
        <f t="shared" si="5"/>
        <v>HIGH</v>
      </c>
      <c r="M186" s="4" t="s">
        <v>1710</v>
      </c>
      <c r="N186" s="8" t="b">
        <v>1</v>
      </c>
      <c r="O186" s="6" t="s">
        <v>1711</v>
      </c>
      <c r="P186" s="6" t="s">
        <v>1712</v>
      </c>
      <c r="Q186" s="6"/>
      <c r="R186" s="9" t="b">
        <v>1</v>
      </c>
      <c r="S186" s="6" t="s">
        <v>185</v>
      </c>
      <c r="T186" s="6" t="s">
        <v>1955</v>
      </c>
      <c r="U186" s="9" t="b">
        <v>1</v>
      </c>
    </row>
    <row r="187" spans="1:21" ht="30">
      <c r="A187" s="7" t="s">
        <v>180</v>
      </c>
      <c r="B187" s="15">
        <v>46088</v>
      </c>
      <c r="C187" s="5" t="s">
        <v>182</v>
      </c>
      <c r="D187" s="14">
        <v>2</v>
      </c>
      <c r="E187" s="5" t="s">
        <v>1699</v>
      </c>
      <c r="F187" s="5" t="s">
        <v>1705</v>
      </c>
      <c r="G187" s="13">
        <v>16</v>
      </c>
      <c r="H187" s="13">
        <v>18</v>
      </c>
      <c r="I187" s="13">
        <v>3</v>
      </c>
      <c r="J187" s="13">
        <v>3</v>
      </c>
      <c r="K187" s="14">
        <f t="shared" si="4"/>
        <v>9</v>
      </c>
      <c r="L187" s="5" t="str">
        <f t="shared" si="5"/>
        <v>HIGH</v>
      </c>
      <c r="M187" s="4" t="s">
        <v>1701</v>
      </c>
      <c r="N187" s="8" t="b">
        <v>0</v>
      </c>
      <c r="O187" s="6" t="s">
        <v>1702</v>
      </c>
      <c r="P187" s="6" t="s">
        <v>1706</v>
      </c>
      <c r="Q187" s="6"/>
      <c r="R187" s="9" t="b">
        <v>1</v>
      </c>
      <c r="S187" s="6" t="s">
        <v>185</v>
      </c>
      <c r="T187" s="6" t="s">
        <v>1956</v>
      </c>
      <c r="U187" s="9" t="b">
        <v>1</v>
      </c>
    </row>
    <row r="188" spans="1:21" ht="30">
      <c r="A188" s="7" t="s">
        <v>180</v>
      </c>
      <c r="B188" s="15">
        <v>46088</v>
      </c>
      <c r="C188" s="5" t="s">
        <v>182</v>
      </c>
      <c r="D188" s="14">
        <v>3</v>
      </c>
      <c r="E188" s="5" t="s">
        <v>1745</v>
      </c>
      <c r="F188" s="5" t="s">
        <v>1957</v>
      </c>
      <c r="G188" s="13">
        <v>19</v>
      </c>
      <c r="H188" s="13">
        <v>25</v>
      </c>
      <c r="I188" s="13">
        <v>3</v>
      </c>
      <c r="J188" s="13">
        <v>2</v>
      </c>
      <c r="K188" s="14">
        <f t="shared" si="4"/>
        <v>6</v>
      </c>
      <c r="L188" s="5" t="str">
        <f t="shared" si="5"/>
        <v>HIGH</v>
      </c>
      <c r="M188" s="4" t="s">
        <v>1747</v>
      </c>
      <c r="N188" s="8" t="b">
        <v>0</v>
      </c>
      <c r="O188" s="6" t="s">
        <v>1748</v>
      </c>
      <c r="P188" s="6" t="s">
        <v>1958</v>
      </c>
      <c r="Q188" s="6"/>
      <c r="R188" s="9" t="b">
        <v>1</v>
      </c>
      <c r="S188" s="6" t="s">
        <v>185</v>
      </c>
      <c r="T188" s="6" t="s">
        <v>1959</v>
      </c>
      <c r="U188" s="9" t="b">
        <v>1</v>
      </c>
    </row>
    <row r="189" spans="1:21" ht="30">
      <c r="A189" s="7" t="s">
        <v>180</v>
      </c>
      <c r="B189" s="15">
        <v>46088</v>
      </c>
      <c r="C189" s="5" t="s">
        <v>182</v>
      </c>
      <c r="D189" s="14">
        <v>4</v>
      </c>
      <c r="E189" s="5" t="s">
        <v>1765</v>
      </c>
      <c r="F189" s="5" t="s">
        <v>1766</v>
      </c>
      <c r="G189" s="13">
        <v>1</v>
      </c>
      <c r="H189" s="13">
        <v>1</v>
      </c>
      <c r="I189" s="13">
        <v>2</v>
      </c>
      <c r="J189" s="13">
        <v>3</v>
      </c>
      <c r="K189" s="14">
        <f t="shared" si="4"/>
        <v>6</v>
      </c>
      <c r="L189" s="5" t="str">
        <f t="shared" si="5"/>
        <v>HIGH</v>
      </c>
      <c r="M189" s="4" t="s">
        <v>1767</v>
      </c>
      <c r="N189" s="8" t="b">
        <v>1</v>
      </c>
      <c r="O189" s="6" t="s">
        <v>1768</v>
      </c>
      <c r="P189" s="6" t="s">
        <v>1769</v>
      </c>
      <c r="Q189" s="6"/>
      <c r="R189" s="9" t="b">
        <v>1</v>
      </c>
      <c r="S189" s="6" t="s">
        <v>185</v>
      </c>
      <c r="T189" s="6" t="s">
        <v>1960</v>
      </c>
      <c r="U189" s="9" t="b">
        <v>1</v>
      </c>
    </row>
    <row r="190" spans="1:21" ht="30">
      <c r="A190" s="7" t="s">
        <v>180</v>
      </c>
      <c r="B190" s="15">
        <v>46088</v>
      </c>
      <c r="C190" s="5" t="s">
        <v>182</v>
      </c>
      <c r="D190" s="14">
        <v>5</v>
      </c>
      <c r="E190" s="5" t="s">
        <v>1708</v>
      </c>
      <c r="F190" s="5" t="s">
        <v>1961</v>
      </c>
      <c r="G190" s="13">
        <v>4</v>
      </c>
      <c r="H190" s="13">
        <v>8</v>
      </c>
      <c r="I190" s="13">
        <v>3</v>
      </c>
      <c r="J190" s="13">
        <v>3</v>
      </c>
      <c r="K190" s="14">
        <f t="shared" si="4"/>
        <v>9</v>
      </c>
      <c r="L190" s="5" t="str">
        <f t="shared" si="5"/>
        <v>HIGH</v>
      </c>
      <c r="M190" s="4" t="s">
        <v>1710</v>
      </c>
      <c r="N190" s="8" t="b">
        <v>0</v>
      </c>
      <c r="O190" s="6" t="s">
        <v>1711</v>
      </c>
      <c r="P190" s="6" t="s">
        <v>1962</v>
      </c>
      <c r="Q190" s="6"/>
      <c r="R190" s="9" t="b">
        <v>1</v>
      </c>
      <c r="S190" s="6" t="s">
        <v>185</v>
      </c>
      <c r="T190" s="6" t="s">
        <v>1963</v>
      </c>
      <c r="U190" s="9" t="b">
        <v>1</v>
      </c>
    </row>
    <row r="191" spans="1:21" ht="30">
      <c r="A191" s="7" t="s">
        <v>180</v>
      </c>
      <c r="B191" s="15">
        <v>46088</v>
      </c>
      <c r="C191" s="5" t="s">
        <v>182</v>
      </c>
      <c r="D191" s="14">
        <v>6</v>
      </c>
      <c r="E191" s="5" t="s">
        <v>1714</v>
      </c>
      <c r="F191" s="5" t="s">
        <v>1788</v>
      </c>
      <c r="G191" s="13">
        <v>7</v>
      </c>
      <c r="H191" s="13">
        <v>15</v>
      </c>
      <c r="I191" s="13">
        <v>3</v>
      </c>
      <c r="J191" s="13">
        <v>2</v>
      </c>
      <c r="K191" s="14">
        <f t="shared" si="4"/>
        <v>6</v>
      </c>
      <c r="L191" s="5" t="str">
        <f t="shared" si="5"/>
        <v>HIGH</v>
      </c>
      <c r="M191" s="4" t="s">
        <v>1716</v>
      </c>
      <c r="N191" s="8" t="b">
        <v>0</v>
      </c>
      <c r="O191" s="6" t="s">
        <v>1717</v>
      </c>
      <c r="P191" s="6" t="s">
        <v>1789</v>
      </c>
      <c r="Q191" s="6"/>
      <c r="R191" s="9" t="b">
        <v>1</v>
      </c>
      <c r="S191" s="6" t="s">
        <v>185</v>
      </c>
      <c r="T191" s="6" t="s">
        <v>1964</v>
      </c>
      <c r="U191" s="9" t="b">
        <v>1</v>
      </c>
    </row>
    <row r="192" spans="1:21" ht="30">
      <c r="A192" s="7" t="s">
        <v>180</v>
      </c>
      <c r="B192" s="15">
        <v>46088</v>
      </c>
      <c r="C192" s="5" t="s">
        <v>182</v>
      </c>
      <c r="D192" s="14">
        <v>7</v>
      </c>
      <c r="E192" s="5" t="s">
        <v>1708</v>
      </c>
      <c r="F192" s="5" t="s">
        <v>1965</v>
      </c>
      <c r="G192" s="13">
        <v>10</v>
      </c>
      <c r="H192" s="13">
        <v>22</v>
      </c>
      <c r="I192" s="13">
        <v>2</v>
      </c>
      <c r="J192" s="13">
        <v>3</v>
      </c>
      <c r="K192" s="14">
        <f t="shared" si="4"/>
        <v>6</v>
      </c>
      <c r="L192" s="5" t="str">
        <f t="shared" si="5"/>
        <v>HIGH</v>
      </c>
      <c r="M192" s="4" t="s">
        <v>1710</v>
      </c>
      <c r="N192" s="8" t="b">
        <v>1</v>
      </c>
      <c r="O192" s="6" t="s">
        <v>1711</v>
      </c>
      <c r="P192" s="6" t="s">
        <v>1966</v>
      </c>
      <c r="Q192" s="6"/>
      <c r="R192" s="9" t="b">
        <v>1</v>
      </c>
      <c r="S192" s="6" t="s">
        <v>185</v>
      </c>
      <c r="T192" s="6" t="s">
        <v>1967</v>
      </c>
      <c r="U192" s="9" t="b">
        <v>1</v>
      </c>
    </row>
    <row r="193" spans="1:21" ht="30">
      <c r="A193" s="7" t="s">
        <v>180</v>
      </c>
      <c r="B193" s="15">
        <v>46088</v>
      </c>
      <c r="C193" s="5" t="s">
        <v>182</v>
      </c>
      <c r="D193" s="14">
        <v>8</v>
      </c>
      <c r="E193" s="5" t="s">
        <v>1720</v>
      </c>
      <c r="F193" s="5" t="s">
        <v>1726</v>
      </c>
      <c r="G193" s="13">
        <v>13</v>
      </c>
      <c r="H193" s="13">
        <v>29</v>
      </c>
      <c r="I193" s="13">
        <v>3</v>
      </c>
      <c r="J193" s="13">
        <v>3</v>
      </c>
      <c r="K193" s="14">
        <f t="shared" si="4"/>
        <v>9</v>
      </c>
      <c r="L193" s="5" t="str">
        <f t="shared" si="5"/>
        <v>HIGH</v>
      </c>
      <c r="M193" s="4" t="s">
        <v>1722</v>
      </c>
      <c r="N193" s="8" t="b">
        <v>0</v>
      </c>
      <c r="O193" s="6" t="s">
        <v>1723</v>
      </c>
      <c r="P193" s="6" t="s">
        <v>1727</v>
      </c>
      <c r="Q193" s="6"/>
      <c r="R193" s="9" t="b">
        <v>1</v>
      </c>
      <c r="S193" s="6" t="s">
        <v>185</v>
      </c>
      <c r="T193" s="6" t="s">
        <v>1968</v>
      </c>
      <c r="U193" s="9" t="b">
        <v>1</v>
      </c>
    </row>
    <row r="194" spans="1:21" ht="30">
      <c r="A194" s="7" t="s">
        <v>186</v>
      </c>
      <c r="B194" s="15">
        <v>46122</v>
      </c>
      <c r="C194" s="5" t="s">
        <v>188</v>
      </c>
      <c r="D194" s="14">
        <v>1</v>
      </c>
      <c r="E194" s="5" t="s">
        <v>1708</v>
      </c>
      <c r="F194" s="5" t="s">
        <v>1709</v>
      </c>
      <c r="G194" s="13">
        <v>1</v>
      </c>
      <c r="H194" s="13">
        <v>1</v>
      </c>
      <c r="I194" s="13">
        <v>3</v>
      </c>
      <c r="J194" s="13">
        <v>2</v>
      </c>
      <c r="K194" s="14">
        <f t="shared" si="4"/>
        <v>6</v>
      </c>
      <c r="L194" s="5" t="str">
        <f t="shared" si="5"/>
        <v>HIGH</v>
      </c>
      <c r="M194" s="4" t="s">
        <v>1710</v>
      </c>
      <c r="N194" s="8" t="b">
        <v>0</v>
      </c>
      <c r="O194" s="6" t="s">
        <v>1711</v>
      </c>
      <c r="P194" s="6" t="s">
        <v>1712</v>
      </c>
      <c r="Q194" s="6"/>
      <c r="R194" s="9" t="b">
        <v>1</v>
      </c>
      <c r="S194" s="6" t="s">
        <v>191</v>
      </c>
      <c r="T194" s="6" t="s">
        <v>1969</v>
      </c>
      <c r="U194" s="9" t="b">
        <v>1</v>
      </c>
    </row>
    <row r="195" spans="1:21" ht="30">
      <c r="A195" s="7" t="s">
        <v>186</v>
      </c>
      <c r="B195" s="15">
        <v>46122</v>
      </c>
      <c r="C195" s="5" t="s">
        <v>188</v>
      </c>
      <c r="D195" s="14">
        <v>2</v>
      </c>
      <c r="E195" s="5" t="s">
        <v>1745</v>
      </c>
      <c r="F195" s="5" t="s">
        <v>1957</v>
      </c>
      <c r="G195" s="13">
        <v>4</v>
      </c>
      <c r="H195" s="13">
        <v>2</v>
      </c>
      <c r="I195" s="13">
        <v>2</v>
      </c>
      <c r="J195" s="13">
        <v>3</v>
      </c>
      <c r="K195" s="14">
        <f t="shared" si="4"/>
        <v>6</v>
      </c>
      <c r="L195" s="5" t="str">
        <f t="shared" si="5"/>
        <v>HIGH</v>
      </c>
      <c r="M195" s="4" t="s">
        <v>1747</v>
      </c>
      <c r="N195" s="8" t="b">
        <v>0</v>
      </c>
      <c r="O195" s="6" t="s">
        <v>1748</v>
      </c>
      <c r="P195" s="6" t="s">
        <v>1958</v>
      </c>
      <c r="Q195" s="6"/>
      <c r="R195" s="9" t="b">
        <v>1</v>
      </c>
      <c r="S195" s="6" t="s">
        <v>191</v>
      </c>
      <c r="T195" s="6" t="s">
        <v>1970</v>
      </c>
      <c r="U195" s="9" t="b">
        <v>1</v>
      </c>
    </row>
    <row r="196" spans="1:21" ht="30">
      <c r="A196" s="7" t="s">
        <v>186</v>
      </c>
      <c r="B196" s="15">
        <v>46122</v>
      </c>
      <c r="C196" s="5" t="s">
        <v>188</v>
      </c>
      <c r="D196" s="14">
        <v>3</v>
      </c>
      <c r="E196" s="5" t="s">
        <v>1708</v>
      </c>
      <c r="F196" s="5" t="s">
        <v>1961</v>
      </c>
      <c r="G196" s="13">
        <v>7</v>
      </c>
      <c r="H196" s="13">
        <v>0</v>
      </c>
      <c r="I196" s="13">
        <v>3</v>
      </c>
      <c r="J196" s="13">
        <v>3</v>
      </c>
      <c r="K196" s="14">
        <f t="shared" ref="K196:K259" si="6">IF(AND(R196=TRUE,U196=TRUE,ISNUMBER(I196),I196=INT(I196),I196&gt;=1,I196&lt;=3,ISNUMBER(J196),J196=INT(J196),J196&gt;=1,J196&lt;=3),I196*J196,"")</f>
        <v>9</v>
      </c>
      <c r="L196" s="5" t="str">
        <f t="shared" ref="L196:L259" si="7">IF(K196="","",IF(K196&lt;=2,"LOW",IF(K196&lt;=4,"MEDIUM","HIGH")))</f>
        <v>HIGH</v>
      </c>
      <c r="M196" s="4" t="s">
        <v>1710</v>
      </c>
      <c r="N196" s="8" t="b">
        <v>1</v>
      </c>
      <c r="O196" s="6" t="s">
        <v>1711</v>
      </c>
      <c r="P196" s="6" t="s">
        <v>1962</v>
      </c>
      <c r="Q196" s="6"/>
      <c r="R196" s="9" t="b">
        <v>1</v>
      </c>
      <c r="S196" s="6" t="s">
        <v>191</v>
      </c>
      <c r="T196" s="6" t="s">
        <v>1971</v>
      </c>
      <c r="U196" s="9" t="b">
        <v>1</v>
      </c>
    </row>
    <row r="197" spans="1:21" ht="30">
      <c r="A197" s="7" t="s">
        <v>186</v>
      </c>
      <c r="B197" s="15">
        <v>46122</v>
      </c>
      <c r="C197" s="5" t="s">
        <v>188</v>
      </c>
      <c r="D197" s="14">
        <v>4</v>
      </c>
      <c r="E197" s="5" t="s">
        <v>1708</v>
      </c>
      <c r="F197" s="5" t="s">
        <v>1757</v>
      </c>
      <c r="G197" s="13">
        <v>10</v>
      </c>
      <c r="H197" s="13">
        <v>1</v>
      </c>
      <c r="I197" s="13">
        <v>3</v>
      </c>
      <c r="J197" s="13">
        <v>2</v>
      </c>
      <c r="K197" s="14">
        <f t="shared" si="6"/>
        <v>6</v>
      </c>
      <c r="L197" s="5" t="str">
        <f t="shared" si="7"/>
        <v>HIGH</v>
      </c>
      <c r="M197" s="4" t="s">
        <v>1710</v>
      </c>
      <c r="N197" s="8" t="b">
        <v>0</v>
      </c>
      <c r="O197" s="6" t="s">
        <v>1711</v>
      </c>
      <c r="P197" s="6" t="s">
        <v>1758</v>
      </c>
      <c r="Q197" s="6"/>
      <c r="R197" s="9" t="b">
        <v>1</v>
      </c>
      <c r="S197" s="6" t="s">
        <v>191</v>
      </c>
      <c r="T197" s="6" t="s">
        <v>1972</v>
      </c>
      <c r="U197" s="9" t="b">
        <v>1</v>
      </c>
    </row>
    <row r="198" spans="1:21" ht="30">
      <c r="A198" s="7" t="s">
        <v>186</v>
      </c>
      <c r="B198" s="15">
        <v>46122</v>
      </c>
      <c r="C198" s="5" t="s">
        <v>188</v>
      </c>
      <c r="D198" s="14">
        <v>5</v>
      </c>
      <c r="E198" s="5" t="s">
        <v>1714</v>
      </c>
      <c r="F198" s="5" t="s">
        <v>1788</v>
      </c>
      <c r="G198" s="13">
        <v>13</v>
      </c>
      <c r="H198" s="13">
        <v>2</v>
      </c>
      <c r="I198" s="13">
        <v>2</v>
      </c>
      <c r="J198" s="13">
        <v>3</v>
      </c>
      <c r="K198" s="14">
        <f t="shared" si="6"/>
        <v>6</v>
      </c>
      <c r="L198" s="5" t="str">
        <f t="shared" si="7"/>
        <v>HIGH</v>
      </c>
      <c r="M198" s="4" t="s">
        <v>1716</v>
      </c>
      <c r="N198" s="8" t="b">
        <v>0</v>
      </c>
      <c r="O198" s="6" t="s">
        <v>1717</v>
      </c>
      <c r="P198" s="6" t="s">
        <v>1789</v>
      </c>
      <c r="Q198" s="6"/>
      <c r="R198" s="9" t="b">
        <v>1</v>
      </c>
      <c r="S198" s="6" t="s">
        <v>191</v>
      </c>
      <c r="T198" s="6" t="s">
        <v>1973</v>
      </c>
      <c r="U198" s="9" t="b">
        <v>1</v>
      </c>
    </row>
    <row r="199" spans="1:21" ht="30">
      <c r="A199" s="7" t="s">
        <v>186</v>
      </c>
      <c r="B199" s="15">
        <v>46122</v>
      </c>
      <c r="C199" s="5" t="s">
        <v>188</v>
      </c>
      <c r="D199" s="14">
        <v>6</v>
      </c>
      <c r="E199" s="5" t="s">
        <v>1765</v>
      </c>
      <c r="F199" s="5" t="s">
        <v>1974</v>
      </c>
      <c r="G199" s="13">
        <v>16</v>
      </c>
      <c r="H199" s="13">
        <v>0</v>
      </c>
      <c r="I199" s="13">
        <v>3</v>
      </c>
      <c r="J199" s="13">
        <v>3</v>
      </c>
      <c r="K199" s="14">
        <f t="shared" si="6"/>
        <v>9</v>
      </c>
      <c r="L199" s="5" t="str">
        <f t="shared" si="7"/>
        <v>HIGH</v>
      </c>
      <c r="M199" s="4" t="s">
        <v>1767</v>
      </c>
      <c r="N199" s="8" t="b">
        <v>1</v>
      </c>
      <c r="O199" s="6" t="s">
        <v>1768</v>
      </c>
      <c r="P199" s="6" t="s">
        <v>1975</v>
      </c>
      <c r="Q199" s="6"/>
      <c r="R199" s="9" t="b">
        <v>1</v>
      </c>
      <c r="S199" s="6" t="s">
        <v>191</v>
      </c>
      <c r="T199" s="6" t="s">
        <v>1976</v>
      </c>
      <c r="U199" s="9" t="b">
        <v>1</v>
      </c>
    </row>
    <row r="200" spans="1:21" ht="30">
      <c r="A200" s="7" t="s">
        <v>186</v>
      </c>
      <c r="B200" s="15">
        <v>46122</v>
      </c>
      <c r="C200" s="5" t="s">
        <v>188</v>
      </c>
      <c r="D200" s="14">
        <v>7</v>
      </c>
      <c r="E200" s="5" t="s">
        <v>1778</v>
      </c>
      <c r="F200" s="5" t="s">
        <v>1779</v>
      </c>
      <c r="G200" s="13">
        <v>19</v>
      </c>
      <c r="H200" s="13">
        <v>1</v>
      </c>
      <c r="I200" s="13">
        <v>3</v>
      </c>
      <c r="J200" s="13">
        <v>2</v>
      </c>
      <c r="K200" s="14">
        <f t="shared" si="6"/>
        <v>6</v>
      </c>
      <c r="L200" s="5" t="str">
        <f t="shared" si="7"/>
        <v>HIGH</v>
      </c>
      <c r="M200" s="4" t="s">
        <v>1780</v>
      </c>
      <c r="N200" s="8" t="b">
        <v>0</v>
      </c>
      <c r="O200" s="6" t="s">
        <v>1781</v>
      </c>
      <c r="P200" s="6" t="s">
        <v>1782</v>
      </c>
      <c r="Q200" s="6"/>
      <c r="R200" s="9" t="b">
        <v>1</v>
      </c>
      <c r="S200" s="6" t="s">
        <v>191</v>
      </c>
      <c r="T200" s="6" t="s">
        <v>1977</v>
      </c>
      <c r="U200" s="9" t="b">
        <v>1</v>
      </c>
    </row>
    <row r="201" spans="1:21" ht="30">
      <c r="A201" s="7" t="s">
        <v>192</v>
      </c>
      <c r="B201" s="15">
        <v>46155</v>
      </c>
      <c r="C201" s="5" t="s">
        <v>194</v>
      </c>
      <c r="D201" s="14">
        <v>1</v>
      </c>
      <c r="E201" s="5" t="s">
        <v>1714</v>
      </c>
      <c r="F201" s="5" t="s">
        <v>1774</v>
      </c>
      <c r="G201" s="13">
        <v>24</v>
      </c>
      <c r="H201" s="13">
        <v>2</v>
      </c>
      <c r="I201" s="13">
        <v>2</v>
      </c>
      <c r="J201" s="13">
        <v>1</v>
      </c>
      <c r="K201" s="14">
        <f t="shared" si="6"/>
        <v>2</v>
      </c>
      <c r="L201" s="5" t="str">
        <f t="shared" si="7"/>
        <v>LOW</v>
      </c>
      <c r="M201" s="4" t="s">
        <v>1716</v>
      </c>
      <c r="N201" s="8" t="b">
        <v>0</v>
      </c>
      <c r="O201" s="6" t="s">
        <v>1717</v>
      </c>
      <c r="P201" s="6" t="s">
        <v>1775</v>
      </c>
      <c r="Q201" s="6"/>
      <c r="R201" s="9" t="b">
        <v>1</v>
      </c>
      <c r="S201" s="6" t="s">
        <v>197</v>
      </c>
      <c r="T201" s="6" t="s">
        <v>1978</v>
      </c>
      <c r="U201" s="9" t="b">
        <v>1</v>
      </c>
    </row>
    <row r="202" spans="1:21" ht="30">
      <c r="A202" s="7" t="s">
        <v>192</v>
      </c>
      <c r="B202" s="15">
        <v>46155</v>
      </c>
      <c r="C202" s="5" t="s">
        <v>194</v>
      </c>
      <c r="D202" s="14">
        <v>2</v>
      </c>
      <c r="E202" s="5" t="s">
        <v>1714</v>
      </c>
      <c r="F202" s="5" t="s">
        <v>1928</v>
      </c>
      <c r="G202" s="13">
        <v>27</v>
      </c>
      <c r="H202" s="13">
        <v>0</v>
      </c>
      <c r="I202" s="13">
        <v>1</v>
      </c>
      <c r="J202" s="13">
        <v>2</v>
      </c>
      <c r="K202" s="14">
        <f t="shared" si="6"/>
        <v>2</v>
      </c>
      <c r="L202" s="5" t="str">
        <f t="shared" si="7"/>
        <v>LOW</v>
      </c>
      <c r="M202" s="4" t="s">
        <v>1716</v>
      </c>
      <c r="N202" s="8" t="b">
        <v>0</v>
      </c>
      <c r="O202" s="6" t="s">
        <v>1717</v>
      </c>
      <c r="P202" s="6" t="s">
        <v>1929</v>
      </c>
      <c r="Q202" s="6"/>
      <c r="R202" s="9" t="b">
        <v>1</v>
      </c>
      <c r="S202" s="6" t="s">
        <v>197</v>
      </c>
      <c r="T202" s="6" t="s">
        <v>1979</v>
      </c>
      <c r="U202" s="9" t="b">
        <v>1</v>
      </c>
    </row>
    <row r="203" spans="1:21" ht="30">
      <c r="A203" s="7" t="s">
        <v>192</v>
      </c>
      <c r="B203" s="15">
        <v>46155</v>
      </c>
      <c r="C203" s="5" t="s">
        <v>194</v>
      </c>
      <c r="D203" s="14">
        <v>3</v>
      </c>
      <c r="E203" s="5" t="s">
        <v>1714</v>
      </c>
      <c r="F203" s="5" t="s">
        <v>1788</v>
      </c>
      <c r="G203" s="13">
        <v>30</v>
      </c>
      <c r="H203" s="13">
        <v>1</v>
      </c>
      <c r="I203" s="13">
        <v>1</v>
      </c>
      <c r="J203" s="13">
        <v>1</v>
      </c>
      <c r="K203" s="14">
        <f t="shared" si="6"/>
        <v>1</v>
      </c>
      <c r="L203" s="5" t="str">
        <f t="shared" si="7"/>
        <v>LOW</v>
      </c>
      <c r="M203" s="4" t="s">
        <v>1716</v>
      </c>
      <c r="N203" s="8" t="b">
        <v>0</v>
      </c>
      <c r="O203" s="6" t="s">
        <v>1717</v>
      </c>
      <c r="P203" s="6" t="s">
        <v>1789</v>
      </c>
      <c r="Q203" s="6"/>
      <c r="R203" s="9" t="b">
        <v>1</v>
      </c>
      <c r="S203" s="6" t="s">
        <v>197</v>
      </c>
      <c r="T203" s="6" t="s">
        <v>1980</v>
      </c>
      <c r="U203" s="9" t="b">
        <v>1</v>
      </c>
    </row>
    <row r="204" spans="1:21" ht="30">
      <c r="A204" s="7" t="s">
        <v>192</v>
      </c>
      <c r="B204" s="15">
        <v>46155</v>
      </c>
      <c r="C204" s="5" t="s">
        <v>194</v>
      </c>
      <c r="D204" s="14">
        <v>4</v>
      </c>
      <c r="E204" s="5" t="s">
        <v>1720</v>
      </c>
      <c r="F204" s="5" t="s">
        <v>1721</v>
      </c>
      <c r="G204" s="13">
        <v>33</v>
      </c>
      <c r="H204" s="13">
        <v>2</v>
      </c>
      <c r="I204" s="13">
        <v>2</v>
      </c>
      <c r="J204" s="13">
        <v>1</v>
      </c>
      <c r="K204" s="14">
        <f t="shared" si="6"/>
        <v>2</v>
      </c>
      <c r="L204" s="5" t="str">
        <f t="shared" si="7"/>
        <v>LOW</v>
      </c>
      <c r="M204" s="4" t="s">
        <v>1722</v>
      </c>
      <c r="N204" s="8" t="b">
        <v>0</v>
      </c>
      <c r="O204" s="6" t="s">
        <v>1723</v>
      </c>
      <c r="P204" s="6" t="s">
        <v>1724</v>
      </c>
      <c r="Q204" s="6"/>
      <c r="R204" s="9" t="b">
        <v>1</v>
      </c>
      <c r="S204" s="6" t="s">
        <v>197</v>
      </c>
      <c r="T204" s="6" t="s">
        <v>1981</v>
      </c>
      <c r="U204" s="9" t="b">
        <v>1</v>
      </c>
    </row>
    <row r="205" spans="1:21" ht="30">
      <c r="A205" s="7" t="s">
        <v>192</v>
      </c>
      <c r="B205" s="15">
        <v>46155</v>
      </c>
      <c r="C205" s="5" t="s">
        <v>194</v>
      </c>
      <c r="D205" s="14">
        <v>5</v>
      </c>
      <c r="E205" s="5" t="s">
        <v>1745</v>
      </c>
      <c r="F205" s="5" t="s">
        <v>1746</v>
      </c>
      <c r="G205" s="13">
        <v>1</v>
      </c>
      <c r="H205" s="13">
        <v>0</v>
      </c>
      <c r="I205" s="13">
        <v>1</v>
      </c>
      <c r="J205" s="13">
        <v>2</v>
      </c>
      <c r="K205" s="14">
        <f t="shared" si="6"/>
        <v>2</v>
      </c>
      <c r="L205" s="5" t="str">
        <f t="shared" si="7"/>
        <v>LOW</v>
      </c>
      <c r="M205" s="4" t="s">
        <v>1747</v>
      </c>
      <c r="N205" s="8" t="b">
        <v>0</v>
      </c>
      <c r="O205" s="6" t="s">
        <v>1748</v>
      </c>
      <c r="P205" s="6" t="s">
        <v>1749</v>
      </c>
      <c r="Q205" s="6"/>
      <c r="R205" s="9" t="b">
        <v>1</v>
      </c>
      <c r="S205" s="6" t="s">
        <v>197</v>
      </c>
      <c r="T205" s="6" t="s">
        <v>1982</v>
      </c>
      <c r="U205" s="9" t="b">
        <v>1</v>
      </c>
    </row>
    <row r="206" spans="1:21" ht="45">
      <c r="A206" s="7" t="s">
        <v>192</v>
      </c>
      <c r="B206" s="15">
        <v>46155</v>
      </c>
      <c r="C206" s="5" t="s">
        <v>194</v>
      </c>
      <c r="D206" s="14">
        <v>6</v>
      </c>
      <c r="E206" s="5" t="s">
        <v>1729</v>
      </c>
      <c r="F206" s="5" t="s">
        <v>1730</v>
      </c>
      <c r="G206" s="13">
        <v>4</v>
      </c>
      <c r="H206" s="13">
        <v>1</v>
      </c>
      <c r="I206" s="13">
        <v>1</v>
      </c>
      <c r="J206" s="13">
        <v>1</v>
      </c>
      <c r="K206" s="14">
        <f t="shared" si="6"/>
        <v>1</v>
      </c>
      <c r="L206" s="5" t="str">
        <f t="shared" si="7"/>
        <v>LOW</v>
      </c>
      <c r="M206" s="4" t="s">
        <v>1731</v>
      </c>
      <c r="N206" s="8" t="b">
        <v>0</v>
      </c>
      <c r="O206" s="6" t="s">
        <v>1732</v>
      </c>
      <c r="P206" s="6" t="s">
        <v>1733</v>
      </c>
      <c r="Q206" s="6"/>
      <c r="R206" s="9" t="b">
        <v>1</v>
      </c>
      <c r="S206" s="6" t="s">
        <v>197</v>
      </c>
      <c r="T206" s="6" t="s">
        <v>1983</v>
      </c>
      <c r="U206" s="9" t="b">
        <v>1</v>
      </c>
    </row>
    <row r="207" spans="1:21" ht="30">
      <c r="A207" s="7" t="s">
        <v>198</v>
      </c>
      <c r="B207" s="15">
        <v>46189</v>
      </c>
      <c r="C207" s="5" t="s">
        <v>200</v>
      </c>
      <c r="D207" s="14">
        <v>1</v>
      </c>
      <c r="E207" s="5" t="s">
        <v>1714</v>
      </c>
      <c r="F207" s="5" t="s">
        <v>1774</v>
      </c>
      <c r="G207" s="13">
        <v>19</v>
      </c>
      <c r="H207" s="13">
        <v>0</v>
      </c>
      <c r="I207" s="13">
        <v>1</v>
      </c>
      <c r="J207" s="13">
        <v>3</v>
      </c>
      <c r="K207" s="14">
        <f t="shared" si="6"/>
        <v>3</v>
      </c>
      <c r="L207" s="5" t="str">
        <f t="shared" si="7"/>
        <v>MEDIUM</v>
      </c>
      <c r="M207" s="4" t="s">
        <v>1716</v>
      </c>
      <c r="N207" s="8" t="b">
        <v>0</v>
      </c>
      <c r="O207" s="6" t="s">
        <v>1717</v>
      </c>
      <c r="P207" s="6" t="s">
        <v>1775</v>
      </c>
      <c r="Q207" s="6"/>
      <c r="R207" s="9" t="b">
        <v>1</v>
      </c>
      <c r="S207" s="6" t="s">
        <v>203</v>
      </c>
      <c r="T207" s="6" t="s">
        <v>1984</v>
      </c>
      <c r="U207" s="9" t="b">
        <v>1</v>
      </c>
    </row>
    <row r="208" spans="1:21" ht="30">
      <c r="A208" s="7" t="s">
        <v>198</v>
      </c>
      <c r="B208" s="15">
        <v>46189</v>
      </c>
      <c r="C208" s="5" t="s">
        <v>200</v>
      </c>
      <c r="D208" s="14">
        <v>2</v>
      </c>
      <c r="E208" s="5" t="s">
        <v>1714</v>
      </c>
      <c r="F208" s="5" t="s">
        <v>1928</v>
      </c>
      <c r="G208" s="13">
        <v>22</v>
      </c>
      <c r="H208" s="13">
        <v>1</v>
      </c>
      <c r="I208" s="13">
        <v>3</v>
      </c>
      <c r="J208" s="13">
        <v>1</v>
      </c>
      <c r="K208" s="14">
        <f t="shared" si="6"/>
        <v>3</v>
      </c>
      <c r="L208" s="5" t="str">
        <f t="shared" si="7"/>
        <v>MEDIUM</v>
      </c>
      <c r="M208" s="4" t="s">
        <v>1716</v>
      </c>
      <c r="N208" s="8" t="b">
        <v>0</v>
      </c>
      <c r="O208" s="6" t="s">
        <v>1717</v>
      </c>
      <c r="P208" s="6" t="s">
        <v>1929</v>
      </c>
      <c r="Q208" s="6"/>
      <c r="R208" s="9" t="b">
        <v>1</v>
      </c>
      <c r="S208" s="6" t="s">
        <v>203</v>
      </c>
      <c r="T208" s="6" t="s">
        <v>1985</v>
      </c>
      <c r="U208" s="9" t="b">
        <v>1</v>
      </c>
    </row>
    <row r="209" spans="1:21" ht="30">
      <c r="A209" s="7" t="s">
        <v>198</v>
      </c>
      <c r="B209" s="15">
        <v>46189</v>
      </c>
      <c r="C209" s="5" t="s">
        <v>200</v>
      </c>
      <c r="D209" s="14">
        <v>3</v>
      </c>
      <c r="E209" s="5" t="s">
        <v>1714</v>
      </c>
      <c r="F209" s="5" t="s">
        <v>1788</v>
      </c>
      <c r="G209" s="13">
        <v>25</v>
      </c>
      <c r="H209" s="13">
        <v>2</v>
      </c>
      <c r="I209" s="13">
        <v>2</v>
      </c>
      <c r="J209" s="13">
        <v>2</v>
      </c>
      <c r="K209" s="14">
        <f t="shared" si="6"/>
        <v>4</v>
      </c>
      <c r="L209" s="5" t="str">
        <f t="shared" si="7"/>
        <v>MEDIUM</v>
      </c>
      <c r="M209" s="4" t="s">
        <v>1716</v>
      </c>
      <c r="N209" s="8" t="b">
        <v>0</v>
      </c>
      <c r="O209" s="6" t="s">
        <v>1717</v>
      </c>
      <c r="P209" s="6" t="s">
        <v>1789</v>
      </c>
      <c r="Q209" s="6"/>
      <c r="R209" s="9" t="b">
        <v>1</v>
      </c>
      <c r="S209" s="6" t="s">
        <v>203</v>
      </c>
      <c r="T209" s="6" t="s">
        <v>1986</v>
      </c>
      <c r="U209" s="9" t="b">
        <v>1</v>
      </c>
    </row>
    <row r="210" spans="1:21" ht="30">
      <c r="A210" s="7" t="s">
        <v>198</v>
      </c>
      <c r="B210" s="15">
        <v>46189</v>
      </c>
      <c r="C210" s="5" t="s">
        <v>200</v>
      </c>
      <c r="D210" s="14">
        <v>4</v>
      </c>
      <c r="E210" s="5" t="s">
        <v>1720</v>
      </c>
      <c r="F210" s="5" t="s">
        <v>1721</v>
      </c>
      <c r="G210" s="13">
        <v>28</v>
      </c>
      <c r="H210" s="13">
        <v>0</v>
      </c>
      <c r="I210" s="13">
        <v>1</v>
      </c>
      <c r="J210" s="13">
        <v>3</v>
      </c>
      <c r="K210" s="14">
        <f t="shared" si="6"/>
        <v>3</v>
      </c>
      <c r="L210" s="5" t="str">
        <f t="shared" si="7"/>
        <v>MEDIUM</v>
      </c>
      <c r="M210" s="4" t="s">
        <v>1722</v>
      </c>
      <c r="N210" s="8" t="b">
        <v>0</v>
      </c>
      <c r="O210" s="6" t="s">
        <v>1723</v>
      </c>
      <c r="P210" s="6" t="s">
        <v>1724</v>
      </c>
      <c r="Q210" s="6"/>
      <c r="R210" s="9" t="b">
        <v>1</v>
      </c>
      <c r="S210" s="6" t="s">
        <v>203</v>
      </c>
      <c r="T210" s="6" t="s">
        <v>1987</v>
      </c>
      <c r="U210" s="9" t="b">
        <v>1</v>
      </c>
    </row>
    <row r="211" spans="1:21" ht="30">
      <c r="A211" s="7" t="s">
        <v>198</v>
      </c>
      <c r="B211" s="15">
        <v>46189</v>
      </c>
      <c r="C211" s="5" t="s">
        <v>200</v>
      </c>
      <c r="D211" s="14">
        <v>5</v>
      </c>
      <c r="E211" s="5" t="s">
        <v>1745</v>
      </c>
      <c r="F211" s="5" t="s">
        <v>1746</v>
      </c>
      <c r="G211" s="13">
        <v>31</v>
      </c>
      <c r="H211" s="13">
        <v>1</v>
      </c>
      <c r="I211" s="13">
        <v>3</v>
      </c>
      <c r="J211" s="13">
        <v>1</v>
      </c>
      <c r="K211" s="14">
        <f t="shared" si="6"/>
        <v>3</v>
      </c>
      <c r="L211" s="5" t="str">
        <f t="shared" si="7"/>
        <v>MEDIUM</v>
      </c>
      <c r="M211" s="4" t="s">
        <v>1747</v>
      </c>
      <c r="N211" s="8" t="b">
        <v>0</v>
      </c>
      <c r="O211" s="6" t="s">
        <v>1748</v>
      </c>
      <c r="P211" s="6" t="s">
        <v>1749</v>
      </c>
      <c r="Q211" s="6"/>
      <c r="R211" s="9" t="b">
        <v>1</v>
      </c>
      <c r="S211" s="6" t="s">
        <v>203</v>
      </c>
      <c r="T211" s="6" t="s">
        <v>1988</v>
      </c>
      <c r="U211" s="9" t="b">
        <v>1</v>
      </c>
    </row>
    <row r="212" spans="1:21" ht="30">
      <c r="A212" s="7" t="s">
        <v>198</v>
      </c>
      <c r="B212" s="15">
        <v>46189</v>
      </c>
      <c r="C212" s="5" t="s">
        <v>200</v>
      </c>
      <c r="D212" s="14">
        <v>6</v>
      </c>
      <c r="E212" s="5" t="s">
        <v>1778</v>
      </c>
      <c r="F212" s="5" t="s">
        <v>1804</v>
      </c>
      <c r="G212" s="13">
        <v>34</v>
      </c>
      <c r="H212" s="13">
        <v>2</v>
      </c>
      <c r="I212" s="13">
        <v>2</v>
      </c>
      <c r="J212" s="13">
        <v>2</v>
      </c>
      <c r="K212" s="14">
        <f t="shared" si="6"/>
        <v>4</v>
      </c>
      <c r="L212" s="5" t="str">
        <f t="shared" si="7"/>
        <v>MEDIUM</v>
      </c>
      <c r="M212" s="4" t="s">
        <v>1780</v>
      </c>
      <c r="N212" s="8" t="b">
        <v>0</v>
      </c>
      <c r="O212" s="6" t="s">
        <v>1781</v>
      </c>
      <c r="P212" s="6" t="s">
        <v>1805</v>
      </c>
      <c r="Q212" s="6"/>
      <c r="R212" s="9" t="b">
        <v>1</v>
      </c>
      <c r="S212" s="6" t="s">
        <v>203</v>
      </c>
      <c r="T212" s="6" t="s">
        <v>1989</v>
      </c>
      <c r="U212" s="9" t="b">
        <v>1</v>
      </c>
    </row>
    <row r="213" spans="1:21" ht="30">
      <c r="A213" s="7" t="s">
        <v>198</v>
      </c>
      <c r="B213" s="15">
        <v>46189</v>
      </c>
      <c r="C213" s="5" t="s">
        <v>200</v>
      </c>
      <c r="D213" s="14">
        <v>7</v>
      </c>
      <c r="E213" s="5" t="s">
        <v>1720</v>
      </c>
      <c r="F213" s="5" t="s">
        <v>1990</v>
      </c>
      <c r="G213" s="13">
        <v>37</v>
      </c>
      <c r="H213" s="13">
        <v>0</v>
      </c>
      <c r="I213" s="13">
        <v>1</v>
      </c>
      <c r="J213" s="13">
        <v>3</v>
      </c>
      <c r="K213" s="14">
        <f t="shared" si="6"/>
        <v>3</v>
      </c>
      <c r="L213" s="5" t="str">
        <f t="shared" si="7"/>
        <v>MEDIUM</v>
      </c>
      <c r="M213" s="4" t="s">
        <v>1722</v>
      </c>
      <c r="N213" s="8" t="b">
        <v>0</v>
      </c>
      <c r="O213" s="6" t="s">
        <v>1723</v>
      </c>
      <c r="P213" s="6" t="s">
        <v>1836</v>
      </c>
      <c r="Q213" s="6" t="s">
        <v>1990</v>
      </c>
      <c r="R213" s="9" t="b">
        <v>1</v>
      </c>
      <c r="S213" s="6" t="s">
        <v>203</v>
      </c>
      <c r="T213" s="6" t="s">
        <v>1991</v>
      </c>
      <c r="U213" s="9" t="b">
        <v>1</v>
      </c>
    </row>
    <row r="214" spans="1:21" ht="30">
      <c r="A214" s="7" t="s">
        <v>204</v>
      </c>
      <c r="B214" s="15">
        <v>46041</v>
      </c>
      <c r="C214" s="5" t="s">
        <v>206</v>
      </c>
      <c r="D214" s="14">
        <v>1</v>
      </c>
      <c r="E214" s="5" t="s">
        <v>1714</v>
      </c>
      <c r="F214" s="5" t="s">
        <v>1774</v>
      </c>
      <c r="G214" s="13">
        <v>14</v>
      </c>
      <c r="H214" s="13">
        <v>1</v>
      </c>
      <c r="I214" s="13">
        <v>1</v>
      </c>
      <c r="J214" s="13">
        <v>2</v>
      </c>
      <c r="K214" s="14">
        <f t="shared" si="6"/>
        <v>2</v>
      </c>
      <c r="L214" s="5" t="str">
        <f t="shared" si="7"/>
        <v>LOW</v>
      </c>
      <c r="M214" s="4" t="s">
        <v>1716</v>
      </c>
      <c r="N214" s="8" t="b">
        <v>0</v>
      </c>
      <c r="O214" s="6" t="s">
        <v>1717</v>
      </c>
      <c r="P214" s="6" t="s">
        <v>1775</v>
      </c>
      <c r="Q214" s="6"/>
      <c r="R214" s="9" t="b">
        <v>1</v>
      </c>
      <c r="S214" s="6" t="s">
        <v>209</v>
      </c>
      <c r="T214" s="6" t="s">
        <v>1992</v>
      </c>
      <c r="U214" s="9" t="b">
        <v>1</v>
      </c>
    </row>
    <row r="215" spans="1:21" ht="30">
      <c r="A215" s="7" t="s">
        <v>204</v>
      </c>
      <c r="B215" s="15">
        <v>46041</v>
      </c>
      <c r="C215" s="5" t="s">
        <v>206</v>
      </c>
      <c r="D215" s="14">
        <v>2</v>
      </c>
      <c r="E215" s="5" t="s">
        <v>1714</v>
      </c>
      <c r="F215" s="5" t="s">
        <v>1928</v>
      </c>
      <c r="G215" s="13">
        <v>17</v>
      </c>
      <c r="H215" s="13">
        <v>2</v>
      </c>
      <c r="I215" s="13">
        <v>1</v>
      </c>
      <c r="J215" s="13">
        <v>1</v>
      </c>
      <c r="K215" s="14">
        <f t="shared" si="6"/>
        <v>1</v>
      </c>
      <c r="L215" s="5" t="str">
        <f t="shared" si="7"/>
        <v>LOW</v>
      </c>
      <c r="M215" s="4" t="s">
        <v>1716</v>
      </c>
      <c r="N215" s="8" t="b">
        <v>0</v>
      </c>
      <c r="O215" s="6" t="s">
        <v>1717</v>
      </c>
      <c r="P215" s="6" t="s">
        <v>1929</v>
      </c>
      <c r="Q215" s="6"/>
      <c r="R215" s="9" t="b">
        <v>1</v>
      </c>
      <c r="S215" s="6" t="s">
        <v>209</v>
      </c>
      <c r="T215" s="6" t="s">
        <v>1993</v>
      </c>
      <c r="U215" s="9" t="b">
        <v>1</v>
      </c>
    </row>
    <row r="216" spans="1:21" ht="30">
      <c r="A216" s="7" t="s">
        <v>204</v>
      </c>
      <c r="B216" s="15">
        <v>46041</v>
      </c>
      <c r="C216" s="5" t="s">
        <v>206</v>
      </c>
      <c r="D216" s="14">
        <v>3</v>
      </c>
      <c r="E216" s="5" t="s">
        <v>1714</v>
      </c>
      <c r="F216" s="5" t="s">
        <v>1788</v>
      </c>
      <c r="G216" s="13">
        <v>20</v>
      </c>
      <c r="H216" s="13">
        <v>0</v>
      </c>
      <c r="I216" s="13">
        <v>2</v>
      </c>
      <c r="J216" s="13">
        <v>1</v>
      </c>
      <c r="K216" s="14">
        <f t="shared" si="6"/>
        <v>2</v>
      </c>
      <c r="L216" s="5" t="str">
        <f t="shared" si="7"/>
        <v>LOW</v>
      </c>
      <c r="M216" s="4" t="s">
        <v>1716</v>
      </c>
      <c r="N216" s="8" t="b">
        <v>0</v>
      </c>
      <c r="O216" s="6" t="s">
        <v>1717</v>
      </c>
      <c r="P216" s="6" t="s">
        <v>1789</v>
      </c>
      <c r="Q216" s="6"/>
      <c r="R216" s="9" t="b">
        <v>1</v>
      </c>
      <c r="S216" s="6" t="s">
        <v>209</v>
      </c>
      <c r="T216" s="6" t="s">
        <v>1994</v>
      </c>
      <c r="U216" s="9" t="b">
        <v>1</v>
      </c>
    </row>
    <row r="217" spans="1:21" ht="30">
      <c r="A217" s="7" t="s">
        <v>204</v>
      </c>
      <c r="B217" s="15">
        <v>46041</v>
      </c>
      <c r="C217" s="5" t="s">
        <v>206</v>
      </c>
      <c r="D217" s="14">
        <v>4</v>
      </c>
      <c r="E217" s="5" t="s">
        <v>1720</v>
      </c>
      <c r="F217" s="5" t="s">
        <v>1721</v>
      </c>
      <c r="G217" s="13">
        <v>23</v>
      </c>
      <c r="H217" s="13">
        <v>1</v>
      </c>
      <c r="I217" s="13">
        <v>1</v>
      </c>
      <c r="J217" s="13">
        <v>2</v>
      </c>
      <c r="K217" s="14">
        <f t="shared" si="6"/>
        <v>2</v>
      </c>
      <c r="L217" s="5" t="str">
        <f t="shared" si="7"/>
        <v>LOW</v>
      </c>
      <c r="M217" s="4" t="s">
        <v>1722</v>
      </c>
      <c r="N217" s="8" t="b">
        <v>0</v>
      </c>
      <c r="O217" s="6" t="s">
        <v>1723</v>
      </c>
      <c r="P217" s="6" t="s">
        <v>1724</v>
      </c>
      <c r="Q217" s="6"/>
      <c r="R217" s="9" t="b">
        <v>1</v>
      </c>
      <c r="S217" s="6" t="s">
        <v>209</v>
      </c>
      <c r="T217" s="6" t="s">
        <v>1995</v>
      </c>
      <c r="U217" s="9" t="b">
        <v>1</v>
      </c>
    </row>
    <row r="218" spans="1:21" ht="30">
      <c r="A218" s="7" t="s">
        <v>204</v>
      </c>
      <c r="B218" s="15">
        <v>46041</v>
      </c>
      <c r="C218" s="5" t="s">
        <v>206</v>
      </c>
      <c r="D218" s="14">
        <v>5</v>
      </c>
      <c r="E218" s="5" t="s">
        <v>1745</v>
      </c>
      <c r="F218" s="5" t="s">
        <v>1746</v>
      </c>
      <c r="G218" s="13">
        <v>26</v>
      </c>
      <c r="H218" s="13">
        <v>2</v>
      </c>
      <c r="I218" s="13">
        <v>1</v>
      </c>
      <c r="J218" s="13">
        <v>1</v>
      </c>
      <c r="K218" s="14">
        <f t="shared" si="6"/>
        <v>1</v>
      </c>
      <c r="L218" s="5" t="str">
        <f t="shared" si="7"/>
        <v>LOW</v>
      </c>
      <c r="M218" s="4" t="s">
        <v>1747</v>
      </c>
      <c r="N218" s="8" t="b">
        <v>0</v>
      </c>
      <c r="O218" s="6" t="s">
        <v>1748</v>
      </c>
      <c r="P218" s="6" t="s">
        <v>1749</v>
      </c>
      <c r="Q218" s="6"/>
      <c r="R218" s="9" t="b">
        <v>1</v>
      </c>
      <c r="S218" s="6" t="s">
        <v>209</v>
      </c>
      <c r="T218" s="6" t="s">
        <v>1996</v>
      </c>
      <c r="U218" s="9" t="b">
        <v>1</v>
      </c>
    </row>
    <row r="219" spans="1:21" ht="30">
      <c r="A219" s="7" t="s">
        <v>204</v>
      </c>
      <c r="B219" s="15">
        <v>46041</v>
      </c>
      <c r="C219" s="5" t="s">
        <v>206</v>
      </c>
      <c r="D219" s="14">
        <v>6</v>
      </c>
      <c r="E219" s="5" t="s">
        <v>1708</v>
      </c>
      <c r="F219" s="5" t="s">
        <v>1735</v>
      </c>
      <c r="G219" s="13">
        <v>29</v>
      </c>
      <c r="H219" s="13">
        <v>0</v>
      </c>
      <c r="I219" s="13">
        <v>2</v>
      </c>
      <c r="J219" s="13">
        <v>1</v>
      </c>
      <c r="K219" s="14">
        <f t="shared" si="6"/>
        <v>2</v>
      </c>
      <c r="L219" s="5" t="str">
        <f t="shared" si="7"/>
        <v>LOW</v>
      </c>
      <c r="M219" s="4" t="s">
        <v>1710</v>
      </c>
      <c r="N219" s="8" t="b">
        <v>0</v>
      </c>
      <c r="O219" s="6" t="s">
        <v>1711</v>
      </c>
      <c r="P219" s="6" t="s">
        <v>1736</v>
      </c>
      <c r="Q219" s="6"/>
      <c r="R219" s="9" t="b">
        <v>1</v>
      </c>
      <c r="S219" s="6" t="s">
        <v>209</v>
      </c>
      <c r="T219" s="6" t="s">
        <v>1997</v>
      </c>
      <c r="U219" s="9" t="b">
        <v>1</v>
      </c>
    </row>
    <row r="220" spans="1:21" ht="30">
      <c r="A220" s="7" t="s">
        <v>210</v>
      </c>
      <c r="B220" s="15">
        <v>46075</v>
      </c>
      <c r="C220" s="5" t="s">
        <v>212</v>
      </c>
      <c r="D220" s="14">
        <v>1</v>
      </c>
      <c r="E220" s="5" t="s">
        <v>1714</v>
      </c>
      <c r="F220" s="5" t="s">
        <v>1774</v>
      </c>
      <c r="G220" s="13">
        <v>9</v>
      </c>
      <c r="H220" s="13">
        <v>2</v>
      </c>
      <c r="I220" s="13">
        <v>2</v>
      </c>
      <c r="J220" s="13">
        <v>1</v>
      </c>
      <c r="K220" s="14">
        <f t="shared" si="6"/>
        <v>2</v>
      </c>
      <c r="L220" s="5" t="str">
        <f t="shared" si="7"/>
        <v>LOW</v>
      </c>
      <c r="M220" s="4" t="s">
        <v>1716</v>
      </c>
      <c r="N220" s="8" t="b">
        <v>0</v>
      </c>
      <c r="O220" s="6" t="s">
        <v>1717</v>
      </c>
      <c r="P220" s="6" t="s">
        <v>1775</v>
      </c>
      <c r="Q220" s="6"/>
      <c r="R220" s="9" t="b">
        <v>1</v>
      </c>
      <c r="S220" s="6" t="s">
        <v>215</v>
      </c>
      <c r="T220" s="6" t="s">
        <v>1998</v>
      </c>
      <c r="U220" s="9" t="b">
        <v>1</v>
      </c>
    </row>
    <row r="221" spans="1:21" ht="30">
      <c r="A221" s="7" t="s">
        <v>210</v>
      </c>
      <c r="B221" s="15">
        <v>46075</v>
      </c>
      <c r="C221" s="5" t="s">
        <v>212</v>
      </c>
      <c r="D221" s="14">
        <v>2</v>
      </c>
      <c r="E221" s="5" t="s">
        <v>1714</v>
      </c>
      <c r="F221" s="5" t="s">
        <v>1928</v>
      </c>
      <c r="G221" s="13">
        <v>12</v>
      </c>
      <c r="H221" s="13">
        <v>0</v>
      </c>
      <c r="I221" s="13">
        <v>1</v>
      </c>
      <c r="J221" s="13">
        <v>2</v>
      </c>
      <c r="K221" s="14">
        <f t="shared" si="6"/>
        <v>2</v>
      </c>
      <c r="L221" s="5" t="str">
        <f t="shared" si="7"/>
        <v>LOW</v>
      </c>
      <c r="M221" s="4" t="s">
        <v>1716</v>
      </c>
      <c r="N221" s="8" t="b">
        <v>0</v>
      </c>
      <c r="O221" s="6" t="s">
        <v>1717</v>
      </c>
      <c r="P221" s="6" t="s">
        <v>1929</v>
      </c>
      <c r="Q221" s="6"/>
      <c r="R221" s="9" t="b">
        <v>1</v>
      </c>
      <c r="S221" s="6" t="s">
        <v>215</v>
      </c>
      <c r="T221" s="6" t="s">
        <v>1999</v>
      </c>
      <c r="U221" s="9" t="b">
        <v>1</v>
      </c>
    </row>
    <row r="222" spans="1:21" ht="30">
      <c r="A222" s="7" t="s">
        <v>210</v>
      </c>
      <c r="B222" s="15">
        <v>46075</v>
      </c>
      <c r="C222" s="5" t="s">
        <v>212</v>
      </c>
      <c r="D222" s="14">
        <v>3</v>
      </c>
      <c r="E222" s="5" t="s">
        <v>1714</v>
      </c>
      <c r="F222" s="5" t="s">
        <v>1788</v>
      </c>
      <c r="G222" s="13">
        <v>15</v>
      </c>
      <c r="H222" s="13">
        <v>1</v>
      </c>
      <c r="I222" s="13">
        <v>1</v>
      </c>
      <c r="J222" s="13">
        <v>1</v>
      </c>
      <c r="K222" s="14">
        <f t="shared" si="6"/>
        <v>1</v>
      </c>
      <c r="L222" s="5" t="str">
        <f t="shared" si="7"/>
        <v>LOW</v>
      </c>
      <c r="M222" s="4" t="s">
        <v>1716</v>
      </c>
      <c r="N222" s="8" t="b">
        <v>0</v>
      </c>
      <c r="O222" s="6" t="s">
        <v>1717</v>
      </c>
      <c r="P222" s="6" t="s">
        <v>1789</v>
      </c>
      <c r="Q222" s="6"/>
      <c r="R222" s="9" t="b">
        <v>1</v>
      </c>
      <c r="S222" s="6" t="s">
        <v>215</v>
      </c>
      <c r="T222" s="6" t="s">
        <v>2000</v>
      </c>
      <c r="U222" s="9" t="b">
        <v>1</v>
      </c>
    </row>
    <row r="223" spans="1:21" ht="30">
      <c r="A223" s="7" t="s">
        <v>210</v>
      </c>
      <c r="B223" s="15">
        <v>46075</v>
      </c>
      <c r="C223" s="5" t="s">
        <v>212</v>
      </c>
      <c r="D223" s="14">
        <v>4</v>
      </c>
      <c r="E223" s="5" t="s">
        <v>1720</v>
      </c>
      <c r="F223" s="5" t="s">
        <v>1721</v>
      </c>
      <c r="G223" s="13">
        <v>18</v>
      </c>
      <c r="H223" s="13">
        <v>2</v>
      </c>
      <c r="I223" s="13">
        <v>2</v>
      </c>
      <c r="J223" s="13">
        <v>1</v>
      </c>
      <c r="K223" s="14">
        <f t="shared" si="6"/>
        <v>2</v>
      </c>
      <c r="L223" s="5" t="str">
        <f t="shared" si="7"/>
        <v>LOW</v>
      </c>
      <c r="M223" s="4" t="s">
        <v>1722</v>
      </c>
      <c r="N223" s="8" t="b">
        <v>0</v>
      </c>
      <c r="O223" s="6" t="s">
        <v>1723</v>
      </c>
      <c r="P223" s="6" t="s">
        <v>1724</v>
      </c>
      <c r="Q223" s="6"/>
      <c r="R223" s="9" t="b">
        <v>1</v>
      </c>
      <c r="S223" s="6" t="s">
        <v>215</v>
      </c>
      <c r="T223" s="6" t="s">
        <v>2001</v>
      </c>
      <c r="U223" s="9" t="b">
        <v>1</v>
      </c>
    </row>
    <row r="224" spans="1:21" ht="30">
      <c r="A224" s="7" t="s">
        <v>210</v>
      </c>
      <c r="B224" s="15">
        <v>46075</v>
      </c>
      <c r="C224" s="5" t="s">
        <v>212</v>
      </c>
      <c r="D224" s="14">
        <v>5</v>
      </c>
      <c r="E224" s="5" t="s">
        <v>1745</v>
      </c>
      <c r="F224" s="5" t="s">
        <v>1746</v>
      </c>
      <c r="G224" s="13">
        <v>21</v>
      </c>
      <c r="H224" s="13">
        <v>0</v>
      </c>
      <c r="I224" s="13">
        <v>1</v>
      </c>
      <c r="J224" s="13">
        <v>2</v>
      </c>
      <c r="K224" s="14">
        <f t="shared" si="6"/>
        <v>2</v>
      </c>
      <c r="L224" s="5" t="str">
        <f t="shared" si="7"/>
        <v>LOW</v>
      </c>
      <c r="M224" s="4" t="s">
        <v>1747</v>
      </c>
      <c r="N224" s="8" t="b">
        <v>0</v>
      </c>
      <c r="O224" s="6" t="s">
        <v>1748</v>
      </c>
      <c r="P224" s="6" t="s">
        <v>1749</v>
      </c>
      <c r="Q224" s="6"/>
      <c r="R224" s="9" t="b">
        <v>1</v>
      </c>
      <c r="S224" s="6" t="s">
        <v>215</v>
      </c>
      <c r="T224" s="6" t="s">
        <v>2002</v>
      </c>
      <c r="U224" s="9" t="b">
        <v>1</v>
      </c>
    </row>
    <row r="225" spans="1:21" ht="30">
      <c r="A225" s="7" t="s">
        <v>216</v>
      </c>
      <c r="B225" s="15">
        <v>46106</v>
      </c>
      <c r="C225" s="5" t="s">
        <v>218</v>
      </c>
      <c r="D225" s="14">
        <v>1</v>
      </c>
      <c r="E225" s="5" t="s">
        <v>1714</v>
      </c>
      <c r="F225" s="5" t="s">
        <v>1774</v>
      </c>
      <c r="G225" s="13">
        <v>4</v>
      </c>
      <c r="H225" s="13">
        <v>0</v>
      </c>
      <c r="I225" s="13">
        <v>1</v>
      </c>
      <c r="J225" s="13">
        <v>3</v>
      </c>
      <c r="K225" s="14">
        <f t="shared" si="6"/>
        <v>3</v>
      </c>
      <c r="L225" s="5" t="str">
        <f t="shared" si="7"/>
        <v>MEDIUM</v>
      </c>
      <c r="M225" s="4" t="s">
        <v>1716</v>
      </c>
      <c r="N225" s="8" t="b">
        <v>0</v>
      </c>
      <c r="O225" s="6" t="s">
        <v>1717</v>
      </c>
      <c r="P225" s="6" t="s">
        <v>1775</v>
      </c>
      <c r="Q225" s="6"/>
      <c r="R225" s="9" t="b">
        <v>1</v>
      </c>
      <c r="S225" s="6" t="s">
        <v>221</v>
      </c>
      <c r="T225" s="6" t="s">
        <v>2003</v>
      </c>
      <c r="U225" s="9" t="b">
        <v>1</v>
      </c>
    </row>
    <row r="226" spans="1:21" ht="30">
      <c r="A226" s="7" t="s">
        <v>216</v>
      </c>
      <c r="B226" s="15">
        <v>46106</v>
      </c>
      <c r="C226" s="5" t="s">
        <v>218</v>
      </c>
      <c r="D226" s="14">
        <v>2</v>
      </c>
      <c r="E226" s="5" t="s">
        <v>1714</v>
      </c>
      <c r="F226" s="5" t="s">
        <v>1928</v>
      </c>
      <c r="G226" s="13">
        <v>7</v>
      </c>
      <c r="H226" s="13">
        <v>1</v>
      </c>
      <c r="I226" s="13">
        <v>3</v>
      </c>
      <c r="J226" s="13">
        <v>1</v>
      </c>
      <c r="K226" s="14">
        <f t="shared" si="6"/>
        <v>3</v>
      </c>
      <c r="L226" s="5" t="str">
        <f t="shared" si="7"/>
        <v>MEDIUM</v>
      </c>
      <c r="M226" s="4" t="s">
        <v>1716</v>
      </c>
      <c r="N226" s="8" t="b">
        <v>0</v>
      </c>
      <c r="O226" s="6" t="s">
        <v>1717</v>
      </c>
      <c r="P226" s="6" t="s">
        <v>1929</v>
      </c>
      <c r="Q226" s="6"/>
      <c r="R226" s="9" t="b">
        <v>1</v>
      </c>
      <c r="S226" s="6" t="s">
        <v>221</v>
      </c>
      <c r="T226" s="6" t="s">
        <v>2004</v>
      </c>
      <c r="U226" s="9" t="b">
        <v>1</v>
      </c>
    </row>
    <row r="227" spans="1:21" ht="30">
      <c r="A227" s="7" t="s">
        <v>216</v>
      </c>
      <c r="B227" s="15">
        <v>46106</v>
      </c>
      <c r="C227" s="5" t="s">
        <v>218</v>
      </c>
      <c r="D227" s="14">
        <v>3</v>
      </c>
      <c r="E227" s="5" t="s">
        <v>1714</v>
      </c>
      <c r="F227" s="5" t="s">
        <v>1788</v>
      </c>
      <c r="G227" s="13">
        <v>10</v>
      </c>
      <c r="H227" s="13">
        <v>2</v>
      </c>
      <c r="I227" s="13">
        <v>2</v>
      </c>
      <c r="J227" s="13">
        <v>2</v>
      </c>
      <c r="K227" s="14">
        <f t="shared" si="6"/>
        <v>4</v>
      </c>
      <c r="L227" s="5" t="str">
        <f t="shared" si="7"/>
        <v>MEDIUM</v>
      </c>
      <c r="M227" s="4" t="s">
        <v>1716</v>
      </c>
      <c r="N227" s="8" t="b">
        <v>0</v>
      </c>
      <c r="O227" s="6" t="s">
        <v>1717</v>
      </c>
      <c r="P227" s="6" t="s">
        <v>1789</v>
      </c>
      <c r="Q227" s="6"/>
      <c r="R227" s="9" t="b">
        <v>1</v>
      </c>
      <c r="S227" s="6" t="s">
        <v>221</v>
      </c>
      <c r="T227" s="6" t="s">
        <v>2005</v>
      </c>
      <c r="U227" s="9" t="b">
        <v>1</v>
      </c>
    </row>
    <row r="228" spans="1:21" ht="30">
      <c r="A228" s="7" t="s">
        <v>216</v>
      </c>
      <c r="B228" s="15">
        <v>46106</v>
      </c>
      <c r="C228" s="5" t="s">
        <v>218</v>
      </c>
      <c r="D228" s="14">
        <v>4</v>
      </c>
      <c r="E228" s="5" t="s">
        <v>1720</v>
      </c>
      <c r="F228" s="5" t="s">
        <v>1721</v>
      </c>
      <c r="G228" s="13">
        <v>13</v>
      </c>
      <c r="H228" s="13">
        <v>0</v>
      </c>
      <c r="I228" s="13">
        <v>1</v>
      </c>
      <c r="J228" s="13">
        <v>3</v>
      </c>
      <c r="K228" s="14">
        <f t="shared" si="6"/>
        <v>3</v>
      </c>
      <c r="L228" s="5" t="str">
        <f t="shared" si="7"/>
        <v>MEDIUM</v>
      </c>
      <c r="M228" s="4" t="s">
        <v>1722</v>
      </c>
      <c r="N228" s="8" t="b">
        <v>0</v>
      </c>
      <c r="O228" s="6" t="s">
        <v>1723</v>
      </c>
      <c r="P228" s="6" t="s">
        <v>1724</v>
      </c>
      <c r="Q228" s="6"/>
      <c r="R228" s="9" t="b">
        <v>1</v>
      </c>
      <c r="S228" s="6" t="s">
        <v>221</v>
      </c>
      <c r="T228" s="6" t="s">
        <v>2006</v>
      </c>
      <c r="U228" s="9" t="b">
        <v>1</v>
      </c>
    </row>
    <row r="229" spans="1:21" ht="30">
      <c r="A229" s="7" t="s">
        <v>216</v>
      </c>
      <c r="B229" s="15">
        <v>46106</v>
      </c>
      <c r="C229" s="5" t="s">
        <v>218</v>
      </c>
      <c r="D229" s="14">
        <v>5</v>
      </c>
      <c r="E229" s="5" t="s">
        <v>1745</v>
      </c>
      <c r="F229" s="5" t="s">
        <v>1746</v>
      </c>
      <c r="G229" s="13">
        <v>16</v>
      </c>
      <c r="H229" s="13">
        <v>1</v>
      </c>
      <c r="I229" s="13">
        <v>3</v>
      </c>
      <c r="J229" s="13">
        <v>1</v>
      </c>
      <c r="K229" s="14">
        <f t="shared" si="6"/>
        <v>3</v>
      </c>
      <c r="L229" s="5" t="str">
        <f t="shared" si="7"/>
        <v>MEDIUM</v>
      </c>
      <c r="M229" s="4" t="s">
        <v>1747</v>
      </c>
      <c r="N229" s="8" t="b">
        <v>0</v>
      </c>
      <c r="O229" s="6" t="s">
        <v>1748</v>
      </c>
      <c r="P229" s="6" t="s">
        <v>1749</v>
      </c>
      <c r="Q229" s="6"/>
      <c r="R229" s="9" t="b">
        <v>1</v>
      </c>
      <c r="S229" s="6" t="s">
        <v>221</v>
      </c>
      <c r="T229" s="6" t="s">
        <v>2007</v>
      </c>
      <c r="U229" s="9" t="b">
        <v>1</v>
      </c>
    </row>
    <row r="230" spans="1:21" ht="30">
      <c r="A230" s="7" t="s">
        <v>216</v>
      </c>
      <c r="B230" s="15">
        <v>46106</v>
      </c>
      <c r="C230" s="5" t="s">
        <v>218</v>
      </c>
      <c r="D230" s="14">
        <v>6</v>
      </c>
      <c r="E230" s="5" t="s">
        <v>1720</v>
      </c>
      <c r="F230" s="5" t="s">
        <v>1726</v>
      </c>
      <c r="G230" s="13">
        <v>19</v>
      </c>
      <c r="H230" s="13">
        <v>2</v>
      </c>
      <c r="I230" s="13">
        <v>2</v>
      </c>
      <c r="J230" s="13">
        <v>2</v>
      </c>
      <c r="K230" s="14">
        <f t="shared" si="6"/>
        <v>4</v>
      </c>
      <c r="L230" s="5" t="str">
        <f t="shared" si="7"/>
        <v>MEDIUM</v>
      </c>
      <c r="M230" s="4" t="s">
        <v>1722</v>
      </c>
      <c r="N230" s="8" t="b">
        <v>0</v>
      </c>
      <c r="O230" s="6" t="s">
        <v>1723</v>
      </c>
      <c r="P230" s="6" t="s">
        <v>1727</v>
      </c>
      <c r="Q230" s="6"/>
      <c r="R230" s="9" t="b">
        <v>1</v>
      </c>
      <c r="S230" s="6" t="s">
        <v>221</v>
      </c>
      <c r="T230" s="6" t="s">
        <v>2008</v>
      </c>
      <c r="U230" s="9" t="b">
        <v>1</v>
      </c>
    </row>
    <row r="231" spans="1:21" ht="30">
      <c r="A231" s="7" t="s">
        <v>222</v>
      </c>
      <c r="B231" s="15">
        <v>46115</v>
      </c>
      <c r="C231" s="5" t="s">
        <v>224</v>
      </c>
      <c r="D231" s="14">
        <v>1</v>
      </c>
      <c r="E231" s="5" t="s">
        <v>1714</v>
      </c>
      <c r="F231" s="5" t="s">
        <v>1774</v>
      </c>
      <c r="G231" s="13">
        <v>9</v>
      </c>
      <c r="H231" s="13">
        <v>1</v>
      </c>
      <c r="I231" s="13">
        <v>1</v>
      </c>
      <c r="J231" s="13">
        <v>2</v>
      </c>
      <c r="K231" s="14">
        <f t="shared" si="6"/>
        <v>2</v>
      </c>
      <c r="L231" s="5" t="str">
        <f t="shared" si="7"/>
        <v>LOW</v>
      </c>
      <c r="M231" s="4" t="s">
        <v>1716</v>
      </c>
      <c r="N231" s="8" t="b">
        <v>0</v>
      </c>
      <c r="O231" s="6" t="s">
        <v>1717</v>
      </c>
      <c r="P231" s="6" t="s">
        <v>1775</v>
      </c>
      <c r="Q231" s="6"/>
      <c r="R231" s="9" t="b">
        <v>1</v>
      </c>
      <c r="S231" s="6" t="s">
        <v>227</v>
      </c>
      <c r="T231" s="6" t="s">
        <v>2009</v>
      </c>
      <c r="U231" s="9" t="b">
        <v>1</v>
      </c>
    </row>
    <row r="232" spans="1:21" ht="30">
      <c r="A232" s="7" t="s">
        <v>222</v>
      </c>
      <c r="B232" s="15">
        <v>46115</v>
      </c>
      <c r="C232" s="5" t="s">
        <v>224</v>
      </c>
      <c r="D232" s="14">
        <v>2</v>
      </c>
      <c r="E232" s="5" t="s">
        <v>1714</v>
      </c>
      <c r="F232" s="5" t="s">
        <v>1928</v>
      </c>
      <c r="G232" s="13">
        <v>12</v>
      </c>
      <c r="H232" s="13">
        <v>2</v>
      </c>
      <c r="I232" s="13">
        <v>1</v>
      </c>
      <c r="J232" s="13">
        <v>1</v>
      </c>
      <c r="K232" s="14">
        <f t="shared" si="6"/>
        <v>1</v>
      </c>
      <c r="L232" s="5" t="str">
        <f t="shared" si="7"/>
        <v>LOW</v>
      </c>
      <c r="M232" s="4" t="s">
        <v>1716</v>
      </c>
      <c r="N232" s="8" t="b">
        <v>0</v>
      </c>
      <c r="O232" s="6" t="s">
        <v>1717</v>
      </c>
      <c r="P232" s="6" t="s">
        <v>1929</v>
      </c>
      <c r="Q232" s="6"/>
      <c r="R232" s="9" t="b">
        <v>1</v>
      </c>
      <c r="S232" s="6" t="s">
        <v>227</v>
      </c>
      <c r="T232" s="6" t="s">
        <v>2010</v>
      </c>
      <c r="U232" s="9" t="b">
        <v>1</v>
      </c>
    </row>
    <row r="233" spans="1:21" ht="30">
      <c r="A233" s="7" t="s">
        <v>222</v>
      </c>
      <c r="B233" s="15">
        <v>46115</v>
      </c>
      <c r="C233" s="5" t="s">
        <v>224</v>
      </c>
      <c r="D233" s="14">
        <v>3</v>
      </c>
      <c r="E233" s="5" t="s">
        <v>1714</v>
      </c>
      <c r="F233" s="5" t="s">
        <v>1788</v>
      </c>
      <c r="G233" s="13">
        <v>3</v>
      </c>
      <c r="H233" s="13">
        <v>0</v>
      </c>
      <c r="I233" s="13">
        <v>2</v>
      </c>
      <c r="J233" s="13">
        <v>1</v>
      </c>
      <c r="K233" s="14">
        <f t="shared" si="6"/>
        <v>2</v>
      </c>
      <c r="L233" s="5" t="str">
        <f t="shared" si="7"/>
        <v>LOW</v>
      </c>
      <c r="M233" s="4" t="s">
        <v>1716</v>
      </c>
      <c r="N233" s="8" t="b">
        <v>0</v>
      </c>
      <c r="O233" s="6" t="s">
        <v>1717</v>
      </c>
      <c r="P233" s="6" t="s">
        <v>1789</v>
      </c>
      <c r="Q233" s="6"/>
      <c r="R233" s="9" t="b">
        <v>1</v>
      </c>
      <c r="S233" s="6" t="s">
        <v>227</v>
      </c>
      <c r="T233" s="6" t="s">
        <v>2011</v>
      </c>
      <c r="U233" s="9" t="b">
        <v>1</v>
      </c>
    </row>
    <row r="234" spans="1:21" ht="30">
      <c r="A234" s="7" t="s">
        <v>222</v>
      </c>
      <c r="B234" s="15">
        <v>46115</v>
      </c>
      <c r="C234" s="5" t="s">
        <v>224</v>
      </c>
      <c r="D234" s="14">
        <v>4</v>
      </c>
      <c r="E234" s="5" t="s">
        <v>1720</v>
      </c>
      <c r="F234" s="5" t="s">
        <v>1721</v>
      </c>
      <c r="G234" s="13">
        <v>6</v>
      </c>
      <c r="H234" s="13">
        <v>1</v>
      </c>
      <c r="I234" s="13">
        <v>1</v>
      </c>
      <c r="J234" s="13">
        <v>2</v>
      </c>
      <c r="K234" s="14">
        <f t="shared" si="6"/>
        <v>2</v>
      </c>
      <c r="L234" s="5" t="str">
        <f t="shared" si="7"/>
        <v>LOW</v>
      </c>
      <c r="M234" s="4" t="s">
        <v>1722</v>
      </c>
      <c r="N234" s="8" t="b">
        <v>0</v>
      </c>
      <c r="O234" s="6" t="s">
        <v>1723</v>
      </c>
      <c r="P234" s="6" t="s">
        <v>1724</v>
      </c>
      <c r="Q234" s="6"/>
      <c r="R234" s="9" t="b">
        <v>1</v>
      </c>
      <c r="S234" s="6" t="s">
        <v>227</v>
      </c>
      <c r="T234" s="6" t="s">
        <v>2012</v>
      </c>
      <c r="U234" s="9" t="b">
        <v>1</v>
      </c>
    </row>
    <row r="235" spans="1:21" ht="30">
      <c r="A235" s="7" t="s">
        <v>222</v>
      </c>
      <c r="B235" s="15">
        <v>46115</v>
      </c>
      <c r="C235" s="5" t="s">
        <v>224</v>
      </c>
      <c r="D235" s="14">
        <v>5</v>
      </c>
      <c r="E235" s="5" t="s">
        <v>1745</v>
      </c>
      <c r="F235" s="5" t="s">
        <v>1746</v>
      </c>
      <c r="G235" s="13">
        <v>9</v>
      </c>
      <c r="H235" s="13">
        <v>2</v>
      </c>
      <c r="I235" s="13">
        <v>1</v>
      </c>
      <c r="J235" s="13">
        <v>1</v>
      </c>
      <c r="K235" s="14">
        <f t="shared" si="6"/>
        <v>1</v>
      </c>
      <c r="L235" s="5" t="str">
        <f t="shared" si="7"/>
        <v>LOW</v>
      </c>
      <c r="M235" s="4" t="s">
        <v>1747</v>
      </c>
      <c r="N235" s="8" t="b">
        <v>0</v>
      </c>
      <c r="O235" s="6" t="s">
        <v>1748</v>
      </c>
      <c r="P235" s="6" t="s">
        <v>1749</v>
      </c>
      <c r="Q235" s="6"/>
      <c r="R235" s="9" t="b">
        <v>1</v>
      </c>
      <c r="S235" s="6" t="s">
        <v>227</v>
      </c>
      <c r="T235" s="6" t="s">
        <v>2013</v>
      </c>
      <c r="U235" s="9" t="b">
        <v>1</v>
      </c>
    </row>
    <row r="236" spans="1:21" ht="30">
      <c r="A236" s="7" t="s">
        <v>222</v>
      </c>
      <c r="B236" s="15">
        <v>46115</v>
      </c>
      <c r="C236" s="5" t="s">
        <v>224</v>
      </c>
      <c r="D236" s="14">
        <v>6</v>
      </c>
      <c r="E236" s="5" t="s">
        <v>1778</v>
      </c>
      <c r="F236" s="5" t="s">
        <v>1779</v>
      </c>
      <c r="G236" s="13">
        <v>12</v>
      </c>
      <c r="H236" s="13">
        <v>0</v>
      </c>
      <c r="I236" s="13">
        <v>2</v>
      </c>
      <c r="J236" s="13">
        <v>1</v>
      </c>
      <c r="K236" s="14">
        <f t="shared" si="6"/>
        <v>2</v>
      </c>
      <c r="L236" s="5" t="str">
        <f t="shared" si="7"/>
        <v>LOW</v>
      </c>
      <c r="M236" s="4" t="s">
        <v>1780</v>
      </c>
      <c r="N236" s="8" t="b">
        <v>0</v>
      </c>
      <c r="O236" s="6" t="s">
        <v>1781</v>
      </c>
      <c r="P236" s="6" t="s">
        <v>1782</v>
      </c>
      <c r="Q236" s="6"/>
      <c r="R236" s="9" t="b">
        <v>1</v>
      </c>
      <c r="S236" s="6" t="s">
        <v>227</v>
      </c>
      <c r="T236" s="6" t="s">
        <v>2014</v>
      </c>
      <c r="U236" s="9" t="b">
        <v>1</v>
      </c>
    </row>
    <row r="237" spans="1:21" ht="30">
      <c r="A237" s="7" t="s">
        <v>228</v>
      </c>
      <c r="B237" s="15">
        <v>46148</v>
      </c>
      <c r="C237" s="5" t="s">
        <v>230</v>
      </c>
      <c r="D237" s="14">
        <v>1</v>
      </c>
      <c r="E237" s="5" t="s">
        <v>1714</v>
      </c>
      <c r="F237" s="5" t="s">
        <v>1774</v>
      </c>
      <c r="G237" s="13">
        <v>14</v>
      </c>
      <c r="H237" s="13">
        <v>2</v>
      </c>
      <c r="I237" s="13">
        <v>2</v>
      </c>
      <c r="J237" s="13">
        <v>1</v>
      </c>
      <c r="K237" s="14">
        <f t="shared" si="6"/>
        <v>2</v>
      </c>
      <c r="L237" s="5" t="str">
        <f t="shared" si="7"/>
        <v>LOW</v>
      </c>
      <c r="M237" s="4" t="s">
        <v>1716</v>
      </c>
      <c r="N237" s="8" t="b">
        <v>0</v>
      </c>
      <c r="O237" s="6" t="s">
        <v>1717</v>
      </c>
      <c r="P237" s="6" t="s">
        <v>1775</v>
      </c>
      <c r="Q237" s="6"/>
      <c r="R237" s="9" t="b">
        <v>1</v>
      </c>
      <c r="S237" s="6" t="s">
        <v>233</v>
      </c>
      <c r="T237" s="6" t="s">
        <v>2015</v>
      </c>
      <c r="U237" s="9" t="b">
        <v>1</v>
      </c>
    </row>
    <row r="238" spans="1:21" ht="30">
      <c r="A238" s="7" t="s">
        <v>228</v>
      </c>
      <c r="B238" s="15">
        <v>46148</v>
      </c>
      <c r="C238" s="5" t="s">
        <v>230</v>
      </c>
      <c r="D238" s="14">
        <v>2</v>
      </c>
      <c r="E238" s="5" t="s">
        <v>1714</v>
      </c>
      <c r="F238" s="5" t="s">
        <v>1928</v>
      </c>
      <c r="G238" s="13">
        <v>17</v>
      </c>
      <c r="H238" s="13">
        <v>0</v>
      </c>
      <c r="I238" s="13">
        <v>1</v>
      </c>
      <c r="J238" s="13">
        <v>2</v>
      </c>
      <c r="K238" s="14">
        <f t="shared" si="6"/>
        <v>2</v>
      </c>
      <c r="L238" s="5" t="str">
        <f t="shared" si="7"/>
        <v>LOW</v>
      </c>
      <c r="M238" s="4" t="s">
        <v>1716</v>
      </c>
      <c r="N238" s="8" t="b">
        <v>0</v>
      </c>
      <c r="O238" s="6" t="s">
        <v>1717</v>
      </c>
      <c r="P238" s="6" t="s">
        <v>1929</v>
      </c>
      <c r="Q238" s="6"/>
      <c r="R238" s="9" t="b">
        <v>1</v>
      </c>
      <c r="S238" s="6" t="s">
        <v>233</v>
      </c>
      <c r="T238" s="6" t="s">
        <v>2016</v>
      </c>
      <c r="U238" s="9" t="b">
        <v>1</v>
      </c>
    </row>
    <row r="239" spans="1:21" ht="30">
      <c r="A239" s="7" t="s">
        <v>228</v>
      </c>
      <c r="B239" s="15">
        <v>46148</v>
      </c>
      <c r="C239" s="5" t="s">
        <v>230</v>
      </c>
      <c r="D239" s="14">
        <v>3</v>
      </c>
      <c r="E239" s="5" t="s">
        <v>1714</v>
      </c>
      <c r="F239" s="5" t="s">
        <v>1788</v>
      </c>
      <c r="G239" s="13">
        <v>1</v>
      </c>
      <c r="H239" s="13">
        <v>1</v>
      </c>
      <c r="I239" s="13">
        <v>1</v>
      </c>
      <c r="J239" s="13">
        <v>1</v>
      </c>
      <c r="K239" s="14">
        <f t="shared" si="6"/>
        <v>1</v>
      </c>
      <c r="L239" s="5" t="str">
        <f t="shared" si="7"/>
        <v>LOW</v>
      </c>
      <c r="M239" s="4" t="s">
        <v>1716</v>
      </c>
      <c r="N239" s="8" t="b">
        <v>0</v>
      </c>
      <c r="O239" s="6" t="s">
        <v>1717</v>
      </c>
      <c r="P239" s="6" t="s">
        <v>1789</v>
      </c>
      <c r="Q239" s="6"/>
      <c r="R239" s="9" t="b">
        <v>1</v>
      </c>
      <c r="S239" s="6" t="s">
        <v>233</v>
      </c>
      <c r="T239" s="6" t="s">
        <v>2017</v>
      </c>
      <c r="U239" s="9" t="b">
        <v>1</v>
      </c>
    </row>
    <row r="240" spans="1:21" ht="30">
      <c r="A240" s="7" t="s">
        <v>228</v>
      </c>
      <c r="B240" s="15">
        <v>46148</v>
      </c>
      <c r="C240" s="5" t="s">
        <v>230</v>
      </c>
      <c r="D240" s="14">
        <v>4</v>
      </c>
      <c r="E240" s="5" t="s">
        <v>1720</v>
      </c>
      <c r="F240" s="5" t="s">
        <v>1721</v>
      </c>
      <c r="G240" s="13">
        <v>4</v>
      </c>
      <c r="H240" s="13">
        <v>2</v>
      </c>
      <c r="I240" s="13">
        <v>2</v>
      </c>
      <c r="J240" s="13">
        <v>1</v>
      </c>
      <c r="K240" s="14">
        <f t="shared" si="6"/>
        <v>2</v>
      </c>
      <c r="L240" s="5" t="str">
        <f t="shared" si="7"/>
        <v>LOW</v>
      </c>
      <c r="M240" s="4" t="s">
        <v>1722</v>
      </c>
      <c r="N240" s="8" t="b">
        <v>0</v>
      </c>
      <c r="O240" s="6" t="s">
        <v>1723</v>
      </c>
      <c r="P240" s="6" t="s">
        <v>1724</v>
      </c>
      <c r="Q240" s="6"/>
      <c r="R240" s="9" t="b">
        <v>1</v>
      </c>
      <c r="S240" s="6" t="s">
        <v>233</v>
      </c>
      <c r="T240" s="6" t="s">
        <v>2018</v>
      </c>
      <c r="U240" s="9" t="b">
        <v>1</v>
      </c>
    </row>
    <row r="241" spans="1:21" ht="30">
      <c r="A241" s="7" t="s">
        <v>228</v>
      </c>
      <c r="B241" s="15">
        <v>46148</v>
      </c>
      <c r="C241" s="5" t="s">
        <v>230</v>
      </c>
      <c r="D241" s="14">
        <v>5</v>
      </c>
      <c r="E241" s="5" t="s">
        <v>1745</v>
      </c>
      <c r="F241" s="5" t="s">
        <v>1746</v>
      </c>
      <c r="G241" s="13">
        <v>7</v>
      </c>
      <c r="H241" s="13">
        <v>0</v>
      </c>
      <c r="I241" s="13">
        <v>1</v>
      </c>
      <c r="J241" s="13">
        <v>2</v>
      </c>
      <c r="K241" s="14">
        <f t="shared" si="6"/>
        <v>2</v>
      </c>
      <c r="L241" s="5" t="str">
        <f t="shared" si="7"/>
        <v>LOW</v>
      </c>
      <c r="M241" s="4" t="s">
        <v>1747</v>
      </c>
      <c r="N241" s="8" t="b">
        <v>0</v>
      </c>
      <c r="O241" s="6" t="s">
        <v>1748</v>
      </c>
      <c r="P241" s="6" t="s">
        <v>1749</v>
      </c>
      <c r="Q241" s="6"/>
      <c r="R241" s="9" t="b">
        <v>1</v>
      </c>
      <c r="S241" s="6" t="s">
        <v>233</v>
      </c>
      <c r="T241" s="6" t="s">
        <v>2019</v>
      </c>
      <c r="U241" s="9" t="b">
        <v>1</v>
      </c>
    </row>
    <row r="242" spans="1:21" ht="45">
      <c r="A242" s="7" t="s">
        <v>228</v>
      </c>
      <c r="B242" s="15">
        <v>46148</v>
      </c>
      <c r="C242" s="5" t="s">
        <v>230</v>
      </c>
      <c r="D242" s="14">
        <v>6</v>
      </c>
      <c r="E242" s="5" t="s">
        <v>1729</v>
      </c>
      <c r="F242" s="5" t="s">
        <v>1730</v>
      </c>
      <c r="G242" s="13">
        <v>10</v>
      </c>
      <c r="H242" s="13">
        <v>1</v>
      </c>
      <c r="I242" s="13">
        <v>1</v>
      </c>
      <c r="J242" s="13">
        <v>1</v>
      </c>
      <c r="K242" s="14">
        <f t="shared" si="6"/>
        <v>1</v>
      </c>
      <c r="L242" s="5" t="str">
        <f t="shared" si="7"/>
        <v>LOW</v>
      </c>
      <c r="M242" s="4" t="s">
        <v>1731</v>
      </c>
      <c r="N242" s="8" t="b">
        <v>0</v>
      </c>
      <c r="O242" s="6" t="s">
        <v>1732</v>
      </c>
      <c r="P242" s="6" t="s">
        <v>1733</v>
      </c>
      <c r="Q242" s="6"/>
      <c r="R242" s="9" t="b">
        <v>1</v>
      </c>
      <c r="S242" s="6" t="s">
        <v>233</v>
      </c>
      <c r="T242" s="6" t="s">
        <v>2020</v>
      </c>
      <c r="U242" s="9" t="b">
        <v>1</v>
      </c>
    </row>
    <row r="243" spans="1:21" ht="45">
      <c r="A243" s="7" t="s">
        <v>234</v>
      </c>
      <c r="B243" s="15">
        <v>46182</v>
      </c>
      <c r="C243" s="5" t="s">
        <v>236</v>
      </c>
      <c r="D243" s="14">
        <v>1</v>
      </c>
      <c r="E243" s="5" t="s">
        <v>1729</v>
      </c>
      <c r="F243" s="5" t="s">
        <v>2021</v>
      </c>
      <c r="G243" s="13">
        <v>21</v>
      </c>
      <c r="H243" s="13">
        <v>0</v>
      </c>
      <c r="I243" s="13">
        <v>2</v>
      </c>
      <c r="J243" s="13">
        <v>3</v>
      </c>
      <c r="K243" s="14">
        <f t="shared" si="6"/>
        <v>6</v>
      </c>
      <c r="L243" s="5" t="str">
        <f t="shared" si="7"/>
        <v>HIGH</v>
      </c>
      <c r="M243" s="4" t="s">
        <v>1731</v>
      </c>
      <c r="N243" s="8" t="b">
        <v>1</v>
      </c>
      <c r="O243" s="6" t="s">
        <v>1732</v>
      </c>
      <c r="P243" s="6" t="s">
        <v>2022</v>
      </c>
      <c r="Q243" s="6"/>
      <c r="R243" s="9" t="b">
        <v>1</v>
      </c>
      <c r="S243" s="6" t="s">
        <v>239</v>
      </c>
      <c r="T243" s="6" t="s">
        <v>2023</v>
      </c>
      <c r="U243" s="9" t="b">
        <v>1</v>
      </c>
    </row>
    <row r="244" spans="1:21" ht="30">
      <c r="A244" s="7" t="s">
        <v>234</v>
      </c>
      <c r="B244" s="15">
        <v>46182</v>
      </c>
      <c r="C244" s="5" t="s">
        <v>236</v>
      </c>
      <c r="D244" s="14">
        <v>2</v>
      </c>
      <c r="E244" s="5" t="s">
        <v>1708</v>
      </c>
      <c r="F244" s="5" t="s">
        <v>1965</v>
      </c>
      <c r="G244" s="13">
        <v>24</v>
      </c>
      <c r="H244" s="13">
        <v>1</v>
      </c>
      <c r="I244" s="13">
        <v>3</v>
      </c>
      <c r="J244" s="13">
        <v>3</v>
      </c>
      <c r="K244" s="14">
        <f t="shared" si="6"/>
        <v>9</v>
      </c>
      <c r="L244" s="5" t="str">
        <f t="shared" si="7"/>
        <v>HIGH</v>
      </c>
      <c r="M244" s="4" t="s">
        <v>1710</v>
      </c>
      <c r="N244" s="8" t="b">
        <v>0</v>
      </c>
      <c r="O244" s="6" t="s">
        <v>1711</v>
      </c>
      <c r="P244" s="6" t="s">
        <v>1966</v>
      </c>
      <c r="Q244" s="6"/>
      <c r="R244" s="9" t="b">
        <v>1</v>
      </c>
      <c r="S244" s="6" t="s">
        <v>239</v>
      </c>
      <c r="T244" s="6" t="s">
        <v>2024</v>
      </c>
      <c r="U244" s="9" t="b">
        <v>1</v>
      </c>
    </row>
    <row r="245" spans="1:21" ht="30">
      <c r="A245" s="7" t="s">
        <v>234</v>
      </c>
      <c r="B245" s="15">
        <v>46182</v>
      </c>
      <c r="C245" s="5" t="s">
        <v>236</v>
      </c>
      <c r="D245" s="14">
        <v>3</v>
      </c>
      <c r="E245" s="5" t="s">
        <v>1745</v>
      </c>
      <c r="F245" s="5" t="s">
        <v>1868</v>
      </c>
      <c r="G245" s="13">
        <v>1</v>
      </c>
      <c r="H245" s="13">
        <v>2</v>
      </c>
      <c r="I245" s="13">
        <v>3</v>
      </c>
      <c r="J245" s="13">
        <v>2</v>
      </c>
      <c r="K245" s="14">
        <f t="shared" si="6"/>
        <v>6</v>
      </c>
      <c r="L245" s="5" t="str">
        <f t="shared" si="7"/>
        <v>HIGH</v>
      </c>
      <c r="M245" s="4" t="s">
        <v>1747</v>
      </c>
      <c r="N245" s="8" t="b">
        <v>0</v>
      </c>
      <c r="O245" s="6" t="s">
        <v>1748</v>
      </c>
      <c r="P245" s="6" t="s">
        <v>1869</v>
      </c>
      <c r="Q245" s="6"/>
      <c r="R245" s="9" t="b">
        <v>1</v>
      </c>
      <c r="S245" s="6" t="s">
        <v>239</v>
      </c>
      <c r="T245" s="6" t="s">
        <v>2025</v>
      </c>
      <c r="U245" s="9" t="b">
        <v>1</v>
      </c>
    </row>
    <row r="246" spans="1:21" ht="30">
      <c r="A246" s="7" t="s">
        <v>234</v>
      </c>
      <c r="B246" s="15">
        <v>46182</v>
      </c>
      <c r="C246" s="5" t="s">
        <v>236</v>
      </c>
      <c r="D246" s="14">
        <v>4</v>
      </c>
      <c r="E246" s="5" t="s">
        <v>1745</v>
      </c>
      <c r="F246" s="5" t="s">
        <v>1957</v>
      </c>
      <c r="G246" s="13">
        <v>4</v>
      </c>
      <c r="H246" s="13">
        <v>0</v>
      </c>
      <c r="I246" s="13">
        <v>2</v>
      </c>
      <c r="J246" s="13">
        <v>3</v>
      </c>
      <c r="K246" s="14">
        <f t="shared" si="6"/>
        <v>6</v>
      </c>
      <c r="L246" s="5" t="str">
        <f t="shared" si="7"/>
        <v>HIGH</v>
      </c>
      <c r="M246" s="4" t="s">
        <v>1747</v>
      </c>
      <c r="N246" s="8" t="b">
        <v>1</v>
      </c>
      <c r="O246" s="6" t="s">
        <v>1748</v>
      </c>
      <c r="P246" s="6" t="s">
        <v>1958</v>
      </c>
      <c r="Q246" s="6"/>
      <c r="R246" s="9" t="b">
        <v>1</v>
      </c>
      <c r="S246" s="6" t="s">
        <v>239</v>
      </c>
      <c r="T246" s="6" t="s">
        <v>2026</v>
      </c>
      <c r="U246" s="9" t="b">
        <v>1</v>
      </c>
    </row>
    <row r="247" spans="1:21" ht="30">
      <c r="A247" s="7" t="s">
        <v>234</v>
      </c>
      <c r="B247" s="15">
        <v>46182</v>
      </c>
      <c r="C247" s="5" t="s">
        <v>236</v>
      </c>
      <c r="D247" s="14">
        <v>5</v>
      </c>
      <c r="E247" s="5" t="s">
        <v>1708</v>
      </c>
      <c r="F247" s="5" t="s">
        <v>2027</v>
      </c>
      <c r="G247" s="13">
        <v>7</v>
      </c>
      <c r="H247" s="13">
        <v>1</v>
      </c>
      <c r="I247" s="13">
        <v>3</v>
      </c>
      <c r="J247" s="13">
        <v>3</v>
      </c>
      <c r="K247" s="14">
        <f t="shared" si="6"/>
        <v>9</v>
      </c>
      <c r="L247" s="5" t="str">
        <f t="shared" si="7"/>
        <v>HIGH</v>
      </c>
      <c r="M247" s="4" t="s">
        <v>1710</v>
      </c>
      <c r="N247" s="8" t="b">
        <v>0</v>
      </c>
      <c r="O247" s="6" t="s">
        <v>1711</v>
      </c>
      <c r="P247" s="6" t="s">
        <v>2028</v>
      </c>
      <c r="Q247" s="6"/>
      <c r="R247" s="9" t="b">
        <v>1</v>
      </c>
      <c r="S247" s="6" t="s">
        <v>239</v>
      </c>
      <c r="T247" s="6" t="s">
        <v>2029</v>
      </c>
      <c r="U247" s="9" t="b">
        <v>1</v>
      </c>
    </row>
    <row r="248" spans="1:21" ht="30">
      <c r="A248" s="7" t="s">
        <v>234</v>
      </c>
      <c r="B248" s="15">
        <v>46182</v>
      </c>
      <c r="C248" s="5" t="s">
        <v>236</v>
      </c>
      <c r="D248" s="14">
        <v>6</v>
      </c>
      <c r="E248" s="5" t="s">
        <v>1708</v>
      </c>
      <c r="F248" s="5" t="s">
        <v>2030</v>
      </c>
      <c r="G248" s="13">
        <v>10</v>
      </c>
      <c r="H248" s="13">
        <v>2</v>
      </c>
      <c r="I248" s="13">
        <v>3</v>
      </c>
      <c r="J248" s="13">
        <v>2</v>
      </c>
      <c r="K248" s="14">
        <f t="shared" si="6"/>
        <v>6</v>
      </c>
      <c r="L248" s="5" t="str">
        <f t="shared" si="7"/>
        <v>HIGH</v>
      </c>
      <c r="M248" s="4" t="s">
        <v>1710</v>
      </c>
      <c r="N248" s="8" t="b">
        <v>0</v>
      </c>
      <c r="O248" s="6" t="s">
        <v>1711</v>
      </c>
      <c r="P248" s="6" t="s">
        <v>2031</v>
      </c>
      <c r="Q248" s="6"/>
      <c r="R248" s="9" t="b">
        <v>1</v>
      </c>
      <c r="S248" s="6" t="s">
        <v>239</v>
      </c>
      <c r="T248" s="6" t="s">
        <v>2032</v>
      </c>
      <c r="U248" s="9" t="b">
        <v>1</v>
      </c>
    </row>
    <row r="249" spans="1:21" ht="45">
      <c r="A249" s="7" t="s">
        <v>234</v>
      </c>
      <c r="B249" s="15">
        <v>46182</v>
      </c>
      <c r="C249" s="5" t="s">
        <v>236</v>
      </c>
      <c r="D249" s="14">
        <v>7</v>
      </c>
      <c r="E249" s="5" t="s">
        <v>1729</v>
      </c>
      <c r="F249" s="5" t="s">
        <v>2033</v>
      </c>
      <c r="G249" s="13">
        <v>13</v>
      </c>
      <c r="H249" s="13">
        <v>0</v>
      </c>
      <c r="I249" s="13">
        <v>2</v>
      </c>
      <c r="J249" s="13">
        <v>3</v>
      </c>
      <c r="K249" s="14">
        <f t="shared" si="6"/>
        <v>6</v>
      </c>
      <c r="L249" s="5" t="str">
        <f t="shared" si="7"/>
        <v>HIGH</v>
      </c>
      <c r="M249" s="4" t="s">
        <v>1731</v>
      </c>
      <c r="N249" s="8" t="b">
        <v>1</v>
      </c>
      <c r="O249" s="6" t="s">
        <v>1732</v>
      </c>
      <c r="P249" s="6" t="s">
        <v>2034</v>
      </c>
      <c r="Q249" s="6"/>
      <c r="R249" s="9" t="b">
        <v>1</v>
      </c>
      <c r="S249" s="6" t="s">
        <v>239</v>
      </c>
      <c r="T249" s="6" t="s">
        <v>2035</v>
      </c>
      <c r="U249" s="9" t="b">
        <v>1</v>
      </c>
    </row>
    <row r="250" spans="1:21" ht="30">
      <c r="A250" s="7" t="s">
        <v>234</v>
      </c>
      <c r="B250" s="15">
        <v>46182</v>
      </c>
      <c r="C250" s="5" t="s">
        <v>236</v>
      </c>
      <c r="D250" s="14">
        <v>8</v>
      </c>
      <c r="E250" s="5" t="s">
        <v>1778</v>
      </c>
      <c r="F250" s="5" t="s">
        <v>1804</v>
      </c>
      <c r="G250" s="13">
        <v>16</v>
      </c>
      <c r="H250" s="13">
        <v>1</v>
      </c>
      <c r="I250" s="13">
        <v>3</v>
      </c>
      <c r="J250" s="13">
        <v>3</v>
      </c>
      <c r="K250" s="14">
        <f t="shared" si="6"/>
        <v>9</v>
      </c>
      <c r="L250" s="5" t="str">
        <f t="shared" si="7"/>
        <v>HIGH</v>
      </c>
      <c r="M250" s="4" t="s">
        <v>1780</v>
      </c>
      <c r="N250" s="8" t="b">
        <v>0</v>
      </c>
      <c r="O250" s="6" t="s">
        <v>1781</v>
      </c>
      <c r="P250" s="6" t="s">
        <v>1805</v>
      </c>
      <c r="Q250" s="6"/>
      <c r="R250" s="9" t="b">
        <v>1</v>
      </c>
      <c r="S250" s="6" t="s">
        <v>239</v>
      </c>
      <c r="T250" s="6" t="s">
        <v>2036</v>
      </c>
      <c r="U250" s="9" t="b">
        <v>1</v>
      </c>
    </row>
    <row r="251" spans="1:21" ht="45">
      <c r="A251" s="7" t="s">
        <v>234</v>
      </c>
      <c r="B251" s="15">
        <v>46182</v>
      </c>
      <c r="C251" s="5" t="s">
        <v>236</v>
      </c>
      <c r="D251" s="14">
        <v>9</v>
      </c>
      <c r="E251" s="5" t="s">
        <v>1729</v>
      </c>
      <c r="F251" s="5" t="s">
        <v>2037</v>
      </c>
      <c r="G251" s="13">
        <v>19</v>
      </c>
      <c r="H251" s="13">
        <v>2</v>
      </c>
      <c r="I251" s="13">
        <v>3</v>
      </c>
      <c r="J251" s="13">
        <v>2</v>
      </c>
      <c r="K251" s="14">
        <f t="shared" si="6"/>
        <v>6</v>
      </c>
      <c r="L251" s="5" t="str">
        <f t="shared" si="7"/>
        <v>HIGH</v>
      </c>
      <c r="M251" s="4" t="s">
        <v>1731</v>
      </c>
      <c r="N251" s="8" t="b">
        <v>0</v>
      </c>
      <c r="O251" s="6" t="s">
        <v>1732</v>
      </c>
      <c r="P251" s="6" t="s">
        <v>1836</v>
      </c>
      <c r="Q251" s="6" t="s">
        <v>2037</v>
      </c>
      <c r="R251" s="9" t="b">
        <v>1</v>
      </c>
      <c r="S251" s="6" t="s">
        <v>239</v>
      </c>
      <c r="T251" s="6" t="s">
        <v>2038</v>
      </c>
      <c r="U251" s="9" t="b">
        <v>1</v>
      </c>
    </row>
    <row r="252" spans="1:21" ht="45">
      <c r="A252" s="7" t="s">
        <v>240</v>
      </c>
      <c r="B252" s="15">
        <v>46034</v>
      </c>
      <c r="C252" s="5" t="s">
        <v>242</v>
      </c>
      <c r="D252" s="14">
        <v>1</v>
      </c>
      <c r="E252" s="5" t="s">
        <v>1729</v>
      </c>
      <c r="F252" s="5" t="s">
        <v>2021</v>
      </c>
      <c r="G252" s="13">
        <v>9</v>
      </c>
      <c r="H252" s="13">
        <v>1</v>
      </c>
      <c r="I252" s="13">
        <v>3</v>
      </c>
      <c r="J252" s="13">
        <v>2</v>
      </c>
      <c r="K252" s="14">
        <f t="shared" si="6"/>
        <v>6</v>
      </c>
      <c r="L252" s="5" t="str">
        <f t="shared" si="7"/>
        <v>HIGH</v>
      </c>
      <c r="M252" s="4" t="s">
        <v>1731</v>
      </c>
      <c r="N252" s="8" t="b">
        <v>0</v>
      </c>
      <c r="O252" s="6" t="s">
        <v>1732</v>
      </c>
      <c r="P252" s="6" t="s">
        <v>2022</v>
      </c>
      <c r="Q252" s="6"/>
      <c r="R252" s="9" t="b">
        <v>1</v>
      </c>
      <c r="S252" s="6" t="s">
        <v>245</v>
      </c>
      <c r="T252" s="6" t="s">
        <v>2039</v>
      </c>
      <c r="U252" s="9" t="b">
        <v>1</v>
      </c>
    </row>
    <row r="253" spans="1:21" ht="30">
      <c r="A253" s="7" t="s">
        <v>240</v>
      </c>
      <c r="B253" s="15">
        <v>46034</v>
      </c>
      <c r="C253" s="5" t="s">
        <v>242</v>
      </c>
      <c r="D253" s="14">
        <v>2</v>
      </c>
      <c r="E253" s="5" t="s">
        <v>1708</v>
      </c>
      <c r="F253" s="5" t="s">
        <v>1965</v>
      </c>
      <c r="G253" s="13">
        <v>12</v>
      </c>
      <c r="H253" s="13">
        <v>2</v>
      </c>
      <c r="I253" s="13">
        <v>2</v>
      </c>
      <c r="J253" s="13">
        <v>3</v>
      </c>
      <c r="K253" s="14">
        <f t="shared" si="6"/>
        <v>6</v>
      </c>
      <c r="L253" s="5" t="str">
        <f t="shared" si="7"/>
        <v>HIGH</v>
      </c>
      <c r="M253" s="4" t="s">
        <v>1710</v>
      </c>
      <c r="N253" s="8" t="b">
        <v>0</v>
      </c>
      <c r="O253" s="6" t="s">
        <v>1711</v>
      </c>
      <c r="P253" s="6" t="s">
        <v>1966</v>
      </c>
      <c r="Q253" s="6"/>
      <c r="R253" s="9" t="b">
        <v>1</v>
      </c>
      <c r="S253" s="6" t="s">
        <v>245</v>
      </c>
      <c r="T253" s="6" t="s">
        <v>2040</v>
      </c>
      <c r="U253" s="9" t="b">
        <v>1</v>
      </c>
    </row>
    <row r="254" spans="1:21" ht="30">
      <c r="A254" s="7" t="s">
        <v>240</v>
      </c>
      <c r="B254" s="15">
        <v>46034</v>
      </c>
      <c r="C254" s="5" t="s">
        <v>242</v>
      </c>
      <c r="D254" s="14">
        <v>3</v>
      </c>
      <c r="E254" s="5" t="s">
        <v>1745</v>
      </c>
      <c r="F254" s="5" t="s">
        <v>1868</v>
      </c>
      <c r="G254" s="13">
        <v>15</v>
      </c>
      <c r="H254" s="13">
        <v>0</v>
      </c>
      <c r="I254" s="13">
        <v>3</v>
      </c>
      <c r="J254" s="13">
        <v>3</v>
      </c>
      <c r="K254" s="14">
        <f t="shared" si="6"/>
        <v>9</v>
      </c>
      <c r="L254" s="5" t="str">
        <f t="shared" si="7"/>
        <v>HIGH</v>
      </c>
      <c r="M254" s="4" t="s">
        <v>1747</v>
      </c>
      <c r="N254" s="8" t="b">
        <v>1</v>
      </c>
      <c r="O254" s="6" t="s">
        <v>1748</v>
      </c>
      <c r="P254" s="6" t="s">
        <v>1869</v>
      </c>
      <c r="Q254" s="6"/>
      <c r="R254" s="9" t="b">
        <v>1</v>
      </c>
      <c r="S254" s="6" t="s">
        <v>245</v>
      </c>
      <c r="T254" s="6" t="s">
        <v>2041</v>
      </c>
      <c r="U254" s="9" t="b">
        <v>1</v>
      </c>
    </row>
    <row r="255" spans="1:21" ht="30">
      <c r="A255" s="7" t="s">
        <v>240</v>
      </c>
      <c r="B255" s="15">
        <v>46034</v>
      </c>
      <c r="C255" s="5" t="s">
        <v>242</v>
      </c>
      <c r="D255" s="14">
        <v>4</v>
      </c>
      <c r="E255" s="5" t="s">
        <v>1745</v>
      </c>
      <c r="F255" s="5" t="s">
        <v>1957</v>
      </c>
      <c r="G255" s="13">
        <v>18</v>
      </c>
      <c r="H255" s="13">
        <v>1</v>
      </c>
      <c r="I255" s="13">
        <v>3</v>
      </c>
      <c r="J255" s="13">
        <v>2</v>
      </c>
      <c r="K255" s="14">
        <f t="shared" si="6"/>
        <v>6</v>
      </c>
      <c r="L255" s="5" t="str">
        <f t="shared" si="7"/>
        <v>HIGH</v>
      </c>
      <c r="M255" s="4" t="s">
        <v>1747</v>
      </c>
      <c r="N255" s="8" t="b">
        <v>0</v>
      </c>
      <c r="O255" s="6" t="s">
        <v>1748</v>
      </c>
      <c r="P255" s="6" t="s">
        <v>1958</v>
      </c>
      <c r="Q255" s="6"/>
      <c r="R255" s="9" t="b">
        <v>1</v>
      </c>
      <c r="S255" s="6" t="s">
        <v>245</v>
      </c>
      <c r="T255" s="6" t="s">
        <v>2042</v>
      </c>
      <c r="U255" s="9" t="b">
        <v>1</v>
      </c>
    </row>
    <row r="256" spans="1:21" ht="30">
      <c r="A256" s="7" t="s">
        <v>240</v>
      </c>
      <c r="B256" s="15">
        <v>46034</v>
      </c>
      <c r="C256" s="5" t="s">
        <v>242</v>
      </c>
      <c r="D256" s="14">
        <v>5</v>
      </c>
      <c r="E256" s="5" t="s">
        <v>1708</v>
      </c>
      <c r="F256" s="5" t="s">
        <v>2027</v>
      </c>
      <c r="G256" s="13">
        <v>21</v>
      </c>
      <c r="H256" s="13">
        <v>2</v>
      </c>
      <c r="I256" s="13">
        <v>2</v>
      </c>
      <c r="J256" s="13">
        <v>3</v>
      </c>
      <c r="K256" s="14">
        <f t="shared" si="6"/>
        <v>6</v>
      </c>
      <c r="L256" s="5" t="str">
        <f t="shared" si="7"/>
        <v>HIGH</v>
      </c>
      <c r="M256" s="4" t="s">
        <v>1710</v>
      </c>
      <c r="N256" s="8" t="b">
        <v>0</v>
      </c>
      <c r="O256" s="6" t="s">
        <v>1711</v>
      </c>
      <c r="P256" s="6" t="s">
        <v>2028</v>
      </c>
      <c r="Q256" s="6"/>
      <c r="R256" s="9" t="b">
        <v>1</v>
      </c>
      <c r="S256" s="6" t="s">
        <v>245</v>
      </c>
      <c r="T256" s="6" t="s">
        <v>2043</v>
      </c>
      <c r="U256" s="9" t="b">
        <v>1</v>
      </c>
    </row>
    <row r="257" spans="1:21" ht="30">
      <c r="A257" s="7" t="s">
        <v>240</v>
      </c>
      <c r="B257" s="15">
        <v>46034</v>
      </c>
      <c r="C257" s="5" t="s">
        <v>242</v>
      </c>
      <c r="D257" s="14">
        <v>6</v>
      </c>
      <c r="E257" s="5" t="s">
        <v>1708</v>
      </c>
      <c r="F257" s="5" t="s">
        <v>2030</v>
      </c>
      <c r="G257" s="13">
        <v>24</v>
      </c>
      <c r="H257" s="13">
        <v>0</v>
      </c>
      <c r="I257" s="13">
        <v>3</v>
      </c>
      <c r="J257" s="13">
        <v>3</v>
      </c>
      <c r="K257" s="14">
        <f t="shared" si="6"/>
        <v>9</v>
      </c>
      <c r="L257" s="5" t="str">
        <f t="shared" si="7"/>
        <v>HIGH</v>
      </c>
      <c r="M257" s="4" t="s">
        <v>1710</v>
      </c>
      <c r="N257" s="8" t="b">
        <v>1</v>
      </c>
      <c r="O257" s="6" t="s">
        <v>1711</v>
      </c>
      <c r="P257" s="6" t="s">
        <v>2031</v>
      </c>
      <c r="Q257" s="6"/>
      <c r="R257" s="9" t="b">
        <v>1</v>
      </c>
      <c r="S257" s="6" t="s">
        <v>245</v>
      </c>
      <c r="T257" s="6" t="s">
        <v>2044</v>
      </c>
      <c r="U257" s="9" t="b">
        <v>1</v>
      </c>
    </row>
    <row r="258" spans="1:21" ht="45">
      <c r="A258" s="7" t="s">
        <v>240</v>
      </c>
      <c r="B258" s="15">
        <v>46034</v>
      </c>
      <c r="C258" s="5" t="s">
        <v>242</v>
      </c>
      <c r="D258" s="14">
        <v>7</v>
      </c>
      <c r="E258" s="5" t="s">
        <v>1729</v>
      </c>
      <c r="F258" s="5" t="s">
        <v>2033</v>
      </c>
      <c r="G258" s="13">
        <v>27</v>
      </c>
      <c r="H258" s="13">
        <v>1</v>
      </c>
      <c r="I258" s="13">
        <v>3</v>
      </c>
      <c r="J258" s="13">
        <v>2</v>
      </c>
      <c r="K258" s="14">
        <f t="shared" si="6"/>
        <v>6</v>
      </c>
      <c r="L258" s="5" t="str">
        <f t="shared" si="7"/>
        <v>HIGH</v>
      </c>
      <c r="M258" s="4" t="s">
        <v>1731</v>
      </c>
      <c r="N258" s="8" t="b">
        <v>0</v>
      </c>
      <c r="O258" s="6" t="s">
        <v>1732</v>
      </c>
      <c r="P258" s="6" t="s">
        <v>2034</v>
      </c>
      <c r="Q258" s="6"/>
      <c r="R258" s="9" t="b">
        <v>1</v>
      </c>
      <c r="S258" s="6" t="s">
        <v>245</v>
      </c>
      <c r="T258" s="6" t="s">
        <v>2045</v>
      </c>
      <c r="U258" s="9" t="b">
        <v>1</v>
      </c>
    </row>
    <row r="259" spans="1:21" ht="30">
      <c r="A259" s="7" t="s">
        <v>240</v>
      </c>
      <c r="B259" s="15">
        <v>46034</v>
      </c>
      <c r="C259" s="5" t="s">
        <v>242</v>
      </c>
      <c r="D259" s="14">
        <v>8</v>
      </c>
      <c r="E259" s="5" t="s">
        <v>1708</v>
      </c>
      <c r="F259" s="5" t="s">
        <v>1735</v>
      </c>
      <c r="G259" s="13">
        <v>30</v>
      </c>
      <c r="H259" s="13">
        <v>2</v>
      </c>
      <c r="I259" s="13">
        <v>2</v>
      </c>
      <c r="J259" s="13">
        <v>3</v>
      </c>
      <c r="K259" s="14">
        <f t="shared" si="6"/>
        <v>6</v>
      </c>
      <c r="L259" s="5" t="str">
        <f t="shared" si="7"/>
        <v>HIGH</v>
      </c>
      <c r="M259" s="4" t="s">
        <v>1710</v>
      </c>
      <c r="N259" s="8" t="b">
        <v>0</v>
      </c>
      <c r="O259" s="6" t="s">
        <v>1711</v>
      </c>
      <c r="P259" s="6" t="s">
        <v>1736</v>
      </c>
      <c r="Q259" s="6"/>
      <c r="R259" s="9" t="b">
        <v>1</v>
      </c>
      <c r="S259" s="6" t="s">
        <v>245</v>
      </c>
      <c r="T259" s="6" t="s">
        <v>2046</v>
      </c>
      <c r="U259" s="9" t="b">
        <v>1</v>
      </c>
    </row>
    <row r="260" spans="1:21" ht="30">
      <c r="A260" s="7" t="s">
        <v>246</v>
      </c>
      <c r="B260" s="15">
        <v>46068</v>
      </c>
      <c r="C260" s="5" t="s">
        <v>248</v>
      </c>
      <c r="D260" s="14">
        <v>1</v>
      </c>
      <c r="E260" s="5" t="s">
        <v>1699</v>
      </c>
      <c r="F260" s="5" t="s">
        <v>1705</v>
      </c>
      <c r="G260" s="13">
        <v>37</v>
      </c>
      <c r="H260" s="13">
        <v>2</v>
      </c>
      <c r="I260" s="13">
        <v>3</v>
      </c>
      <c r="J260" s="13">
        <v>3</v>
      </c>
      <c r="K260" s="14">
        <f t="shared" ref="K260:K323" si="8">IF(AND(R260=TRUE,U260=TRUE,ISNUMBER(I260),I260=INT(I260),I260&gt;=1,I260&lt;=3,ISNUMBER(J260),J260=INT(J260),J260&gt;=1,J260&lt;=3),I260*J260,"")</f>
        <v>9</v>
      </c>
      <c r="L260" s="5" t="str">
        <f t="shared" ref="L260:L323" si="9">IF(K260="","",IF(K260&lt;=2,"LOW",IF(K260&lt;=4,"MEDIUM","HIGH")))</f>
        <v>HIGH</v>
      </c>
      <c r="M260" s="4" t="s">
        <v>1701</v>
      </c>
      <c r="N260" s="8" t="b">
        <v>0</v>
      </c>
      <c r="O260" s="6" t="s">
        <v>1702</v>
      </c>
      <c r="P260" s="6" t="s">
        <v>1706</v>
      </c>
      <c r="Q260" s="6"/>
      <c r="R260" s="9" t="b">
        <v>1</v>
      </c>
      <c r="S260" s="6" t="s">
        <v>251</v>
      </c>
      <c r="T260" s="6" t="s">
        <v>2047</v>
      </c>
      <c r="U260" s="9" t="b">
        <v>1</v>
      </c>
    </row>
    <row r="261" spans="1:21" ht="30">
      <c r="A261" s="7" t="s">
        <v>246</v>
      </c>
      <c r="B261" s="15">
        <v>46068</v>
      </c>
      <c r="C261" s="5" t="s">
        <v>248</v>
      </c>
      <c r="D261" s="14">
        <v>2</v>
      </c>
      <c r="E261" s="5" t="s">
        <v>1708</v>
      </c>
      <c r="F261" s="5" t="s">
        <v>1709</v>
      </c>
      <c r="G261" s="13">
        <v>40</v>
      </c>
      <c r="H261" s="13">
        <v>0</v>
      </c>
      <c r="I261" s="13">
        <v>3</v>
      </c>
      <c r="J261" s="13">
        <v>2</v>
      </c>
      <c r="K261" s="14">
        <f t="shared" si="8"/>
        <v>6</v>
      </c>
      <c r="L261" s="5" t="str">
        <f t="shared" si="9"/>
        <v>HIGH</v>
      </c>
      <c r="M261" s="4" t="s">
        <v>1710</v>
      </c>
      <c r="N261" s="8" t="b">
        <v>1</v>
      </c>
      <c r="O261" s="6" t="s">
        <v>1711</v>
      </c>
      <c r="P261" s="6" t="s">
        <v>1712</v>
      </c>
      <c r="Q261" s="6"/>
      <c r="R261" s="9" t="b">
        <v>1</v>
      </c>
      <c r="S261" s="6" t="s">
        <v>251</v>
      </c>
      <c r="T261" s="6" t="s">
        <v>2048</v>
      </c>
      <c r="U261" s="9" t="b">
        <v>1</v>
      </c>
    </row>
    <row r="262" spans="1:21" ht="30">
      <c r="A262" s="7" t="s">
        <v>246</v>
      </c>
      <c r="B262" s="15">
        <v>46068</v>
      </c>
      <c r="C262" s="5" t="s">
        <v>248</v>
      </c>
      <c r="D262" s="14">
        <v>3</v>
      </c>
      <c r="E262" s="5" t="s">
        <v>1765</v>
      </c>
      <c r="F262" s="5" t="s">
        <v>1974</v>
      </c>
      <c r="G262" s="13">
        <v>3</v>
      </c>
      <c r="H262" s="13">
        <v>1</v>
      </c>
      <c r="I262" s="13">
        <v>2</v>
      </c>
      <c r="J262" s="13">
        <v>3</v>
      </c>
      <c r="K262" s="14">
        <f t="shared" si="8"/>
        <v>6</v>
      </c>
      <c r="L262" s="5" t="str">
        <f t="shared" si="9"/>
        <v>HIGH</v>
      </c>
      <c r="M262" s="4" t="s">
        <v>1767</v>
      </c>
      <c r="N262" s="8" t="b">
        <v>0</v>
      </c>
      <c r="O262" s="6" t="s">
        <v>1768</v>
      </c>
      <c r="P262" s="6" t="s">
        <v>1975</v>
      </c>
      <c r="Q262" s="6"/>
      <c r="R262" s="9" t="b">
        <v>1</v>
      </c>
      <c r="S262" s="6" t="s">
        <v>251</v>
      </c>
      <c r="T262" s="6" t="s">
        <v>2049</v>
      </c>
      <c r="U262" s="9" t="b">
        <v>1</v>
      </c>
    </row>
    <row r="263" spans="1:21" ht="30">
      <c r="A263" s="7" t="s">
        <v>246</v>
      </c>
      <c r="B263" s="15">
        <v>46068</v>
      </c>
      <c r="C263" s="5" t="s">
        <v>248</v>
      </c>
      <c r="D263" s="14">
        <v>4</v>
      </c>
      <c r="E263" s="5" t="s">
        <v>1708</v>
      </c>
      <c r="F263" s="5" t="s">
        <v>1757</v>
      </c>
      <c r="G263" s="13">
        <v>6</v>
      </c>
      <c r="H263" s="13">
        <v>2</v>
      </c>
      <c r="I263" s="13">
        <v>3</v>
      </c>
      <c r="J263" s="13">
        <v>3</v>
      </c>
      <c r="K263" s="14">
        <f t="shared" si="8"/>
        <v>9</v>
      </c>
      <c r="L263" s="5" t="str">
        <f t="shared" si="9"/>
        <v>HIGH</v>
      </c>
      <c r="M263" s="4" t="s">
        <v>1710</v>
      </c>
      <c r="N263" s="8" t="b">
        <v>0</v>
      </c>
      <c r="O263" s="6" t="s">
        <v>1711</v>
      </c>
      <c r="P263" s="6" t="s">
        <v>1758</v>
      </c>
      <c r="Q263" s="6"/>
      <c r="R263" s="9" t="b">
        <v>1</v>
      </c>
      <c r="S263" s="6" t="s">
        <v>251</v>
      </c>
      <c r="T263" s="6" t="s">
        <v>2050</v>
      </c>
      <c r="U263" s="9" t="b">
        <v>1</v>
      </c>
    </row>
    <row r="264" spans="1:21" ht="30">
      <c r="A264" s="7" t="s">
        <v>246</v>
      </c>
      <c r="B264" s="15">
        <v>46068</v>
      </c>
      <c r="C264" s="5" t="s">
        <v>248</v>
      </c>
      <c r="D264" s="14">
        <v>5</v>
      </c>
      <c r="E264" s="5" t="s">
        <v>1714</v>
      </c>
      <c r="F264" s="5" t="s">
        <v>1715</v>
      </c>
      <c r="G264" s="13">
        <v>9</v>
      </c>
      <c r="H264" s="13">
        <v>0</v>
      </c>
      <c r="I264" s="13">
        <v>3</v>
      </c>
      <c r="J264" s="13">
        <v>2</v>
      </c>
      <c r="K264" s="14">
        <f t="shared" si="8"/>
        <v>6</v>
      </c>
      <c r="L264" s="5" t="str">
        <f t="shared" si="9"/>
        <v>HIGH</v>
      </c>
      <c r="M264" s="4" t="s">
        <v>1716</v>
      </c>
      <c r="N264" s="8" t="b">
        <v>1</v>
      </c>
      <c r="O264" s="6" t="s">
        <v>1717</v>
      </c>
      <c r="P264" s="6" t="s">
        <v>1718</v>
      </c>
      <c r="Q264" s="6"/>
      <c r="R264" s="9" t="b">
        <v>1</v>
      </c>
      <c r="S264" s="6" t="s">
        <v>251</v>
      </c>
      <c r="T264" s="6" t="s">
        <v>2051</v>
      </c>
      <c r="U264" s="9" t="b">
        <v>1</v>
      </c>
    </row>
    <row r="265" spans="1:21" ht="30">
      <c r="A265" s="7" t="s">
        <v>246</v>
      </c>
      <c r="B265" s="15">
        <v>46068</v>
      </c>
      <c r="C265" s="5" t="s">
        <v>248</v>
      </c>
      <c r="D265" s="14">
        <v>6</v>
      </c>
      <c r="E265" s="5" t="s">
        <v>1714</v>
      </c>
      <c r="F265" s="5" t="s">
        <v>1855</v>
      </c>
      <c r="G265" s="13">
        <v>12</v>
      </c>
      <c r="H265" s="13">
        <v>1</v>
      </c>
      <c r="I265" s="13">
        <v>2</v>
      </c>
      <c r="J265" s="13">
        <v>3</v>
      </c>
      <c r="K265" s="14">
        <f t="shared" si="8"/>
        <v>6</v>
      </c>
      <c r="L265" s="5" t="str">
        <f t="shared" si="9"/>
        <v>HIGH</v>
      </c>
      <c r="M265" s="4" t="s">
        <v>1716</v>
      </c>
      <c r="N265" s="8" t="b">
        <v>0</v>
      </c>
      <c r="O265" s="6" t="s">
        <v>1717</v>
      </c>
      <c r="P265" s="6" t="s">
        <v>1856</v>
      </c>
      <c r="Q265" s="6"/>
      <c r="R265" s="9" t="b">
        <v>1</v>
      </c>
      <c r="S265" s="6" t="s">
        <v>251</v>
      </c>
      <c r="T265" s="6" t="s">
        <v>2052</v>
      </c>
      <c r="U265" s="9" t="b">
        <v>1</v>
      </c>
    </row>
    <row r="266" spans="1:21" ht="30">
      <c r="A266" s="7" t="s">
        <v>246</v>
      </c>
      <c r="B266" s="15">
        <v>46068</v>
      </c>
      <c r="C266" s="5" t="s">
        <v>248</v>
      </c>
      <c r="D266" s="14">
        <v>7</v>
      </c>
      <c r="E266" s="5" t="s">
        <v>1714</v>
      </c>
      <c r="F266" s="5" t="s">
        <v>1788</v>
      </c>
      <c r="G266" s="13">
        <v>15</v>
      </c>
      <c r="H266" s="13">
        <v>2</v>
      </c>
      <c r="I266" s="13">
        <v>3</v>
      </c>
      <c r="J266" s="13">
        <v>3</v>
      </c>
      <c r="K266" s="14">
        <f t="shared" si="8"/>
        <v>9</v>
      </c>
      <c r="L266" s="5" t="str">
        <f t="shared" si="9"/>
        <v>HIGH</v>
      </c>
      <c r="M266" s="4" t="s">
        <v>1716</v>
      </c>
      <c r="N266" s="8" t="b">
        <v>0</v>
      </c>
      <c r="O266" s="6" t="s">
        <v>1717</v>
      </c>
      <c r="P266" s="6" t="s">
        <v>1789</v>
      </c>
      <c r="Q266" s="6"/>
      <c r="R266" s="9" t="b">
        <v>1</v>
      </c>
      <c r="S266" s="6" t="s">
        <v>251</v>
      </c>
      <c r="T266" s="6" t="s">
        <v>2053</v>
      </c>
      <c r="U266" s="9" t="b">
        <v>1</v>
      </c>
    </row>
    <row r="267" spans="1:21" ht="30">
      <c r="A267" s="7" t="s">
        <v>246</v>
      </c>
      <c r="B267" s="15">
        <v>46068</v>
      </c>
      <c r="C267" s="5" t="s">
        <v>248</v>
      </c>
      <c r="D267" s="14">
        <v>8</v>
      </c>
      <c r="E267" s="5" t="s">
        <v>1745</v>
      </c>
      <c r="F267" s="5" t="s">
        <v>1746</v>
      </c>
      <c r="G267" s="13">
        <v>18</v>
      </c>
      <c r="H267" s="13">
        <v>0</v>
      </c>
      <c r="I267" s="13">
        <v>3</v>
      </c>
      <c r="J267" s="13">
        <v>2</v>
      </c>
      <c r="K267" s="14">
        <f t="shared" si="8"/>
        <v>6</v>
      </c>
      <c r="L267" s="5" t="str">
        <f t="shared" si="9"/>
        <v>HIGH</v>
      </c>
      <c r="M267" s="4" t="s">
        <v>1747</v>
      </c>
      <c r="N267" s="8" t="b">
        <v>1</v>
      </c>
      <c r="O267" s="6" t="s">
        <v>1748</v>
      </c>
      <c r="P267" s="6" t="s">
        <v>1749</v>
      </c>
      <c r="Q267" s="6"/>
      <c r="R267" s="9" t="b">
        <v>1</v>
      </c>
      <c r="S267" s="6" t="s">
        <v>251</v>
      </c>
      <c r="T267" s="6" t="s">
        <v>2054</v>
      </c>
      <c r="U267" s="9" t="b">
        <v>1</v>
      </c>
    </row>
    <row r="268" spans="1:21" ht="30">
      <c r="A268" s="7" t="s">
        <v>252</v>
      </c>
      <c r="B268" s="15">
        <v>46099</v>
      </c>
      <c r="C268" s="5" t="s">
        <v>254</v>
      </c>
      <c r="D268" s="14">
        <v>1</v>
      </c>
      <c r="E268" s="5" t="s">
        <v>1699</v>
      </c>
      <c r="F268" s="5" t="s">
        <v>1705</v>
      </c>
      <c r="G268" s="13">
        <v>32</v>
      </c>
      <c r="H268" s="13">
        <v>0</v>
      </c>
      <c r="I268" s="13">
        <v>2</v>
      </c>
      <c r="J268" s="13">
        <v>3</v>
      </c>
      <c r="K268" s="14">
        <f t="shared" si="8"/>
        <v>6</v>
      </c>
      <c r="L268" s="5" t="str">
        <f t="shared" si="9"/>
        <v>HIGH</v>
      </c>
      <c r="M268" s="4" t="s">
        <v>1701</v>
      </c>
      <c r="N268" s="8" t="b">
        <v>1</v>
      </c>
      <c r="O268" s="6" t="s">
        <v>1702</v>
      </c>
      <c r="P268" s="6" t="s">
        <v>1706</v>
      </c>
      <c r="Q268" s="6"/>
      <c r="R268" s="9" t="b">
        <v>1</v>
      </c>
      <c r="S268" s="6" t="s">
        <v>257</v>
      </c>
      <c r="T268" s="6" t="s">
        <v>2055</v>
      </c>
      <c r="U268" s="9" t="b">
        <v>1</v>
      </c>
    </row>
    <row r="269" spans="1:21" ht="30">
      <c r="A269" s="7" t="s">
        <v>252</v>
      </c>
      <c r="B269" s="15">
        <v>46099</v>
      </c>
      <c r="C269" s="5" t="s">
        <v>254</v>
      </c>
      <c r="D269" s="14">
        <v>2</v>
      </c>
      <c r="E269" s="5" t="s">
        <v>1708</v>
      </c>
      <c r="F269" s="5" t="s">
        <v>1709</v>
      </c>
      <c r="G269" s="13">
        <v>35</v>
      </c>
      <c r="H269" s="13">
        <v>1</v>
      </c>
      <c r="I269" s="13">
        <v>3</v>
      </c>
      <c r="J269" s="13">
        <v>3</v>
      </c>
      <c r="K269" s="14">
        <f t="shared" si="8"/>
        <v>9</v>
      </c>
      <c r="L269" s="5" t="str">
        <f t="shared" si="9"/>
        <v>HIGH</v>
      </c>
      <c r="M269" s="4" t="s">
        <v>1710</v>
      </c>
      <c r="N269" s="8" t="b">
        <v>0</v>
      </c>
      <c r="O269" s="6" t="s">
        <v>1711</v>
      </c>
      <c r="P269" s="6" t="s">
        <v>1712</v>
      </c>
      <c r="Q269" s="6"/>
      <c r="R269" s="9" t="b">
        <v>1</v>
      </c>
      <c r="S269" s="6" t="s">
        <v>257</v>
      </c>
      <c r="T269" s="6" t="s">
        <v>2056</v>
      </c>
      <c r="U269" s="9" t="b">
        <v>1</v>
      </c>
    </row>
    <row r="270" spans="1:21" ht="30">
      <c r="A270" s="7" t="s">
        <v>252</v>
      </c>
      <c r="B270" s="15">
        <v>46099</v>
      </c>
      <c r="C270" s="5" t="s">
        <v>254</v>
      </c>
      <c r="D270" s="14">
        <v>3</v>
      </c>
      <c r="E270" s="5" t="s">
        <v>1765</v>
      </c>
      <c r="F270" s="5" t="s">
        <v>1974</v>
      </c>
      <c r="G270" s="13">
        <v>38</v>
      </c>
      <c r="H270" s="13">
        <v>2</v>
      </c>
      <c r="I270" s="13">
        <v>3</v>
      </c>
      <c r="J270" s="13">
        <v>2</v>
      </c>
      <c r="K270" s="14">
        <f t="shared" si="8"/>
        <v>6</v>
      </c>
      <c r="L270" s="5" t="str">
        <f t="shared" si="9"/>
        <v>HIGH</v>
      </c>
      <c r="M270" s="4" t="s">
        <v>1767</v>
      </c>
      <c r="N270" s="8" t="b">
        <v>0</v>
      </c>
      <c r="O270" s="6" t="s">
        <v>1768</v>
      </c>
      <c r="P270" s="6" t="s">
        <v>1975</v>
      </c>
      <c r="Q270" s="6"/>
      <c r="R270" s="9" t="b">
        <v>1</v>
      </c>
      <c r="S270" s="6" t="s">
        <v>257</v>
      </c>
      <c r="T270" s="6" t="s">
        <v>2057</v>
      </c>
      <c r="U270" s="9" t="b">
        <v>1</v>
      </c>
    </row>
    <row r="271" spans="1:21" ht="30">
      <c r="A271" s="7" t="s">
        <v>252</v>
      </c>
      <c r="B271" s="15">
        <v>46099</v>
      </c>
      <c r="C271" s="5" t="s">
        <v>254</v>
      </c>
      <c r="D271" s="14">
        <v>4</v>
      </c>
      <c r="E271" s="5" t="s">
        <v>1708</v>
      </c>
      <c r="F271" s="5" t="s">
        <v>1757</v>
      </c>
      <c r="G271" s="13">
        <v>41</v>
      </c>
      <c r="H271" s="13">
        <v>0</v>
      </c>
      <c r="I271" s="13">
        <v>2</v>
      </c>
      <c r="J271" s="13">
        <v>3</v>
      </c>
      <c r="K271" s="14">
        <f t="shared" si="8"/>
        <v>6</v>
      </c>
      <c r="L271" s="5" t="str">
        <f t="shared" si="9"/>
        <v>HIGH</v>
      </c>
      <c r="M271" s="4" t="s">
        <v>1710</v>
      </c>
      <c r="N271" s="8" t="b">
        <v>1</v>
      </c>
      <c r="O271" s="6" t="s">
        <v>1711</v>
      </c>
      <c r="P271" s="6" t="s">
        <v>1758</v>
      </c>
      <c r="Q271" s="6"/>
      <c r="R271" s="9" t="b">
        <v>1</v>
      </c>
      <c r="S271" s="6" t="s">
        <v>257</v>
      </c>
      <c r="T271" s="6" t="s">
        <v>2058</v>
      </c>
      <c r="U271" s="9" t="b">
        <v>1</v>
      </c>
    </row>
    <row r="272" spans="1:21" ht="30">
      <c r="A272" s="7" t="s">
        <v>252</v>
      </c>
      <c r="B272" s="15">
        <v>46099</v>
      </c>
      <c r="C272" s="5" t="s">
        <v>254</v>
      </c>
      <c r="D272" s="14">
        <v>5</v>
      </c>
      <c r="E272" s="5" t="s">
        <v>1714</v>
      </c>
      <c r="F272" s="5" t="s">
        <v>1715</v>
      </c>
      <c r="G272" s="13">
        <v>44</v>
      </c>
      <c r="H272" s="13">
        <v>1</v>
      </c>
      <c r="I272" s="13">
        <v>3</v>
      </c>
      <c r="J272" s="13">
        <v>3</v>
      </c>
      <c r="K272" s="14">
        <f t="shared" si="8"/>
        <v>9</v>
      </c>
      <c r="L272" s="5" t="str">
        <f t="shared" si="9"/>
        <v>HIGH</v>
      </c>
      <c r="M272" s="4" t="s">
        <v>1716</v>
      </c>
      <c r="N272" s="8" t="b">
        <v>0</v>
      </c>
      <c r="O272" s="6" t="s">
        <v>1717</v>
      </c>
      <c r="P272" s="6" t="s">
        <v>1718</v>
      </c>
      <c r="Q272" s="6"/>
      <c r="R272" s="9" t="b">
        <v>1</v>
      </c>
      <c r="S272" s="6" t="s">
        <v>257</v>
      </c>
      <c r="T272" s="6" t="s">
        <v>2059</v>
      </c>
      <c r="U272" s="9" t="b">
        <v>1</v>
      </c>
    </row>
    <row r="273" spans="1:21" ht="30">
      <c r="A273" s="7" t="s">
        <v>252</v>
      </c>
      <c r="B273" s="15">
        <v>46099</v>
      </c>
      <c r="C273" s="5" t="s">
        <v>254</v>
      </c>
      <c r="D273" s="14">
        <v>6</v>
      </c>
      <c r="E273" s="5" t="s">
        <v>1714</v>
      </c>
      <c r="F273" s="5" t="s">
        <v>1855</v>
      </c>
      <c r="G273" s="13">
        <v>47</v>
      </c>
      <c r="H273" s="13">
        <v>2</v>
      </c>
      <c r="I273" s="13">
        <v>3</v>
      </c>
      <c r="J273" s="13">
        <v>2</v>
      </c>
      <c r="K273" s="14">
        <f t="shared" si="8"/>
        <v>6</v>
      </c>
      <c r="L273" s="5" t="str">
        <f t="shared" si="9"/>
        <v>HIGH</v>
      </c>
      <c r="M273" s="4" t="s">
        <v>1716</v>
      </c>
      <c r="N273" s="8" t="b">
        <v>0</v>
      </c>
      <c r="O273" s="6" t="s">
        <v>1717</v>
      </c>
      <c r="P273" s="6" t="s">
        <v>1856</v>
      </c>
      <c r="Q273" s="6"/>
      <c r="R273" s="9" t="b">
        <v>1</v>
      </c>
      <c r="S273" s="6" t="s">
        <v>257</v>
      </c>
      <c r="T273" s="6" t="s">
        <v>2060</v>
      </c>
      <c r="U273" s="9" t="b">
        <v>1</v>
      </c>
    </row>
    <row r="274" spans="1:21" ht="30">
      <c r="A274" s="7" t="s">
        <v>252</v>
      </c>
      <c r="B274" s="15">
        <v>46099</v>
      </c>
      <c r="C274" s="5" t="s">
        <v>254</v>
      </c>
      <c r="D274" s="14">
        <v>7</v>
      </c>
      <c r="E274" s="5" t="s">
        <v>1714</v>
      </c>
      <c r="F274" s="5" t="s">
        <v>1788</v>
      </c>
      <c r="G274" s="13">
        <v>3</v>
      </c>
      <c r="H274" s="13">
        <v>0</v>
      </c>
      <c r="I274" s="13">
        <v>2</v>
      </c>
      <c r="J274" s="13">
        <v>3</v>
      </c>
      <c r="K274" s="14">
        <f t="shared" si="8"/>
        <v>6</v>
      </c>
      <c r="L274" s="5" t="str">
        <f t="shared" si="9"/>
        <v>HIGH</v>
      </c>
      <c r="M274" s="4" t="s">
        <v>1716</v>
      </c>
      <c r="N274" s="8" t="b">
        <v>1</v>
      </c>
      <c r="O274" s="6" t="s">
        <v>1717</v>
      </c>
      <c r="P274" s="6" t="s">
        <v>1789</v>
      </c>
      <c r="Q274" s="6"/>
      <c r="R274" s="9" t="b">
        <v>1</v>
      </c>
      <c r="S274" s="6" t="s">
        <v>257</v>
      </c>
      <c r="T274" s="6" t="s">
        <v>2061</v>
      </c>
      <c r="U274" s="9" t="b">
        <v>1</v>
      </c>
    </row>
    <row r="275" spans="1:21" ht="30">
      <c r="A275" s="7" t="s">
        <v>252</v>
      </c>
      <c r="B275" s="15">
        <v>46099</v>
      </c>
      <c r="C275" s="5" t="s">
        <v>254</v>
      </c>
      <c r="D275" s="14">
        <v>8</v>
      </c>
      <c r="E275" s="5" t="s">
        <v>1720</v>
      </c>
      <c r="F275" s="5" t="s">
        <v>1726</v>
      </c>
      <c r="G275" s="13">
        <v>6</v>
      </c>
      <c r="H275" s="13">
        <v>1</v>
      </c>
      <c r="I275" s="13">
        <v>3</v>
      </c>
      <c r="J275" s="13">
        <v>3</v>
      </c>
      <c r="K275" s="14">
        <f t="shared" si="8"/>
        <v>9</v>
      </c>
      <c r="L275" s="5" t="str">
        <f t="shared" si="9"/>
        <v>HIGH</v>
      </c>
      <c r="M275" s="4" t="s">
        <v>1722</v>
      </c>
      <c r="N275" s="8" t="b">
        <v>0</v>
      </c>
      <c r="O275" s="6" t="s">
        <v>1723</v>
      </c>
      <c r="P275" s="6" t="s">
        <v>1727</v>
      </c>
      <c r="Q275" s="6"/>
      <c r="R275" s="9" t="b">
        <v>1</v>
      </c>
      <c r="S275" s="6" t="s">
        <v>257</v>
      </c>
      <c r="T275" s="6" t="s">
        <v>2062</v>
      </c>
      <c r="U275" s="9" t="b">
        <v>1</v>
      </c>
    </row>
    <row r="276" spans="1:21" ht="30">
      <c r="A276" s="7" t="s">
        <v>258</v>
      </c>
      <c r="B276" s="15">
        <v>46133</v>
      </c>
      <c r="C276" s="5" t="s">
        <v>260</v>
      </c>
      <c r="D276" s="14">
        <v>1</v>
      </c>
      <c r="E276" s="5" t="s">
        <v>1708</v>
      </c>
      <c r="F276" s="5" t="s">
        <v>2063</v>
      </c>
      <c r="G276" s="13">
        <v>27</v>
      </c>
      <c r="H276" s="13">
        <v>14</v>
      </c>
      <c r="I276" s="13">
        <v>3</v>
      </c>
      <c r="J276" s="13">
        <v>2</v>
      </c>
      <c r="K276" s="14">
        <f t="shared" si="8"/>
        <v>6</v>
      </c>
      <c r="L276" s="5" t="str">
        <f t="shared" si="9"/>
        <v>HIGH</v>
      </c>
      <c r="M276" s="4" t="s">
        <v>1710</v>
      </c>
      <c r="N276" s="8" t="b">
        <v>0</v>
      </c>
      <c r="O276" s="6" t="s">
        <v>1711</v>
      </c>
      <c r="P276" s="6" t="s">
        <v>2064</v>
      </c>
      <c r="Q276" s="6"/>
      <c r="R276" s="9" t="b">
        <v>1</v>
      </c>
      <c r="S276" s="6" t="s">
        <v>263</v>
      </c>
      <c r="T276" s="6" t="s">
        <v>2065</v>
      </c>
      <c r="U276" s="9" t="b">
        <v>1</v>
      </c>
    </row>
    <row r="277" spans="1:21" ht="30">
      <c r="A277" s="7" t="s">
        <v>258</v>
      </c>
      <c r="B277" s="15">
        <v>46133</v>
      </c>
      <c r="C277" s="5" t="s">
        <v>260</v>
      </c>
      <c r="D277" s="14">
        <v>2</v>
      </c>
      <c r="E277" s="5" t="s">
        <v>1714</v>
      </c>
      <c r="F277" s="5" t="s">
        <v>1715</v>
      </c>
      <c r="G277" s="13">
        <v>30</v>
      </c>
      <c r="H277" s="13">
        <v>21</v>
      </c>
      <c r="I277" s="13">
        <v>2</v>
      </c>
      <c r="J277" s="13">
        <v>3</v>
      </c>
      <c r="K277" s="14">
        <f t="shared" si="8"/>
        <v>6</v>
      </c>
      <c r="L277" s="5" t="str">
        <f t="shared" si="9"/>
        <v>HIGH</v>
      </c>
      <c r="M277" s="4" t="s">
        <v>1716</v>
      </c>
      <c r="N277" s="8" t="b">
        <v>0</v>
      </c>
      <c r="O277" s="6" t="s">
        <v>1717</v>
      </c>
      <c r="P277" s="6" t="s">
        <v>1718</v>
      </c>
      <c r="Q277" s="6"/>
      <c r="R277" s="9" t="b">
        <v>1</v>
      </c>
      <c r="S277" s="6" t="s">
        <v>263</v>
      </c>
      <c r="T277" s="6" t="s">
        <v>2066</v>
      </c>
      <c r="U277" s="9" t="b">
        <v>1</v>
      </c>
    </row>
    <row r="278" spans="1:21" ht="30">
      <c r="A278" s="7" t="s">
        <v>258</v>
      </c>
      <c r="B278" s="15">
        <v>46133</v>
      </c>
      <c r="C278" s="5" t="s">
        <v>260</v>
      </c>
      <c r="D278" s="14">
        <v>3</v>
      </c>
      <c r="E278" s="5" t="s">
        <v>1714</v>
      </c>
      <c r="F278" s="5" t="s">
        <v>1855</v>
      </c>
      <c r="G278" s="13">
        <v>33</v>
      </c>
      <c r="H278" s="13">
        <v>28</v>
      </c>
      <c r="I278" s="13">
        <v>3</v>
      </c>
      <c r="J278" s="13">
        <v>3</v>
      </c>
      <c r="K278" s="14">
        <f t="shared" si="8"/>
        <v>9</v>
      </c>
      <c r="L278" s="5" t="str">
        <f t="shared" si="9"/>
        <v>HIGH</v>
      </c>
      <c r="M278" s="4" t="s">
        <v>1716</v>
      </c>
      <c r="N278" s="8" t="b">
        <v>1</v>
      </c>
      <c r="O278" s="6" t="s">
        <v>1717</v>
      </c>
      <c r="P278" s="6" t="s">
        <v>1856</v>
      </c>
      <c r="Q278" s="6"/>
      <c r="R278" s="9" t="b">
        <v>1</v>
      </c>
      <c r="S278" s="6" t="s">
        <v>263</v>
      </c>
      <c r="T278" s="6" t="s">
        <v>2067</v>
      </c>
      <c r="U278" s="9" t="b">
        <v>1</v>
      </c>
    </row>
    <row r="279" spans="1:21" ht="30">
      <c r="A279" s="7" t="s">
        <v>258</v>
      </c>
      <c r="B279" s="15">
        <v>46133</v>
      </c>
      <c r="C279" s="5" t="s">
        <v>260</v>
      </c>
      <c r="D279" s="14">
        <v>4</v>
      </c>
      <c r="E279" s="5" t="s">
        <v>1699</v>
      </c>
      <c r="F279" s="5" t="s">
        <v>1700</v>
      </c>
      <c r="G279" s="13">
        <v>36</v>
      </c>
      <c r="H279" s="13">
        <v>4</v>
      </c>
      <c r="I279" s="13">
        <v>3</v>
      </c>
      <c r="J279" s="13">
        <v>2</v>
      </c>
      <c r="K279" s="14">
        <f t="shared" si="8"/>
        <v>6</v>
      </c>
      <c r="L279" s="5" t="str">
        <f t="shared" si="9"/>
        <v>HIGH</v>
      </c>
      <c r="M279" s="4" t="s">
        <v>1701</v>
      </c>
      <c r="N279" s="8" t="b">
        <v>0</v>
      </c>
      <c r="O279" s="6" t="s">
        <v>1702</v>
      </c>
      <c r="P279" s="6" t="s">
        <v>1703</v>
      </c>
      <c r="Q279" s="6"/>
      <c r="R279" s="9" t="b">
        <v>1</v>
      </c>
      <c r="S279" s="6" t="s">
        <v>263</v>
      </c>
      <c r="T279" s="6" t="s">
        <v>2068</v>
      </c>
      <c r="U279" s="9" t="b">
        <v>1</v>
      </c>
    </row>
    <row r="280" spans="1:21" ht="30">
      <c r="A280" s="7" t="s">
        <v>258</v>
      </c>
      <c r="B280" s="15">
        <v>46133</v>
      </c>
      <c r="C280" s="5" t="s">
        <v>260</v>
      </c>
      <c r="D280" s="14">
        <v>5</v>
      </c>
      <c r="E280" s="5" t="s">
        <v>1708</v>
      </c>
      <c r="F280" s="5" t="s">
        <v>1757</v>
      </c>
      <c r="G280" s="13">
        <v>39</v>
      </c>
      <c r="H280" s="13">
        <v>11</v>
      </c>
      <c r="I280" s="13">
        <v>2</v>
      </c>
      <c r="J280" s="13">
        <v>3</v>
      </c>
      <c r="K280" s="14">
        <f t="shared" si="8"/>
        <v>6</v>
      </c>
      <c r="L280" s="5" t="str">
        <f t="shared" si="9"/>
        <v>HIGH</v>
      </c>
      <c r="M280" s="4" t="s">
        <v>1710</v>
      </c>
      <c r="N280" s="8" t="b">
        <v>0</v>
      </c>
      <c r="O280" s="6" t="s">
        <v>1711</v>
      </c>
      <c r="P280" s="6" t="s">
        <v>1758</v>
      </c>
      <c r="Q280" s="6"/>
      <c r="R280" s="9" t="b">
        <v>1</v>
      </c>
      <c r="S280" s="6" t="s">
        <v>263</v>
      </c>
      <c r="T280" s="6" t="s">
        <v>2069</v>
      </c>
      <c r="U280" s="9" t="b">
        <v>1</v>
      </c>
    </row>
    <row r="281" spans="1:21" ht="30">
      <c r="A281" s="7" t="s">
        <v>258</v>
      </c>
      <c r="B281" s="15">
        <v>46133</v>
      </c>
      <c r="C281" s="5" t="s">
        <v>260</v>
      </c>
      <c r="D281" s="14">
        <v>6</v>
      </c>
      <c r="E281" s="5" t="s">
        <v>1720</v>
      </c>
      <c r="F281" s="5" t="s">
        <v>1721</v>
      </c>
      <c r="G281" s="13">
        <v>42</v>
      </c>
      <c r="H281" s="13">
        <v>18</v>
      </c>
      <c r="I281" s="13">
        <v>3</v>
      </c>
      <c r="J281" s="13">
        <v>3</v>
      </c>
      <c r="K281" s="14">
        <f t="shared" si="8"/>
        <v>9</v>
      </c>
      <c r="L281" s="5" t="str">
        <f t="shared" si="9"/>
        <v>HIGH</v>
      </c>
      <c r="M281" s="4" t="s">
        <v>1722</v>
      </c>
      <c r="N281" s="8" t="b">
        <v>1</v>
      </c>
      <c r="O281" s="6" t="s">
        <v>1723</v>
      </c>
      <c r="P281" s="6" t="s">
        <v>1724</v>
      </c>
      <c r="Q281" s="6"/>
      <c r="R281" s="9" t="b">
        <v>1</v>
      </c>
      <c r="S281" s="6" t="s">
        <v>263</v>
      </c>
      <c r="T281" s="6" t="s">
        <v>2070</v>
      </c>
      <c r="U281" s="9" t="b">
        <v>1</v>
      </c>
    </row>
    <row r="282" spans="1:21" ht="30">
      <c r="A282" s="7" t="s">
        <v>258</v>
      </c>
      <c r="B282" s="15">
        <v>46133</v>
      </c>
      <c r="C282" s="5" t="s">
        <v>260</v>
      </c>
      <c r="D282" s="14">
        <v>7</v>
      </c>
      <c r="E282" s="5" t="s">
        <v>1778</v>
      </c>
      <c r="F282" s="5" t="s">
        <v>1779</v>
      </c>
      <c r="G282" s="13">
        <v>45</v>
      </c>
      <c r="H282" s="13">
        <v>25</v>
      </c>
      <c r="I282" s="13">
        <v>3</v>
      </c>
      <c r="J282" s="13">
        <v>2</v>
      </c>
      <c r="K282" s="14">
        <f t="shared" si="8"/>
        <v>6</v>
      </c>
      <c r="L282" s="5" t="str">
        <f t="shared" si="9"/>
        <v>HIGH</v>
      </c>
      <c r="M282" s="4" t="s">
        <v>1780</v>
      </c>
      <c r="N282" s="8" t="b">
        <v>0</v>
      </c>
      <c r="O282" s="6" t="s">
        <v>1781</v>
      </c>
      <c r="P282" s="6" t="s">
        <v>1782</v>
      </c>
      <c r="Q282" s="6"/>
      <c r="R282" s="9" t="b">
        <v>1</v>
      </c>
      <c r="S282" s="6" t="s">
        <v>263</v>
      </c>
      <c r="T282" s="6" t="s">
        <v>2071</v>
      </c>
      <c r="U282" s="9" t="b">
        <v>1</v>
      </c>
    </row>
    <row r="283" spans="1:21" ht="30">
      <c r="A283" s="7" t="s">
        <v>258</v>
      </c>
      <c r="B283" s="15">
        <v>46133</v>
      </c>
      <c r="C283" s="5" t="s">
        <v>260</v>
      </c>
      <c r="D283" s="14">
        <v>8</v>
      </c>
      <c r="E283" s="5" t="s">
        <v>1708</v>
      </c>
      <c r="F283" s="5" t="s">
        <v>1835</v>
      </c>
      <c r="G283" s="13">
        <v>48</v>
      </c>
      <c r="H283" s="13">
        <v>1</v>
      </c>
      <c r="I283" s="13">
        <v>2</v>
      </c>
      <c r="J283" s="13">
        <v>3</v>
      </c>
      <c r="K283" s="14">
        <f t="shared" si="8"/>
        <v>6</v>
      </c>
      <c r="L283" s="5" t="str">
        <f t="shared" si="9"/>
        <v>HIGH</v>
      </c>
      <c r="M283" s="4" t="s">
        <v>1710</v>
      </c>
      <c r="N283" s="8" t="b">
        <v>0</v>
      </c>
      <c r="O283" s="6" t="s">
        <v>1711</v>
      </c>
      <c r="P283" s="6" t="s">
        <v>1836</v>
      </c>
      <c r="Q283" s="6" t="s">
        <v>1835</v>
      </c>
      <c r="R283" s="9" t="b">
        <v>1</v>
      </c>
      <c r="S283" s="6" t="s">
        <v>263</v>
      </c>
      <c r="T283" s="6" t="s">
        <v>2072</v>
      </c>
      <c r="U283" s="9" t="b">
        <v>1</v>
      </c>
    </row>
    <row r="284" spans="1:21" ht="30">
      <c r="A284" s="7" t="s">
        <v>264</v>
      </c>
      <c r="B284" s="15">
        <v>46166</v>
      </c>
      <c r="C284" s="5" t="s">
        <v>266</v>
      </c>
      <c r="D284" s="14">
        <v>1</v>
      </c>
      <c r="E284" s="5" t="s">
        <v>1708</v>
      </c>
      <c r="F284" s="5" t="s">
        <v>2063</v>
      </c>
      <c r="G284" s="13">
        <v>22</v>
      </c>
      <c r="H284" s="13">
        <v>19</v>
      </c>
      <c r="I284" s="13">
        <v>3</v>
      </c>
      <c r="J284" s="13">
        <v>3</v>
      </c>
      <c r="K284" s="14">
        <f t="shared" si="8"/>
        <v>9</v>
      </c>
      <c r="L284" s="5" t="str">
        <f t="shared" si="9"/>
        <v>HIGH</v>
      </c>
      <c r="M284" s="4" t="s">
        <v>1710</v>
      </c>
      <c r="N284" s="8" t="b">
        <v>0</v>
      </c>
      <c r="O284" s="6" t="s">
        <v>1711</v>
      </c>
      <c r="P284" s="6" t="s">
        <v>2064</v>
      </c>
      <c r="Q284" s="6"/>
      <c r="R284" s="9" t="b">
        <v>1</v>
      </c>
      <c r="S284" s="6" t="s">
        <v>269</v>
      </c>
      <c r="T284" s="6" t="s">
        <v>2073</v>
      </c>
      <c r="U284" s="9" t="b">
        <v>1</v>
      </c>
    </row>
    <row r="285" spans="1:21" ht="30">
      <c r="A285" s="7" t="s">
        <v>264</v>
      </c>
      <c r="B285" s="15">
        <v>46166</v>
      </c>
      <c r="C285" s="5" t="s">
        <v>266</v>
      </c>
      <c r="D285" s="14">
        <v>2</v>
      </c>
      <c r="E285" s="5" t="s">
        <v>1714</v>
      </c>
      <c r="F285" s="5" t="s">
        <v>1715</v>
      </c>
      <c r="G285" s="13">
        <v>25</v>
      </c>
      <c r="H285" s="13">
        <v>26</v>
      </c>
      <c r="I285" s="13">
        <v>3</v>
      </c>
      <c r="J285" s="13">
        <v>2</v>
      </c>
      <c r="K285" s="14">
        <f t="shared" si="8"/>
        <v>6</v>
      </c>
      <c r="L285" s="5" t="str">
        <f t="shared" si="9"/>
        <v>HIGH</v>
      </c>
      <c r="M285" s="4" t="s">
        <v>1716</v>
      </c>
      <c r="N285" s="8" t="b">
        <v>1</v>
      </c>
      <c r="O285" s="6" t="s">
        <v>1717</v>
      </c>
      <c r="P285" s="6" t="s">
        <v>1718</v>
      </c>
      <c r="Q285" s="6"/>
      <c r="R285" s="9" t="b">
        <v>1</v>
      </c>
      <c r="S285" s="6" t="s">
        <v>269</v>
      </c>
      <c r="T285" s="6" t="s">
        <v>2074</v>
      </c>
      <c r="U285" s="9" t="b">
        <v>1</v>
      </c>
    </row>
    <row r="286" spans="1:21" ht="30">
      <c r="A286" s="7" t="s">
        <v>264</v>
      </c>
      <c r="B286" s="15">
        <v>46166</v>
      </c>
      <c r="C286" s="5" t="s">
        <v>266</v>
      </c>
      <c r="D286" s="14">
        <v>3</v>
      </c>
      <c r="E286" s="5" t="s">
        <v>1714</v>
      </c>
      <c r="F286" s="5" t="s">
        <v>1855</v>
      </c>
      <c r="G286" s="13">
        <v>28</v>
      </c>
      <c r="H286" s="13">
        <v>2</v>
      </c>
      <c r="I286" s="13">
        <v>2</v>
      </c>
      <c r="J286" s="13">
        <v>3</v>
      </c>
      <c r="K286" s="14">
        <f t="shared" si="8"/>
        <v>6</v>
      </c>
      <c r="L286" s="5" t="str">
        <f t="shared" si="9"/>
        <v>HIGH</v>
      </c>
      <c r="M286" s="4" t="s">
        <v>1716</v>
      </c>
      <c r="N286" s="8" t="b">
        <v>0</v>
      </c>
      <c r="O286" s="6" t="s">
        <v>1717</v>
      </c>
      <c r="P286" s="6" t="s">
        <v>1856</v>
      </c>
      <c r="Q286" s="6"/>
      <c r="R286" s="9" t="b">
        <v>1</v>
      </c>
      <c r="S286" s="6" t="s">
        <v>269</v>
      </c>
      <c r="T286" s="6" t="s">
        <v>2075</v>
      </c>
      <c r="U286" s="9" t="b">
        <v>1</v>
      </c>
    </row>
    <row r="287" spans="1:21" ht="30">
      <c r="A287" s="7" t="s">
        <v>264</v>
      </c>
      <c r="B287" s="15">
        <v>46166</v>
      </c>
      <c r="C287" s="5" t="s">
        <v>266</v>
      </c>
      <c r="D287" s="14">
        <v>4</v>
      </c>
      <c r="E287" s="5" t="s">
        <v>1699</v>
      </c>
      <c r="F287" s="5" t="s">
        <v>1700</v>
      </c>
      <c r="G287" s="13">
        <v>31</v>
      </c>
      <c r="H287" s="13">
        <v>9</v>
      </c>
      <c r="I287" s="13">
        <v>3</v>
      </c>
      <c r="J287" s="13">
        <v>3</v>
      </c>
      <c r="K287" s="14">
        <f t="shared" si="8"/>
        <v>9</v>
      </c>
      <c r="L287" s="5" t="str">
        <f t="shared" si="9"/>
        <v>HIGH</v>
      </c>
      <c r="M287" s="4" t="s">
        <v>1701</v>
      </c>
      <c r="N287" s="8" t="b">
        <v>0</v>
      </c>
      <c r="O287" s="6" t="s">
        <v>1702</v>
      </c>
      <c r="P287" s="6" t="s">
        <v>1703</v>
      </c>
      <c r="Q287" s="6"/>
      <c r="R287" s="9" t="b">
        <v>1</v>
      </c>
      <c r="S287" s="6" t="s">
        <v>269</v>
      </c>
      <c r="T287" s="6" t="s">
        <v>2076</v>
      </c>
      <c r="U287" s="9" t="b">
        <v>1</v>
      </c>
    </row>
    <row r="288" spans="1:21" ht="30">
      <c r="A288" s="7" t="s">
        <v>264</v>
      </c>
      <c r="B288" s="15">
        <v>46166</v>
      </c>
      <c r="C288" s="5" t="s">
        <v>266</v>
      </c>
      <c r="D288" s="14">
        <v>5</v>
      </c>
      <c r="E288" s="5" t="s">
        <v>1708</v>
      </c>
      <c r="F288" s="5" t="s">
        <v>1757</v>
      </c>
      <c r="G288" s="13">
        <v>34</v>
      </c>
      <c r="H288" s="13">
        <v>16</v>
      </c>
      <c r="I288" s="13">
        <v>3</v>
      </c>
      <c r="J288" s="13">
        <v>2</v>
      </c>
      <c r="K288" s="14">
        <f t="shared" si="8"/>
        <v>6</v>
      </c>
      <c r="L288" s="5" t="str">
        <f t="shared" si="9"/>
        <v>HIGH</v>
      </c>
      <c r="M288" s="4" t="s">
        <v>1710</v>
      </c>
      <c r="N288" s="8" t="b">
        <v>1</v>
      </c>
      <c r="O288" s="6" t="s">
        <v>1711</v>
      </c>
      <c r="P288" s="6" t="s">
        <v>1758</v>
      </c>
      <c r="Q288" s="6"/>
      <c r="R288" s="9" t="b">
        <v>1</v>
      </c>
      <c r="S288" s="6" t="s">
        <v>269</v>
      </c>
      <c r="T288" s="6" t="s">
        <v>2077</v>
      </c>
      <c r="U288" s="9" t="b">
        <v>1</v>
      </c>
    </row>
    <row r="289" spans="1:21" ht="30">
      <c r="A289" s="7" t="s">
        <v>264</v>
      </c>
      <c r="B289" s="15">
        <v>46166</v>
      </c>
      <c r="C289" s="5" t="s">
        <v>266</v>
      </c>
      <c r="D289" s="14">
        <v>6</v>
      </c>
      <c r="E289" s="5" t="s">
        <v>1720</v>
      </c>
      <c r="F289" s="5" t="s">
        <v>1721</v>
      </c>
      <c r="G289" s="13">
        <v>37</v>
      </c>
      <c r="H289" s="13">
        <v>23</v>
      </c>
      <c r="I289" s="13">
        <v>2</v>
      </c>
      <c r="J289" s="13">
        <v>3</v>
      </c>
      <c r="K289" s="14">
        <f t="shared" si="8"/>
        <v>6</v>
      </c>
      <c r="L289" s="5" t="str">
        <f t="shared" si="9"/>
        <v>HIGH</v>
      </c>
      <c r="M289" s="4" t="s">
        <v>1722</v>
      </c>
      <c r="N289" s="8" t="b">
        <v>0</v>
      </c>
      <c r="O289" s="6" t="s">
        <v>1723</v>
      </c>
      <c r="P289" s="6" t="s">
        <v>1724</v>
      </c>
      <c r="Q289" s="6"/>
      <c r="R289" s="9" t="b">
        <v>1</v>
      </c>
      <c r="S289" s="6" t="s">
        <v>269</v>
      </c>
      <c r="T289" s="6" t="s">
        <v>2078</v>
      </c>
      <c r="U289" s="9" t="b">
        <v>1</v>
      </c>
    </row>
    <row r="290" spans="1:21" ht="45">
      <c r="A290" s="7" t="s">
        <v>264</v>
      </c>
      <c r="B290" s="15">
        <v>46166</v>
      </c>
      <c r="C290" s="5" t="s">
        <v>266</v>
      </c>
      <c r="D290" s="14">
        <v>7</v>
      </c>
      <c r="E290" s="5" t="s">
        <v>1729</v>
      </c>
      <c r="F290" s="5" t="s">
        <v>1730</v>
      </c>
      <c r="G290" s="13">
        <v>40</v>
      </c>
      <c r="H290" s="13">
        <v>30</v>
      </c>
      <c r="I290" s="13">
        <v>3</v>
      </c>
      <c r="J290" s="13">
        <v>3</v>
      </c>
      <c r="K290" s="14">
        <f t="shared" si="8"/>
        <v>9</v>
      </c>
      <c r="L290" s="5" t="str">
        <f t="shared" si="9"/>
        <v>HIGH</v>
      </c>
      <c r="M290" s="4" t="s">
        <v>1731</v>
      </c>
      <c r="N290" s="8" t="b">
        <v>0</v>
      </c>
      <c r="O290" s="6" t="s">
        <v>1732</v>
      </c>
      <c r="P290" s="6" t="s">
        <v>1733</v>
      </c>
      <c r="Q290" s="6"/>
      <c r="R290" s="9" t="b">
        <v>1</v>
      </c>
      <c r="S290" s="6" t="s">
        <v>269</v>
      </c>
      <c r="T290" s="6" t="s">
        <v>2079</v>
      </c>
      <c r="U290" s="9" t="b">
        <v>1</v>
      </c>
    </row>
    <row r="291" spans="1:21" ht="30">
      <c r="A291" s="7" t="s">
        <v>270</v>
      </c>
      <c r="B291" s="15">
        <v>46175</v>
      </c>
      <c r="C291" s="5" t="s">
        <v>272</v>
      </c>
      <c r="D291" s="14">
        <v>1</v>
      </c>
      <c r="E291" s="5" t="s">
        <v>1699</v>
      </c>
      <c r="F291" s="5" t="s">
        <v>1705</v>
      </c>
      <c r="G291" s="13">
        <v>5</v>
      </c>
      <c r="H291" s="13">
        <v>0</v>
      </c>
      <c r="I291" s="13">
        <v>1</v>
      </c>
      <c r="J291" s="13">
        <v>3</v>
      </c>
      <c r="K291" s="14">
        <f t="shared" si="8"/>
        <v>3</v>
      </c>
      <c r="L291" s="5" t="str">
        <f t="shared" si="9"/>
        <v>MEDIUM</v>
      </c>
      <c r="M291" s="4" t="s">
        <v>1701</v>
      </c>
      <c r="N291" s="8" t="b">
        <v>0</v>
      </c>
      <c r="O291" s="6" t="s">
        <v>1702</v>
      </c>
      <c r="P291" s="6" t="s">
        <v>1706</v>
      </c>
      <c r="Q291" s="6"/>
      <c r="R291" s="9" t="b">
        <v>1</v>
      </c>
      <c r="S291" s="6" t="s">
        <v>275</v>
      </c>
      <c r="T291" s="6" t="s">
        <v>2080</v>
      </c>
      <c r="U291" s="9" t="b">
        <v>1</v>
      </c>
    </row>
    <row r="292" spans="1:21" ht="30">
      <c r="A292" s="7" t="s">
        <v>270</v>
      </c>
      <c r="B292" s="15">
        <v>46175</v>
      </c>
      <c r="C292" s="5" t="s">
        <v>272</v>
      </c>
      <c r="D292" s="14">
        <v>2</v>
      </c>
      <c r="E292" s="5" t="s">
        <v>1708</v>
      </c>
      <c r="F292" s="5" t="s">
        <v>1709</v>
      </c>
      <c r="G292" s="13">
        <v>8</v>
      </c>
      <c r="H292" s="13">
        <v>1</v>
      </c>
      <c r="I292" s="13">
        <v>3</v>
      </c>
      <c r="J292" s="13">
        <v>1</v>
      </c>
      <c r="K292" s="14">
        <f t="shared" si="8"/>
        <v>3</v>
      </c>
      <c r="L292" s="5" t="str">
        <f t="shared" si="9"/>
        <v>MEDIUM</v>
      </c>
      <c r="M292" s="4" t="s">
        <v>1710</v>
      </c>
      <c r="N292" s="8" t="b">
        <v>0</v>
      </c>
      <c r="O292" s="6" t="s">
        <v>1711</v>
      </c>
      <c r="P292" s="6" t="s">
        <v>1712</v>
      </c>
      <c r="Q292" s="6"/>
      <c r="R292" s="9" t="b">
        <v>1</v>
      </c>
      <c r="S292" s="6" t="s">
        <v>275</v>
      </c>
      <c r="T292" s="6" t="s">
        <v>2081</v>
      </c>
      <c r="U292" s="9" t="b">
        <v>1</v>
      </c>
    </row>
    <row r="293" spans="1:21" ht="30">
      <c r="A293" s="7" t="s">
        <v>270</v>
      </c>
      <c r="B293" s="15">
        <v>46175</v>
      </c>
      <c r="C293" s="5" t="s">
        <v>272</v>
      </c>
      <c r="D293" s="14">
        <v>3</v>
      </c>
      <c r="E293" s="5" t="s">
        <v>1765</v>
      </c>
      <c r="F293" s="5" t="s">
        <v>1974</v>
      </c>
      <c r="G293" s="13">
        <v>1</v>
      </c>
      <c r="H293" s="13">
        <v>2</v>
      </c>
      <c r="I293" s="13">
        <v>2</v>
      </c>
      <c r="J293" s="13">
        <v>2</v>
      </c>
      <c r="K293" s="14">
        <f t="shared" si="8"/>
        <v>4</v>
      </c>
      <c r="L293" s="5" t="str">
        <f t="shared" si="9"/>
        <v>MEDIUM</v>
      </c>
      <c r="M293" s="4" t="s">
        <v>1767</v>
      </c>
      <c r="N293" s="8" t="b">
        <v>0</v>
      </c>
      <c r="O293" s="6" t="s">
        <v>1768</v>
      </c>
      <c r="P293" s="6" t="s">
        <v>1975</v>
      </c>
      <c r="Q293" s="6"/>
      <c r="R293" s="9" t="b">
        <v>1</v>
      </c>
      <c r="S293" s="6" t="s">
        <v>275</v>
      </c>
      <c r="T293" s="6" t="s">
        <v>2082</v>
      </c>
      <c r="U293" s="9" t="b">
        <v>1</v>
      </c>
    </row>
    <row r="294" spans="1:21" ht="30">
      <c r="A294" s="7" t="s">
        <v>270</v>
      </c>
      <c r="B294" s="15">
        <v>46175</v>
      </c>
      <c r="C294" s="5" t="s">
        <v>272</v>
      </c>
      <c r="D294" s="14">
        <v>4</v>
      </c>
      <c r="E294" s="5" t="s">
        <v>1708</v>
      </c>
      <c r="F294" s="5" t="s">
        <v>1757</v>
      </c>
      <c r="G294" s="13">
        <v>4</v>
      </c>
      <c r="H294" s="13">
        <v>0</v>
      </c>
      <c r="I294" s="13">
        <v>1</v>
      </c>
      <c r="J294" s="13">
        <v>3</v>
      </c>
      <c r="K294" s="14">
        <f t="shared" si="8"/>
        <v>3</v>
      </c>
      <c r="L294" s="5" t="str">
        <f t="shared" si="9"/>
        <v>MEDIUM</v>
      </c>
      <c r="M294" s="4" t="s">
        <v>1710</v>
      </c>
      <c r="N294" s="8" t="b">
        <v>0</v>
      </c>
      <c r="O294" s="6" t="s">
        <v>1711</v>
      </c>
      <c r="P294" s="6" t="s">
        <v>1758</v>
      </c>
      <c r="Q294" s="6"/>
      <c r="R294" s="9" t="b">
        <v>1</v>
      </c>
      <c r="S294" s="6" t="s">
        <v>275</v>
      </c>
      <c r="T294" s="6" t="s">
        <v>2083</v>
      </c>
      <c r="U294" s="9" t="b">
        <v>1</v>
      </c>
    </row>
    <row r="295" spans="1:21" ht="30">
      <c r="A295" s="7" t="s">
        <v>270</v>
      </c>
      <c r="B295" s="15">
        <v>46175</v>
      </c>
      <c r="C295" s="5" t="s">
        <v>272</v>
      </c>
      <c r="D295" s="14">
        <v>5</v>
      </c>
      <c r="E295" s="5" t="s">
        <v>1714</v>
      </c>
      <c r="F295" s="5" t="s">
        <v>1715</v>
      </c>
      <c r="G295" s="13">
        <v>7</v>
      </c>
      <c r="H295" s="13">
        <v>1</v>
      </c>
      <c r="I295" s="13">
        <v>3</v>
      </c>
      <c r="J295" s="13">
        <v>1</v>
      </c>
      <c r="K295" s="14">
        <f t="shared" si="8"/>
        <v>3</v>
      </c>
      <c r="L295" s="5" t="str">
        <f t="shared" si="9"/>
        <v>MEDIUM</v>
      </c>
      <c r="M295" s="4" t="s">
        <v>1716</v>
      </c>
      <c r="N295" s="8" t="b">
        <v>0</v>
      </c>
      <c r="O295" s="6" t="s">
        <v>1717</v>
      </c>
      <c r="P295" s="6" t="s">
        <v>1718</v>
      </c>
      <c r="Q295" s="6"/>
      <c r="R295" s="9" t="b">
        <v>1</v>
      </c>
      <c r="S295" s="6" t="s">
        <v>275</v>
      </c>
      <c r="T295" s="6" t="s">
        <v>2084</v>
      </c>
      <c r="U295" s="9" t="b">
        <v>1</v>
      </c>
    </row>
    <row r="296" spans="1:21" ht="30">
      <c r="A296" s="7" t="s">
        <v>270</v>
      </c>
      <c r="B296" s="15">
        <v>46175</v>
      </c>
      <c r="C296" s="5" t="s">
        <v>272</v>
      </c>
      <c r="D296" s="14">
        <v>6</v>
      </c>
      <c r="E296" s="5" t="s">
        <v>1714</v>
      </c>
      <c r="F296" s="5" t="s">
        <v>1855</v>
      </c>
      <c r="G296" s="13">
        <v>10</v>
      </c>
      <c r="H296" s="13">
        <v>2</v>
      </c>
      <c r="I296" s="13">
        <v>2</v>
      </c>
      <c r="J296" s="13">
        <v>2</v>
      </c>
      <c r="K296" s="14">
        <f t="shared" si="8"/>
        <v>4</v>
      </c>
      <c r="L296" s="5" t="str">
        <f t="shared" si="9"/>
        <v>MEDIUM</v>
      </c>
      <c r="M296" s="4" t="s">
        <v>1716</v>
      </c>
      <c r="N296" s="8" t="b">
        <v>0</v>
      </c>
      <c r="O296" s="6" t="s">
        <v>1717</v>
      </c>
      <c r="P296" s="6" t="s">
        <v>1856</v>
      </c>
      <c r="Q296" s="6"/>
      <c r="R296" s="9" t="b">
        <v>1</v>
      </c>
      <c r="S296" s="6" t="s">
        <v>275</v>
      </c>
      <c r="T296" s="6" t="s">
        <v>2085</v>
      </c>
      <c r="U296" s="9" t="b">
        <v>1</v>
      </c>
    </row>
    <row r="297" spans="1:21" ht="30">
      <c r="A297" s="7" t="s">
        <v>270</v>
      </c>
      <c r="B297" s="15">
        <v>46175</v>
      </c>
      <c r="C297" s="5" t="s">
        <v>272</v>
      </c>
      <c r="D297" s="14">
        <v>7</v>
      </c>
      <c r="E297" s="5" t="s">
        <v>1714</v>
      </c>
      <c r="F297" s="5" t="s">
        <v>1788</v>
      </c>
      <c r="G297" s="13">
        <v>3</v>
      </c>
      <c r="H297" s="13">
        <v>0</v>
      </c>
      <c r="I297" s="13">
        <v>1</v>
      </c>
      <c r="J297" s="13">
        <v>3</v>
      </c>
      <c r="K297" s="14">
        <f t="shared" si="8"/>
        <v>3</v>
      </c>
      <c r="L297" s="5" t="str">
        <f t="shared" si="9"/>
        <v>MEDIUM</v>
      </c>
      <c r="M297" s="4" t="s">
        <v>1716</v>
      </c>
      <c r="N297" s="8" t="b">
        <v>0</v>
      </c>
      <c r="O297" s="6" t="s">
        <v>1717</v>
      </c>
      <c r="P297" s="6" t="s">
        <v>1789</v>
      </c>
      <c r="Q297" s="6"/>
      <c r="R297" s="9" t="b">
        <v>1</v>
      </c>
      <c r="S297" s="6" t="s">
        <v>275</v>
      </c>
      <c r="T297" s="6" t="s">
        <v>2086</v>
      </c>
      <c r="U297" s="9" t="b">
        <v>1</v>
      </c>
    </row>
    <row r="298" spans="1:21" ht="30">
      <c r="A298" s="7" t="s">
        <v>270</v>
      </c>
      <c r="B298" s="15">
        <v>46175</v>
      </c>
      <c r="C298" s="5" t="s">
        <v>272</v>
      </c>
      <c r="D298" s="14">
        <v>8</v>
      </c>
      <c r="E298" s="5" t="s">
        <v>1778</v>
      </c>
      <c r="F298" s="5" t="s">
        <v>1804</v>
      </c>
      <c r="G298" s="13">
        <v>6</v>
      </c>
      <c r="H298" s="13">
        <v>1</v>
      </c>
      <c r="I298" s="13">
        <v>3</v>
      </c>
      <c r="J298" s="13">
        <v>1</v>
      </c>
      <c r="K298" s="14">
        <f t="shared" si="8"/>
        <v>3</v>
      </c>
      <c r="L298" s="5" t="str">
        <f t="shared" si="9"/>
        <v>MEDIUM</v>
      </c>
      <c r="M298" s="4" t="s">
        <v>1780</v>
      </c>
      <c r="N298" s="8" t="b">
        <v>0</v>
      </c>
      <c r="O298" s="6" t="s">
        <v>1781</v>
      </c>
      <c r="P298" s="6" t="s">
        <v>1805</v>
      </c>
      <c r="Q298" s="6"/>
      <c r="R298" s="9" t="b">
        <v>1</v>
      </c>
      <c r="S298" s="6" t="s">
        <v>275</v>
      </c>
      <c r="T298" s="6" t="s">
        <v>2087</v>
      </c>
      <c r="U298" s="9" t="b">
        <v>1</v>
      </c>
    </row>
    <row r="299" spans="1:21" ht="30">
      <c r="A299" s="7" t="s">
        <v>270</v>
      </c>
      <c r="B299" s="15">
        <v>46175</v>
      </c>
      <c r="C299" s="5" t="s">
        <v>272</v>
      </c>
      <c r="D299" s="14">
        <v>9</v>
      </c>
      <c r="E299" s="5" t="s">
        <v>1699</v>
      </c>
      <c r="F299" s="5" t="s">
        <v>2088</v>
      </c>
      <c r="G299" s="13">
        <v>9</v>
      </c>
      <c r="H299" s="13">
        <v>2</v>
      </c>
      <c r="I299" s="13">
        <v>2</v>
      </c>
      <c r="J299" s="13">
        <v>2</v>
      </c>
      <c r="K299" s="14">
        <f t="shared" si="8"/>
        <v>4</v>
      </c>
      <c r="L299" s="5" t="str">
        <f t="shared" si="9"/>
        <v>MEDIUM</v>
      </c>
      <c r="M299" s="4" t="s">
        <v>1701</v>
      </c>
      <c r="N299" s="8" t="b">
        <v>0</v>
      </c>
      <c r="O299" s="6" t="s">
        <v>1702</v>
      </c>
      <c r="P299" s="6" t="s">
        <v>1836</v>
      </c>
      <c r="Q299" s="6" t="s">
        <v>2088</v>
      </c>
      <c r="R299" s="9" t="b">
        <v>1</v>
      </c>
      <c r="S299" s="6" t="s">
        <v>275</v>
      </c>
      <c r="T299" s="6" t="s">
        <v>2089</v>
      </c>
      <c r="U299" s="9" t="b">
        <v>1</v>
      </c>
    </row>
    <row r="300" spans="1:21" ht="30">
      <c r="A300" s="7" t="s">
        <v>276</v>
      </c>
      <c r="B300" s="15">
        <v>46027</v>
      </c>
      <c r="C300" s="5" t="s">
        <v>278</v>
      </c>
      <c r="D300" s="14">
        <v>1</v>
      </c>
      <c r="E300" s="5" t="s">
        <v>1699</v>
      </c>
      <c r="F300" s="5" t="s">
        <v>1705</v>
      </c>
      <c r="G300" s="13">
        <v>2</v>
      </c>
      <c r="H300" s="13">
        <v>1</v>
      </c>
      <c r="I300" s="13">
        <v>3</v>
      </c>
      <c r="J300" s="13">
        <v>2</v>
      </c>
      <c r="K300" s="14">
        <f t="shared" si="8"/>
        <v>6</v>
      </c>
      <c r="L300" s="5" t="str">
        <f t="shared" si="9"/>
        <v>HIGH</v>
      </c>
      <c r="M300" s="4" t="s">
        <v>1701</v>
      </c>
      <c r="N300" s="8" t="b">
        <v>0</v>
      </c>
      <c r="O300" s="6" t="s">
        <v>1702</v>
      </c>
      <c r="P300" s="6" t="s">
        <v>1706</v>
      </c>
      <c r="Q300" s="6"/>
      <c r="R300" s="9" t="b">
        <v>1</v>
      </c>
      <c r="S300" s="6" t="s">
        <v>281</v>
      </c>
      <c r="T300" s="6" t="s">
        <v>2090</v>
      </c>
      <c r="U300" s="9" t="b">
        <v>1</v>
      </c>
    </row>
    <row r="301" spans="1:21" ht="30">
      <c r="A301" s="7" t="s">
        <v>276</v>
      </c>
      <c r="B301" s="15">
        <v>46027</v>
      </c>
      <c r="C301" s="5" t="s">
        <v>278</v>
      </c>
      <c r="D301" s="14">
        <v>2</v>
      </c>
      <c r="E301" s="5" t="s">
        <v>1708</v>
      </c>
      <c r="F301" s="5" t="s">
        <v>1709</v>
      </c>
      <c r="G301" s="13">
        <v>5</v>
      </c>
      <c r="H301" s="13">
        <v>2</v>
      </c>
      <c r="I301" s="13">
        <v>2</v>
      </c>
      <c r="J301" s="13">
        <v>3</v>
      </c>
      <c r="K301" s="14">
        <f t="shared" si="8"/>
        <v>6</v>
      </c>
      <c r="L301" s="5" t="str">
        <f t="shared" si="9"/>
        <v>HIGH</v>
      </c>
      <c r="M301" s="4" t="s">
        <v>1710</v>
      </c>
      <c r="N301" s="8" t="b">
        <v>0</v>
      </c>
      <c r="O301" s="6" t="s">
        <v>1711</v>
      </c>
      <c r="P301" s="6" t="s">
        <v>1712</v>
      </c>
      <c r="Q301" s="6"/>
      <c r="R301" s="9" t="b">
        <v>1</v>
      </c>
      <c r="S301" s="6" t="s">
        <v>281</v>
      </c>
      <c r="T301" s="6" t="s">
        <v>2091</v>
      </c>
      <c r="U301" s="9" t="b">
        <v>1</v>
      </c>
    </row>
    <row r="302" spans="1:21" ht="30">
      <c r="A302" s="7" t="s">
        <v>276</v>
      </c>
      <c r="B302" s="15">
        <v>46027</v>
      </c>
      <c r="C302" s="5" t="s">
        <v>278</v>
      </c>
      <c r="D302" s="14">
        <v>3</v>
      </c>
      <c r="E302" s="5" t="s">
        <v>1765</v>
      </c>
      <c r="F302" s="5" t="s">
        <v>1974</v>
      </c>
      <c r="G302" s="13">
        <v>8</v>
      </c>
      <c r="H302" s="13">
        <v>0</v>
      </c>
      <c r="I302" s="13">
        <v>3</v>
      </c>
      <c r="J302" s="13">
        <v>3</v>
      </c>
      <c r="K302" s="14">
        <f t="shared" si="8"/>
        <v>9</v>
      </c>
      <c r="L302" s="5" t="str">
        <f t="shared" si="9"/>
        <v>HIGH</v>
      </c>
      <c r="M302" s="4" t="s">
        <v>1767</v>
      </c>
      <c r="N302" s="8" t="b">
        <v>1</v>
      </c>
      <c r="O302" s="6" t="s">
        <v>1768</v>
      </c>
      <c r="P302" s="6" t="s">
        <v>1975</v>
      </c>
      <c r="Q302" s="6"/>
      <c r="R302" s="9" t="b">
        <v>1</v>
      </c>
      <c r="S302" s="6" t="s">
        <v>281</v>
      </c>
      <c r="T302" s="6" t="s">
        <v>2092</v>
      </c>
      <c r="U302" s="9" t="b">
        <v>1</v>
      </c>
    </row>
    <row r="303" spans="1:21" ht="30">
      <c r="A303" s="7" t="s">
        <v>276</v>
      </c>
      <c r="B303" s="15">
        <v>46027</v>
      </c>
      <c r="C303" s="5" t="s">
        <v>278</v>
      </c>
      <c r="D303" s="14">
        <v>4</v>
      </c>
      <c r="E303" s="5" t="s">
        <v>1708</v>
      </c>
      <c r="F303" s="5" t="s">
        <v>1757</v>
      </c>
      <c r="G303" s="13">
        <v>11</v>
      </c>
      <c r="H303" s="13">
        <v>1</v>
      </c>
      <c r="I303" s="13">
        <v>3</v>
      </c>
      <c r="J303" s="13">
        <v>2</v>
      </c>
      <c r="K303" s="14">
        <f t="shared" si="8"/>
        <v>6</v>
      </c>
      <c r="L303" s="5" t="str">
        <f t="shared" si="9"/>
        <v>HIGH</v>
      </c>
      <c r="M303" s="4" t="s">
        <v>1710</v>
      </c>
      <c r="N303" s="8" t="b">
        <v>0</v>
      </c>
      <c r="O303" s="6" t="s">
        <v>1711</v>
      </c>
      <c r="P303" s="6" t="s">
        <v>1758</v>
      </c>
      <c r="Q303" s="6"/>
      <c r="R303" s="9" t="b">
        <v>1</v>
      </c>
      <c r="S303" s="6" t="s">
        <v>281</v>
      </c>
      <c r="T303" s="6" t="s">
        <v>2093</v>
      </c>
      <c r="U303" s="9" t="b">
        <v>1</v>
      </c>
    </row>
    <row r="304" spans="1:21" ht="30">
      <c r="A304" s="7" t="s">
        <v>276</v>
      </c>
      <c r="B304" s="15">
        <v>46027</v>
      </c>
      <c r="C304" s="5" t="s">
        <v>278</v>
      </c>
      <c r="D304" s="14">
        <v>5</v>
      </c>
      <c r="E304" s="5" t="s">
        <v>1714</v>
      </c>
      <c r="F304" s="5" t="s">
        <v>1715</v>
      </c>
      <c r="G304" s="13">
        <v>14</v>
      </c>
      <c r="H304" s="13">
        <v>2</v>
      </c>
      <c r="I304" s="13">
        <v>2</v>
      </c>
      <c r="J304" s="13">
        <v>3</v>
      </c>
      <c r="K304" s="14">
        <f t="shared" si="8"/>
        <v>6</v>
      </c>
      <c r="L304" s="5" t="str">
        <f t="shared" si="9"/>
        <v>HIGH</v>
      </c>
      <c r="M304" s="4" t="s">
        <v>1716</v>
      </c>
      <c r="N304" s="8" t="b">
        <v>0</v>
      </c>
      <c r="O304" s="6" t="s">
        <v>1717</v>
      </c>
      <c r="P304" s="6" t="s">
        <v>1718</v>
      </c>
      <c r="Q304" s="6"/>
      <c r="R304" s="9" t="b">
        <v>1</v>
      </c>
      <c r="S304" s="6" t="s">
        <v>281</v>
      </c>
      <c r="T304" s="6" t="s">
        <v>2094</v>
      </c>
      <c r="U304" s="9" t="b">
        <v>1</v>
      </c>
    </row>
    <row r="305" spans="1:21" ht="30">
      <c r="A305" s="7" t="s">
        <v>276</v>
      </c>
      <c r="B305" s="15">
        <v>46027</v>
      </c>
      <c r="C305" s="5" t="s">
        <v>278</v>
      </c>
      <c r="D305" s="14">
        <v>6</v>
      </c>
      <c r="E305" s="5" t="s">
        <v>1714</v>
      </c>
      <c r="F305" s="5" t="s">
        <v>1855</v>
      </c>
      <c r="G305" s="13">
        <v>17</v>
      </c>
      <c r="H305" s="13">
        <v>0</v>
      </c>
      <c r="I305" s="13">
        <v>3</v>
      </c>
      <c r="J305" s="13">
        <v>3</v>
      </c>
      <c r="K305" s="14">
        <f t="shared" si="8"/>
        <v>9</v>
      </c>
      <c r="L305" s="5" t="str">
        <f t="shared" si="9"/>
        <v>HIGH</v>
      </c>
      <c r="M305" s="4" t="s">
        <v>1716</v>
      </c>
      <c r="N305" s="8" t="b">
        <v>1</v>
      </c>
      <c r="O305" s="6" t="s">
        <v>1717</v>
      </c>
      <c r="P305" s="6" t="s">
        <v>1856</v>
      </c>
      <c r="Q305" s="6"/>
      <c r="R305" s="9" t="b">
        <v>1</v>
      </c>
      <c r="S305" s="6" t="s">
        <v>281</v>
      </c>
      <c r="T305" s="6" t="s">
        <v>2095</v>
      </c>
      <c r="U305" s="9" t="b">
        <v>1</v>
      </c>
    </row>
    <row r="306" spans="1:21" ht="30">
      <c r="A306" s="7" t="s">
        <v>276</v>
      </c>
      <c r="B306" s="15">
        <v>46027</v>
      </c>
      <c r="C306" s="5" t="s">
        <v>278</v>
      </c>
      <c r="D306" s="14">
        <v>7</v>
      </c>
      <c r="E306" s="5" t="s">
        <v>1714</v>
      </c>
      <c r="F306" s="5" t="s">
        <v>1788</v>
      </c>
      <c r="G306" s="13">
        <v>3</v>
      </c>
      <c r="H306" s="13">
        <v>1</v>
      </c>
      <c r="I306" s="13">
        <v>3</v>
      </c>
      <c r="J306" s="13">
        <v>2</v>
      </c>
      <c r="K306" s="14">
        <f t="shared" si="8"/>
        <v>6</v>
      </c>
      <c r="L306" s="5" t="str">
        <f t="shared" si="9"/>
        <v>HIGH</v>
      </c>
      <c r="M306" s="4" t="s">
        <v>1716</v>
      </c>
      <c r="N306" s="8" t="b">
        <v>0</v>
      </c>
      <c r="O306" s="6" t="s">
        <v>1717</v>
      </c>
      <c r="P306" s="6" t="s">
        <v>1789</v>
      </c>
      <c r="Q306" s="6"/>
      <c r="R306" s="9" t="b">
        <v>1</v>
      </c>
      <c r="S306" s="6" t="s">
        <v>281</v>
      </c>
      <c r="T306" s="6" t="s">
        <v>2096</v>
      </c>
      <c r="U306" s="9" t="b">
        <v>1</v>
      </c>
    </row>
    <row r="307" spans="1:21" ht="30">
      <c r="A307" s="7" t="s">
        <v>276</v>
      </c>
      <c r="B307" s="15">
        <v>46027</v>
      </c>
      <c r="C307" s="5" t="s">
        <v>278</v>
      </c>
      <c r="D307" s="14">
        <v>8</v>
      </c>
      <c r="E307" s="5" t="s">
        <v>1708</v>
      </c>
      <c r="F307" s="5" t="s">
        <v>1735</v>
      </c>
      <c r="G307" s="13">
        <v>6</v>
      </c>
      <c r="H307" s="13">
        <v>2</v>
      </c>
      <c r="I307" s="13">
        <v>2</v>
      </c>
      <c r="J307" s="13">
        <v>3</v>
      </c>
      <c r="K307" s="14">
        <f t="shared" si="8"/>
        <v>6</v>
      </c>
      <c r="L307" s="5" t="str">
        <f t="shared" si="9"/>
        <v>HIGH</v>
      </c>
      <c r="M307" s="4" t="s">
        <v>1710</v>
      </c>
      <c r="N307" s="8" t="b">
        <v>0</v>
      </c>
      <c r="O307" s="6" t="s">
        <v>1711</v>
      </c>
      <c r="P307" s="6" t="s">
        <v>1736</v>
      </c>
      <c r="Q307" s="6"/>
      <c r="R307" s="9" t="b">
        <v>1</v>
      </c>
      <c r="S307" s="6" t="s">
        <v>281</v>
      </c>
      <c r="T307" s="6" t="s">
        <v>2097</v>
      </c>
      <c r="U307" s="9" t="b">
        <v>1</v>
      </c>
    </row>
    <row r="308" spans="1:21" ht="30">
      <c r="A308" s="7" t="s">
        <v>282</v>
      </c>
      <c r="B308" s="15">
        <v>46061</v>
      </c>
      <c r="C308" s="5" t="s">
        <v>284</v>
      </c>
      <c r="D308" s="14">
        <v>1</v>
      </c>
      <c r="E308" s="5" t="s">
        <v>1714</v>
      </c>
      <c r="F308" s="5" t="s">
        <v>1774</v>
      </c>
      <c r="G308" s="13">
        <v>17</v>
      </c>
      <c r="H308" s="13">
        <v>2</v>
      </c>
      <c r="I308" s="13">
        <v>2</v>
      </c>
      <c r="J308" s="13">
        <v>1</v>
      </c>
      <c r="K308" s="14">
        <f t="shared" si="8"/>
        <v>2</v>
      </c>
      <c r="L308" s="5" t="str">
        <f t="shared" si="9"/>
        <v>LOW</v>
      </c>
      <c r="M308" s="4" t="s">
        <v>1716</v>
      </c>
      <c r="N308" s="8" t="b">
        <v>0</v>
      </c>
      <c r="O308" s="6" t="s">
        <v>1717</v>
      </c>
      <c r="P308" s="6" t="s">
        <v>1775</v>
      </c>
      <c r="Q308" s="6"/>
      <c r="R308" s="9" t="b">
        <v>1</v>
      </c>
      <c r="S308" s="6" t="s">
        <v>287</v>
      </c>
      <c r="T308" s="6" t="s">
        <v>2098</v>
      </c>
      <c r="U308" s="9" t="b">
        <v>1</v>
      </c>
    </row>
    <row r="309" spans="1:21" ht="30">
      <c r="A309" s="7" t="s">
        <v>282</v>
      </c>
      <c r="B309" s="15">
        <v>46061</v>
      </c>
      <c r="C309" s="5" t="s">
        <v>284</v>
      </c>
      <c r="D309" s="14">
        <v>2</v>
      </c>
      <c r="E309" s="5" t="s">
        <v>1714</v>
      </c>
      <c r="F309" s="5" t="s">
        <v>1928</v>
      </c>
      <c r="G309" s="13">
        <v>20</v>
      </c>
      <c r="H309" s="13">
        <v>0</v>
      </c>
      <c r="I309" s="13">
        <v>1</v>
      </c>
      <c r="J309" s="13">
        <v>2</v>
      </c>
      <c r="K309" s="14">
        <f t="shared" si="8"/>
        <v>2</v>
      </c>
      <c r="L309" s="5" t="str">
        <f t="shared" si="9"/>
        <v>LOW</v>
      </c>
      <c r="M309" s="4" t="s">
        <v>1716</v>
      </c>
      <c r="N309" s="8" t="b">
        <v>0</v>
      </c>
      <c r="O309" s="6" t="s">
        <v>1717</v>
      </c>
      <c r="P309" s="6" t="s">
        <v>1929</v>
      </c>
      <c r="Q309" s="6"/>
      <c r="R309" s="9" t="b">
        <v>1</v>
      </c>
      <c r="S309" s="6" t="s">
        <v>287</v>
      </c>
      <c r="T309" s="6" t="s">
        <v>2099</v>
      </c>
      <c r="U309" s="9" t="b">
        <v>1</v>
      </c>
    </row>
    <row r="310" spans="1:21" ht="30">
      <c r="A310" s="7" t="s">
        <v>282</v>
      </c>
      <c r="B310" s="15">
        <v>46061</v>
      </c>
      <c r="C310" s="5" t="s">
        <v>284</v>
      </c>
      <c r="D310" s="14">
        <v>3</v>
      </c>
      <c r="E310" s="5" t="s">
        <v>1714</v>
      </c>
      <c r="F310" s="5" t="s">
        <v>1788</v>
      </c>
      <c r="G310" s="13">
        <v>23</v>
      </c>
      <c r="H310" s="13">
        <v>1</v>
      </c>
      <c r="I310" s="13">
        <v>1</v>
      </c>
      <c r="J310" s="13">
        <v>1</v>
      </c>
      <c r="K310" s="14">
        <f t="shared" si="8"/>
        <v>1</v>
      </c>
      <c r="L310" s="5" t="str">
        <f t="shared" si="9"/>
        <v>LOW</v>
      </c>
      <c r="M310" s="4" t="s">
        <v>1716</v>
      </c>
      <c r="N310" s="8" t="b">
        <v>0</v>
      </c>
      <c r="O310" s="6" t="s">
        <v>1717</v>
      </c>
      <c r="P310" s="6" t="s">
        <v>1789</v>
      </c>
      <c r="Q310" s="6"/>
      <c r="R310" s="9" t="b">
        <v>1</v>
      </c>
      <c r="S310" s="6" t="s">
        <v>287</v>
      </c>
      <c r="T310" s="6" t="s">
        <v>2100</v>
      </c>
      <c r="U310" s="9" t="b">
        <v>1</v>
      </c>
    </row>
    <row r="311" spans="1:21" ht="30">
      <c r="A311" s="7" t="s">
        <v>282</v>
      </c>
      <c r="B311" s="15">
        <v>46061</v>
      </c>
      <c r="C311" s="5" t="s">
        <v>284</v>
      </c>
      <c r="D311" s="14">
        <v>4</v>
      </c>
      <c r="E311" s="5" t="s">
        <v>1720</v>
      </c>
      <c r="F311" s="5" t="s">
        <v>1721</v>
      </c>
      <c r="G311" s="13">
        <v>2</v>
      </c>
      <c r="H311" s="13">
        <v>2</v>
      </c>
      <c r="I311" s="13">
        <v>2</v>
      </c>
      <c r="J311" s="13">
        <v>1</v>
      </c>
      <c r="K311" s="14">
        <f t="shared" si="8"/>
        <v>2</v>
      </c>
      <c r="L311" s="5" t="str">
        <f t="shared" si="9"/>
        <v>LOW</v>
      </c>
      <c r="M311" s="4" t="s">
        <v>1722</v>
      </c>
      <c r="N311" s="8" t="b">
        <v>0</v>
      </c>
      <c r="O311" s="6" t="s">
        <v>1723</v>
      </c>
      <c r="P311" s="6" t="s">
        <v>1724</v>
      </c>
      <c r="Q311" s="6"/>
      <c r="R311" s="9" t="b">
        <v>1</v>
      </c>
      <c r="S311" s="6" t="s">
        <v>287</v>
      </c>
      <c r="T311" s="6" t="s">
        <v>2101</v>
      </c>
      <c r="U311" s="9" t="b">
        <v>1</v>
      </c>
    </row>
    <row r="312" spans="1:21" ht="30">
      <c r="A312" s="7" t="s">
        <v>282</v>
      </c>
      <c r="B312" s="15">
        <v>46061</v>
      </c>
      <c r="C312" s="5" t="s">
        <v>284</v>
      </c>
      <c r="D312" s="14">
        <v>5</v>
      </c>
      <c r="E312" s="5" t="s">
        <v>1745</v>
      </c>
      <c r="F312" s="5" t="s">
        <v>1746</v>
      </c>
      <c r="G312" s="13">
        <v>5</v>
      </c>
      <c r="H312" s="13">
        <v>0</v>
      </c>
      <c r="I312" s="13">
        <v>1</v>
      </c>
      <c r="J312" s="13">
        <v>2</v>
      </c>
      <c r="K312" s="14">
        <f t="shared" si="8"/>
        <v>2</v>
      </c>
      <c r="L312" s="5" t="str">
        <f t="shared" si="9"/>
        <v>LOW</v>
      </c>
      <c r="M312" s="4" t="s">
        <v>1747</v>
      </c>
      <c r="N312" s="8" t="b">
        <v>0</v>
      </c>
      <c r="O312" s="6" t="s">
        <v>1748</v>
      </c>
      <c r="P312" s="6" t="s">
        <v>1749</v>
      </c>
      <c r="Q312" s="6"/>
      <c r="R312" s="9" t="b">
        <v>1</v>
      </c>
      <c r="S312" s="6" t="s">
        <v>287</v>
      </c>
      <c r="T312" s="6" t="s">
        <v>2102</v>
      </c>
      <c r="U312" s="9" t="b">
        <v>1</v>
      </c>
    </row>
    <row r="313" spans="1:21" ht="30">
      <c r="A313" s="7" t="s">
        <v>288</v>
      </c>
      <c r="B313" s="15">
        <v>46092</v>
      </c>
      <c r="C313" s="5" t="s">
        <v>290</v>
      </c>
      <c r="D313" s="14">
        <v>1</v>
      </c>
      <c r="E313" s="5" t="s">
        <v>1714</v>
      </c>
      <c r="F313" s="5" t="s">
        <v>1774</v>
      </c>
      <c r="G313" s="13">
        <v>29</v>
      </c>
      <c r="H313" s="13">
        <v>0</v>
      </c>
      <c r="I313" s="13">
        <v>1</v>
      </c>
      <c r="J313" s="13">
        <v>3</v>
      </c>
      <c r="K313" s="14">
        <f t="shared" si="8"/>
        <v>3</v>
      </c>
      <c r="L313" s="5" t="str">
        <f t="shared" si="9"/>
        <v>MEDIUM</v>
      </c>
      <c r="M313" s="4" t="s">
        <v>1716</v>
      </c>
      <c r="N313" s="8" t="b">
        <v>0</v>
      </c>
      <c r="O313" s="6" t="s">
        <v>1717</v>
      </c>
      <c r="P313" s="6" t="s">
        <v>1775</v>
      </c>
      <c r="Q313" s="6"/>
      <c r="R313" s="9" t="b">
        <v>1</v>
      </c>
      <c r="S313" s="6" t="s">
        <v>293</v>
      </c>
      <c r="T313" s="6" t="s">
        <v>2103</v>
      </c>
      <c r="U313" s="9" t="b">
        <v>1</v>
      </c>
    </row>
    <row r="314" spans="1:21" ht="30">
      <c r="A314" s="7" t="s">
        <v>288</v>
      </c>
      <c r="B314" s="15">
        <v>46092</v>
      </c>
      <c r="C314" s="5" t="s">
        <v>290</v>
      </c>
      <c r="D314" s="14">
        <v>2</v>
      </c>
      <c r="E314" s="5" t="s">
        <v>1714</v>
      </c>
      <c r="F314" s="5" t="s">
        <v>1928</v>
      </c>
      <c r="G314" s="13">
        <v>1</v>
      </c>
      <c r="H314" s="13">
        <v>1</v>
      </c>
      <c r="I314" s="13">
        <v>3</v>
      </c>
      <c r="J314" s="13">
        <v>1</v>
      </c>
      <c r="K314" s="14">
        <f t="shared" si="8"/>
        <v>3</v>
      </c>
      <c r="L314" s="5" t="str">
        <f t="shared" si="9"/>
        <v>MEDIUM</v>
      </c>
      <c r="M314" s="4" t="s">
        <v>1716</v>
      </c>
      <c r="N314" s="8" t="b">
        <v>0</v>
      </c>
      <c r="O314" s="6" t="s">
        <v>1717</v>
      </c>
      <c r="P314" s="6" t="s">
        <v>1929</v>
      </c>
      <c r="Q314" s="6"/>
      <c r="R314" s="9" t="b">
        <v>1</v>
      </c>
      <c r="S314" s="6" t="s">
        <v>293</v>
      </c>
      <c r="T314" s="6" t="s">
        <v>2104</v>
      </c>
      <c r="U314" s="9" t="b">
        <v>1</v>
      </c>
    </row>
    <row r="315" spans="1:21" ht="30">
      <c r="A315" s="7" t="s">
        <v>288</v>
      </c>
      <c r="B315" s="15">
        <v>46092</v>
      </c>
      <c r="C315" s="5" t="s">
        <v>290</v>
      </c>
      <c r="D315" s="14">
        <v>3</v>
      </c>
      <c r="E315" s="5" t="s">
        <v>1714</v>
      </c>
      <c r="F315" s="5" t="s">
        <v>1788</v>
      </c>
      <c r="G315" s="13">
        <v>4</v>
      </c>
      <c r="H315" s="13">
        <v>2</v>
      </c>
      <c r="I315" s="13">
        <v>2</v>
      </c>
      <c r="J315" s="13">
        <v>2</v>
      </c>
      <c r="K315" s="14">
        <f t="shared" si="8"/>
        <v>4</v>
      </c>
      <c r="L315" s="5" t="str">
        <f t="shared" si="9"/>
        <v>MEDIUM</v>
      </c>
      <c r="M315" s="4" t="s">
        <v>1716</v>
      </c>
      <c r="N315" s="8" t="b">
        <v>0</v>
      </c>
      <c r="O315" s="6" t="s">
        <v>1717</v>
      </c>
      <c r="P315" s="6" t="s">
        <v>1789</v>
      </c>
      <c r="Q315" s="6"/>
      <c r="R315" s="9" t="b">
        <v>1</v>
      </c>
      <c r="S315" s="6" t="s">
        <v>293</v>
      </c>
      <c r="T315" s="6" t="s">
        <v>2105</v>
      </c>
      <c r="U315" s="9" t="b">
        <v>1</v>
      </c>
    </row>
    <row r="316" spans="1:21" ht="30">
      <c r="A316" s="7" t="s">
        <v>288</v>
      </c>
      <c r="B316" s="15">
        <v>46092</v>
      </c>
      <c r="C316" s="5" t="s">
        <v>290</v>
      </c>
      <c r="D316" s="14">
        <v>4</v>
      </c>
      <c r="E316" s="5" t="s">
        <v>1720</v>
      </c>
      <c r="F316" s="5" t="s">
        <v>1721</v>
      </c>
      <c r="G316" s="13">
        <v>7</v>
      </c>
      <c r="H316" s="13">
        <v>0</v>
      </c>
      <c r="I316" s="13">
        <v>1</v>
      </c>
      <c r="J316" s="13">
        <v>3</v>
      </c>
      <c r="K316" s="14">
        <f t="shared" si="8"/>
        <v>3</v>
      </c>
      <c r="L316" s="5" t="str">
        <f t="shared" si="9"/>
        <v>MEDIUM</v>
      </c>
      <c r="M316" s="4" t="s">
        <v>1722</v>
      </c>
      <c r="N316" s="8" t="b">
        <v>0</v>
      </c>
      <c r="O316" s="6" t="s">
        <v>1723</v>
      </c>
      <c r="P316" s="6" t="s">
        <v>1724</v>
      </c>
      <c r="Q316" s="6"/>
      <c r="R316" s="9" t="b">
        <v>1</v>
      </c>
      <c r="S316" s="6" t="s">
        <v>293</v>
      </c>
      <c r="T316" s="6" t="s">
        <v>2106</v>
      </c>
      <c r="U316" s="9" t="b">
        <v>1</v>
      </c>
    </row>
    <row r="317" spans="1:21" ht="30">
      <c r="A317" s="7" t="s">
        <v>288</v>
      </c>
      <c r="B317" s="15">
        <v>46092</v>
      </c>
      <c r="C317" s="5" t="s">
        <v>290</v>
      </c>
      <c r="D317" s="14">
        <v>5</v>
      </c>
      <c r="E317" s="5" t="s">
        <v>1745</v>
      </c>
      <c r="F317" s="5" t="s">
        <v>1746</v>
      </c>
      <c r="G317" s="13">
        <v>10</v>
      </c>
      <c r="H317" s="13">
        <v>1</v>
      </c>
      <c r="I317" s="13">
        <v>3</v>
      </c>
      <c r="J317" s="13">
        <v>1</v>
      </c>
      <c r="K317" s="14">
        <f t="shared" si="8"/>
        <v>3</v>
      </c>
      <c r="L317" s="5" t="str">
        <f t="shared" si="9"/>
        <v>MEDIUM</v>
      </c>
      <c r="M317" s="4" t="s">
        <v>1747</v>
      </c>
      <c r="N317" s="8" t="b">
        <v>0</v>
      </c>
      <c r="O317" s="6" t="s">
        <v>1748</v>
      </c>
      <c r="P317" s="6" t="s">
        <v>1749</v>
      </c>
      <c r="Q317" s="6"/>
      <c r="R317" s="9" t="b">
        <v>1</v>
      </c>
      <c r="S317" s="6" t="s">
        <v>293</v>
      </c>
      <c r="T317" s="6" t="s">
        <v>2107</v>
      </c>
      <c r="U317" s="9" t="b">
        <v>1</v>
      </c>
    </row>
    <row r="318" spans="1:21" ht="30">
      <c r="A318" s="7" t="s">
        <v>288</v>
      </c>
      <c r="B318" s="15">
        <v>46092</v>
      </c>
      <c r="C318" s="5" t="s">
        <v>290</v>
      </c>
      <c r="D318" s="14">
        <v>6</v>
      </c>
      <c r="E318" s="5" t="s">
        <v>1720</v>
      </c>
      <c r="F318" s="5" t="s">
        <v>1726</v>
      </c>
      <c r="G318" s="13">
        <v>13</v>
      </c>
      <c r="H318" s="13">
        <v>2</v>
      </c>
      <c r="I318" s="13">
        <v>2</v>
      </c>
      <c r="J318" s="13">
        <v>2</v>
      </c>
      <c r="K318" s="14">
        <f t="shared" si="8"/>
        <v>4</v>
      </c>
      <c r="L318" s="5" t="str">
        <f t="shared" si="9"/>
        <v>MEDIUM</v>
      </c>
      <c r="M318" s="4" t="s">
        <v>1722</v>
      </c>
      <c r="N318" s="8" t="b">
        <v>0</v>
      </c>
      <c r="O318" s="6" t="s">
        <v>1723</v>
      </c>
      <c r="P318" s="6" t="s">
        <v>1727</v>
      </c>
      <c r="Q318" s="6"/>
      <c r="R318" s="9" t="b">
        <v>1</v>
      </c>
      <c r="S318" s="6" t="s">
        <v>293</v>
      </c>
      <c r="T318" s="6" t="s">
        <v>2108</v>
      </c>
      <c r="U318" s="9" t="b">
        <v>1</v>
      </c>
    </row>
    <row r="319" spans="1:21" ht="30">
      <c r="A319" s="7" t="s">
        <v>294</v>
      </c>
      <c r="B319" s="15">
        <v>46126</v>
      </c>
      <c r="C319" s="5" t="s">
        <v>296</v>
      </c>
      <c r="D319" s="14">
        <v>1</v>
      </c>
      <c r="E319" s="5" t="s">
        <v>1714</v>
      </c>
      <c r="F319" s="5" t="s">
        <v>1774</v>
      </c>
      <c r="G319" s="13">
        <v>17</v>
      </c>
      <c r="H319" s="13">
        <v>1</v>
      </c>
      <c r="I319" s="13">
        <v>1</v>
      </c>
      <c r="J319" s="13">
        <v>2</v>
      </c>
      <c r="K319" s="14">
        <f t="shared" si="8"/>
        <v>2</v>
      </c>
      <c r="L319" s="5" t="str">
        <f t="shared" si="9"/>
        <v>LOW</v>
      </c>
      <c r="M319" s="4" t="s">
        <v>1716</v>
      </c>
      <c r="N319" s="8" t="b">
        <v>0</v>
      </c>
      <c r="O319" s="6" t="s">
        <v>1717</v>
      </c>
      <c r="P319" s="6" t="s">
        <v>1775</v>
      </c>
      <c r="Q319" s="6"/>
      <c r="R319" s="9" t="b">
        <v>1</v>
      </c>
      <c r="S319" s="6" t="s">
        <v>299</v>
      </c>
      <c r="T319" s="6" t="s">
        <v>2109</v>
      </c>
      <c r="U319" s="9" t="b">
        <v>1</v>
      </c>
    </row>
    <row r="320" spans="1:21" ht="30">
      <c r="A320" s="7" t="s">
        <v>294</v>
      </c>
      <c r="B320" s="15">
        <v>46126</v>
      </c>
      <c r="C320" s="5" t="s">
        <v>296</v>
      </c>
      <c r="D320" s="14">
        <v>2</v>
      </c>
      <c r="E320" s="5" t="s">
        <v>1714</v>
      </c>
      <c r="F320" s="5" t="s">
        <v>1928</v>
      </c>
      <c r="G320" s="13">
        <v>20</v>
      </c>
      <c r="H320" s="13">
        <v>2</v>
      </c>
      <c r="I320" s="13">
        <v>1</v>
      </c>
      <c r="J320" s="13">
        <v>1</v>
      </c>
      <c r="K320" s="14">
        <f t="shared" si="8"/>
        <v>1</v>
      </c>
      <c r="L320" s="5" t="str">
        <f t="shared" si="9"/>
        <v>LOW</v>
      </c>
      <c r="M320" s="4" t="s">
        <v>1716</v>
      </c>
      <c r="N320" s="8" t="b">
        <v>0</v>
      </c>
      <c r="O320" s="6" t="s">
        <v>1717</v>
      </c>
      <c r="P320" s="6" t="s">
        <v>1929</v>
      </c>
      <c r="Q320" s="6"/>
      <c r="R320" s="9" t="b">
        <v>1</v>
      </c>
      <c r="S320" s="6" t="s">
        <v>299</v>
      </c>
      <c r="T320" s="6" t="s">
        <v>2110</v>
      </c>
      <c r="U320" s="9" t="b">
        <v>1</v>
      </c>
    </row>
    <row r="321" spans="1:21" ht="30">
      <c r="A321" s="7" t="s">
        <v>294</v>
      </c>
      <c r="B321" s="15">
        <v>46126</v>
      </c>
      <c r="C321" s="5" t="s">
        <v>296</v>
      </c>
      <c r="D321" s="14">
        <v>3</v>
      </c>
      <c r="E321" s="5" t="s">
        <v>1714</v>
      </c>
      <c r="F321" s="5" t="s">
        <v>1788</v>
      </c>
      <c r="G321" s="13">
        <v>23</v>
      </c>
      <c r="H321" s="13">
        <v>0</v>
      </c>
      <c r="I321" s="13">
        <v>2</v>
      </c>
      <c r="J321" s="13">
        <v>1</v>
      </c>
      <c r="K321" s="14">
        <f t="shared" si="8"/>
        <v>2</v>
      </c>
      <c r="L321" s="5" t="str">
        <f t="shared" si="9"/>
        <v>LOW</v>
      </c>
      <c r="M321" s="4" t="s">
        <v>1716</v>
      </c>
      <c r="N321" s="8" t="b">
        <v>0</v>
      </c>
      <c r="O321" s="6" t="s">
        <v>1717</v>
      </c>
      <c r="P321" s="6" t="s">
        <v>1789</v>
      </c>
      <c r="Q321" s="6"/>
      <c r="R321" s="9" t="b">
        <v>1</v>
      </c>
      <c r="S321" s="6" t="s">
        <v>299</v>
      </c>
      <c r="T321" s="6" t="s">
        <v>2111</v>
      </c>
      <c r="U321" s="9" t="b">
        <v>1</v>
      </c>
    </row>
    <row r="322" spans="1:21" ht="30">
      <c r="A322" s="7" t="s">
        <v>294</v>
      </c>
      <c r="B322" s="15">
        <v>46126</v>
      </c>
      <c r="C322" s="5" t="s">
        <v>296</v>
      </c>
      <c r="D322" s="14">
        <v>4</v>
      </c>
      <c r="E322" s="5" t="s">
        <v>1720</v>
      </c>
      <c r="F322" s="5" t="s">
        <v>1721</v>
      </c>
      <c r="G322" s="13">
        <v>26</v>
      </c>
      <c r="H322" s="13">
        <v>1</v>
      </c>
      <c r="I322" s="13">
        <v>1</v>
      </c>
      <c r="J322" s="13">
        <v>2</v>
      </c>
      <c r="K322" s="14">
        <f t="shared" si="8"/>
        <v>2</v>
      </c>
      <c r="L322" s="5" t="str">
        <f t="shared" si="9"/>
        <v>LOW</v>
      </c>
      <c r="M322" s="4" t="s">
        <v>1722</v>
      </c>
      <c r="N322" s="8" t="b">
        <v>0</v>
      </c>
      <c r="O322" s="6" t="s">
        <v>1723</v>
      </c>
      <c r="P322" s="6" t="s">
        <v>1724</v>
      </c>
      <c r="Q322" s="6"/>
      <c r="R322" s="9" t="b">
        <v>1</v>
      </c>
      <c r="S322" s="6" t="s">
        <v>299</v>
      </c>
      <c r="T322" s="6" t="s">
        <v>2112</v>
      </c>
      <c r="U322" s="9" t="b">
        <v>1</v>
      </c>
    </row>
    <row r="323" spans="1:21" ht="30">
      <c r="A323" s="7" t="s">
        <v>294</v>
      </c>
      <c r="B323" s="15">
        <v>46126</v>
      </c>
      <c r="C323" s="5" t="s">
        <v>296</v>
      </c>
      <c r="D323" s="14">
        <v>5</v>
      </c>
      <c r="E323" s="5" t="s">
        <v>1745</v>
      </c>
      <c r="F323" s="5" t="s">
        <v>1746</v>
      </c>
      <c r="G323" s="13">
        <v>29</v>
      </c>
      <c r="H323" s="13">
        <v>2</v>
      </c>
      <c r="I323" s="13">
        <v>1</v>
      </c>
      <c r="J323" s="13">
        <v>1</v>
      </c>
      <c r="K323" s="14">
        <f t="shared" si="8"/>
        <v>1</v>
      </c>
      <c r="L323" s="5" t="str">
        <f t="shared" si="9"/>
        <v>LOW</v>
      </c>
      <c r="M323" s="4" t="s">
        <v>1747</v>
      </c>
      <c r="N323" s="8" t="b">
        <v>0</v>
      </c>
      <c r="O323" s="6" t="s">
        <v>1748</v>
      </c>
      <c r="P323" s="6" t="s">
        <v>1749</v>
      </c>
      <c r="Q323" s="6"/>
      <c r="R323" s="9" t="b">
        <v>1</v>
      </c>
      <c r="S323" s="6" t="s">
        <v>299</v>
      </c>
      <c r="T323" s="6" t="s">
        <v>2113</v>
      </c>
      <c r="U323" s="9" t="b">
        <v>1</v>
      </c>
    </row>
    <row r="324" spans="1:21" ht="30">
      <c r="A324" s="7" t="s">
        <v>294</v>
      </c>
      <c r="B324" s="15">
        <v>46126</v>
      </c>
      <c r="C324" s="5" t="s">
        <v>296</v>
      </c>
      <c r="D324" s="14">
        <v>6</v>
      </c>
      <c r="E324" s="5" t="s">
        <v>1778</v>
      </c>
      <c r="F324" s="5" t="s">
        <v>1779</v>
      </c>
      <c r="G324" s="13">
        <v>32</v>
      </c>
      <c r="H324" s="13">
        <v>0</v>
      </c>
      <c r="I324" s="13">
        <v>2</v>
      </c>
      <c r="J324" s="13">
        <v>1</v>
      </c>
      <c r="K324" s="14">
        <f t="shared" ref="K324:K387" si="10">IF(AND(R324=TRUE,U324=TRUE,ISNUMBER(I324),I324=INT(I324),I324&gt;=1,I324&lt;=3,ISNUMBER(J324),J324=INT(J324),J324&gt;=1,J324&lt;=3),I324*J324,"")</f>
        <v>2</v>
      </c>
      <c r="L324" s="5" t="str">
        <f t="shared" ref="L324:L387" si="11">IF(K324="","",IF(K324&lt;=2,"LOW",IF(K324&lt;=4,"MEDIUM","HIGH")))</f>
        <v>LOW</v>
      </c>
      <c r="M324" s="4" t="s">
        <v>1780</v>
      </c>
      <c r="N324" s="8" t="b">
        <v>0</v>
      </c>
      <c r="O324" s="6" t="s">
        <v>1781</v>
      </c>
      <c r="P324" s="6" t="s">
        <v>1782</v>
      </c>
      <c r="Q324" s="6"/>
      <c r="R324" s="9" t="b">
        <v>1</v>
      </c>
      <c r="S324" s="6" t="s">
        <v>299</v>
      </c>
      <c r="T324" s="6" t="s">
        <v>2114</v>
      </c>
      <c r="U324" s="9" t="b">
        <v>1</v>
      </c>
    </row>
    <row r="325" spans="1:21" ht="30">
      <c r="A325" s="7" t="s">
        <v>300</v>
      </c>
      <c r="B325" s="15">
        <v>46159</v>
      </c>
      <c r="C325" s="5" t="s">
        <v>302</v>
      </c>
      <c r="D325" s="14">
        <v>1</v>
      </c>
      <c r="E325" s="5" t="s">
        <v>1714</v>
      </c>
      <c r="F325" s="5" t="s">
        <v>1774</v>
      </c>
      <c r="G325" s="13">
        <v>5</v>
      </c>
      <c r="H325" s="13">
        <v>2</v>
      </c>
      <c r="I325" s="13">
        <v>2</v>
      </c>
      <c r="J325" s="13">
        <v>1</v>
      </c>
      <c r="K325" s="14">
        <f t="shared" si="10"/>
        <v>2</v>
      </c>
      <c r="L325" s="5" t="str">
        <f t="shared" si="11"/>
        <v>LOW</v>
      </c>
      <c r="M325" s="4" t="s">
        <v>1716</v>
      </c>
      <c r="N325" s="8" t="b">
        <v>0</v>
      </c>
      <c r="O325" s="6" t="s">
        <v>1717</v>
      </c>
      <c r="P325" s="6" t="s">
        <v>1775</v>
      </c>
      <c r="Q325" s="6"/>
      <c r="R325" s="9" t="b">
        <v>1</v>
      </c>
      <c r="S325" s="6" t="s">
        <v>305</v>
      </c>
      <c r="T325" s="6" t="s">
        <v>2115</v>
      </c>
      <c r="U325" s="9" t="b">
        <v>1</v>
      </c>
    </row>
    <row r="326" spans="1:21" ht="30">
      <c r="A326" s="7" t="s">
        <v>300</v>
      </c>
      <c r="B326" s="15">
        <v>46159</v>
      </c>
      <c r="C326" s="5" t="s">
        <v>302</v>
      </c>
      <c r="D326" s="14">
        <v>2</v>
      </c>
      <c r="E326" s="5" t="s">
        <v>1714</v>
      </c>
      <c r="F326" s="5" t="s">
        <v>1928</v>
      </c>
      <c r="G326" s="13">
        <v>8</v>
      </c>
      <c r="H326" s="13">
        <v>0</v>
      </c>
      <c r="I326" s="13">
        <v>1</v>
      </c>
      <c r="J326" s="13">
        <v>2</v>
      </c>
      <c r="K326" s="14">
        <f t="shared" si="10"/>
        <v>2</v>
      </c>
      <c r="L326" s="5" t="str">
        <f t="shared" si="11"/>
        <v>LOW</v>
      </c>
      <c r="M326" s="4" t="s">
        <v>1716</v>
      </c>
      <c r="N326" s="8" t="b">
        <v>0</v>
      </c>
      <c r="O326" s="6" t="s">
        <v>1717</v>
      </c>
      <c r="P326" s="6" t="s">
        <v>1929</v>
      </c>
      <c r="Q326" s="6"/>
      <c r="R326" s="9" t="b">
        <v>1</v>
      </c>
      <c r="S326" s="6" t="s">
        <v>305</v>
      </c>
      <c r="T326" s="6" t="s">
        <v>2116</v>
      </c>
      <c r="U326" s="9" t="b">
        <v>1</v>
      </c>
    </row>
    <row r="327" spans="1:21" ht="30">
      <c r="A327" s="7" t="s">
        <v>300</v>
      </c>
      <c r="B327" s="15">
        <v>46159</v>
      </c>
      <c r="C327" s="5" t="s">
        <v>302</v>
      </c>
      <c r="D327" s="14">
        <v>3</v>
      </c>
      <c r="E327" s="5" t="s">
        <v>1714</v>
      </c>
      <c r="F327" s="5" t="s">
        <v>1788</v>
      </c>
      <c r="G327" s="13">
        <v>11</v>
      </c>
      <c r="H327" s="13">
        <v>1</v>
      </c>
      <c r="I327" s="13">
        <v>1</v>
      </c>
      <c r="J327" s="13">
        <v>1</v>
      </c>
      <c r="K327" s="14">
        <f t="shared" si="10"/>
        <v>1</v>
      </c>
      <c r="L327" s="5" t="str">
        <f t="shared" si="11"/>
        <v>LOW</v>
      </c>
      <c r="M327" s="4" t="s">
        <v>1716</v>
      </c>
      <c r="N327" s="8" t="b">
        <v>0</v>
      </c>
      <c r="O327" s="6" t="s">
        <v>1717</v>
      </c>
      <c r="P327" s="6" t="s">
        <v>1789</v>
      </c>
      <c r="Q327" s="6"/>
      <c r="R327" s="9" t="b">
        <v>1</v>
      </c>
      <c r="S327" s="6" t="s">
        <v>305</v>
      </c>
      <c r="T327" s="6" t="s">
        <v>2117</v>
      </c>
      <c r="U327" s="9" t="b">
        <v>1</v>
      </c>
    </row>
    <row r="328" spans="1:21" ht="30">
      <c r="A328" s="7" t="s">
        <v>300</v>
      </c>
      <c r="B328" s="15">
        <v>46159</v>
      </c>
      <c r="C328" s="5" t="s">
        <v>302</v>
      </c>
      <c r="D328" s="14">
        <v>4</v>
      </c>
      <c r="E328" s="5" t="s">
        <v>1720</v>
      </c>
      <c r="F328" s="5" t="s">
        <v>1721</v>
      </c>
      <c r="G328" s="13">
        <v>14</v>
      </c>
      <c r="H328" s="13">
        <v>2</v>
      </c>
      <c r="I328" s="13">
        <v>2</v>
      </c>
      <c r="J328" s="13">
        <v>1</v>
      </c>
      <c r="K328" s="14">
        <f t="shared" si="10"/>
        <v>2</v>
      </c>
      <c r="L328" s="5" t="str">
        <f t="shared" si="11"/>
        <v>LOW</v>
      </c>
      <c r="M328" s="4" t="s">
        <v>1722</v>
      </c>
      <c r="N328" s="8" t="b">
        <v>0</v>
      </c>
      <c r="O328" s="6" t="s">
        <v>1723</v>
      </c>
      <c r="P328" s="6" t="s">
        <v>1724</v>
      </c>
      <c r="Q328" s="6"/>
      <c r="R328" s="9" t="b">
        <v>1</v>
      </c>
      <c r="S328" s="6" t="s">
        <v>305</v>
      </c>
      <c r="T328" s="6" t="s">
        <v>2118</v>
      </c>
      <c r="U328" s="9" t="b">
        <v>1</v>
      </c>
    </row>
    <row r="329" spans="1:21" ht="30">
      <c r="A329" s="7" t="s">
        <v>300</v>
      </c>
      <c r="B329" s="15">
        <v>46159</v>
      </c>
      <c r="C329" s="5" t="s">
        <v>302</v>
      </c>
      <c r="D329" s="14">
        <v>5</v>
      </c>
      <c r="E329" s="5" t="s">
        <v>1745</v>
      </c>
      <c r="F329" s="5" t="s">
        <v>1746</v>
      </c>
      <c r="G329" s="13">
        <v>17</v>
      </c>
      <c r="H329" s="13">
        <v>0</v>
      </c>
      <c r="I329" s="13">
        <v>1</v>
      </c>
      <c r="J329" s="13">
        <v>2</v>
      </c>
      <c r="K329" s="14">
        <f t="shared" si="10"/>
        <v>2</v>
      </c>
      <c r="L329" s="5" t="str">
        <f t="shared" si="11"/>
        <v>LOW</v>
      </c>
      <c r="M329" s="4" t="s">
        <v>1747</v>
      </c>
      <c r="N329" s="8" t="b">
        <v>0</v>
      </c>
      <c r="O329" s="6" t="s">
        <v>1748</v>
      </c>
      <c r="P329" s="6" t="s">
        <v>1749</v>
      </c>
      <c r="Q329" s="6"/>
      <c r="R329" s="9" t="b">
        <v>1</v>
      </c>
      <c r="S329" s="6" t="s">
        <v>305</v>
      </c>
      <c r="T329" s="6" t="s">
        <v>2119</v>
      </c>
      <c r="U329" s="9" t="b">
        <v>1</v>
      </c>
    </row>
    <row r="330" spans="1:21" ht="45">
      <c r="A330" s="7" t="s">
        <v>300</v>
      </c>
      <c r="B330" s="15">
        <v>46159</v>
      </c>
      <c r="C330" s="5" t="s">
        <v>302</v>
      </c>
      <c r="D330" s="14">
        <v>6</v>
      </c>
      <c r="E330" s="5" t="s">
        <v>1729</v>
      </c>
      <c r="F330" s="5" t="s">
        <v>1730</v>
      </c>
      <c r="G330" s="13">
        <v>20</v>
      </c>
      <c r="H330" s="13">
        <v>1</v>
      </c>
      <c r="I330" s="13">
        <v>1</v>
      </c>
      <c r="J330" s="13">
        <v>1</v>
      </c>
      <c r="K330" s="14">
        <f t="shared" si="10"/>
        <v>1</v>
      </c>
      <c r="L330" s="5" t="str">
        <f t="shared" si="11"/>
        <v>LOW</v>
      </c>
      <c r="M330" s="4" t="s">
        <v>1731</v>
      </c>
      <c r="N330" s="8" t="b">
        <v>0</v>
      </c>
      <c r="O330" s="6" t="s">
        <v>1732</v>
      </c>
      <c r="P330" s="6" t="s">
        <v>1733</v>
      </c>
      <c r="Q330" s="6"/>
      <c r="R330" s="9" t="b">
        <v>1</v>
      </c>
      <c r="S330" s="6" t="s">
        <v>305</v>
      </c>
      <c r="T330" s="6" t="s">
        <v>2120</v>
      </c>
      <c r="U330" s="9" t="b">
        <v>1</v>
      </c>
    </row>
    <row r="331" spans="1:21" ht="30">
      <c r="A331" s="7" t="s">
        <v>306</v>
      </c>
      <c r="B331" s="15">
        <v>46193</v>
      </c>
      <c r="C331" s="5" t="s">
        <v>308</v>
      </c>
      <c r="D331" s="14">
        <v>1</v>
      </c>
      <c r="E331" s="5" t="s">
        <v>1714</v>
      </c>
      <c r="F331" s="5" t="s">
        <v>1774</v>
      </c>
      <c r="G331" s="13">
        <v>45</v>
      </c>
      <c r="H331" s="13">
        <v>0</v>
      </c>
      <c r="I331" s="13">
        <v>1</v>
      </c>
      <c r="J331" s="13">
        <v>3</v>
      </c>
      <c r="K331" s="14">
        <f t="shared" si="10"/>
        <v>3</v>
      </c>
      <c r="L331" s="5" t="str">
        <f t="shared" si="11"/>
        <v>MEDIUM</v>
      </c>
      <c r="M331" s="4" t="s">
        <v>1716</v>
      </c>
      <c r="N331" s="8" t="b">
        <v>0</v>
      </c>
      <c r="O331" s="6" t="s">
        <v>1717</v>
      </c>
      <c r="P331" s="6" t="s">
        <v>1775</v>
      </c>
      <c r="Q331" s="6"/>
      <c r="R331" s="9" t="b">
        <v>1</v>
      </c>
      <c r="S331" s="6" t="s">
        <v>311</v>
      </c>
      <c r="T331" s="6" t="s">
        <v>2121</v>
      </c>
      <c r="U331" s="9" t="b">
        <v>1</v>
      </c>
    </row>
    <row r="332" spans="1:21" ht="30">
      <c r="A332" s="7" t="s">
        <v>306</v>
      </c>
      <c r="B332" s="15">
        <v>46193</v>
      </c>
      <c r="C332" s="5" t="s">
        <v>308</v>
      </c>
      <c r="D332" s="14">
        <v>2</v>
      </c>
      <c r="E332" s="5" t="s">
        <v>1714</v>
      </c>
      <c r="F332" s="5" t="s">
        <v>1928</v>
      </c>
      <c r="G332" s="13">
        <v>48</v>
      </c>
      <c r="H332" s="13">
        <v>1</v>
      </c>
      <c r="I332" s="13">
        <v>3</v>
      </c>
      <c r="J332" s="13">
        <v>1</v>
      </c>
      <c r="K332" s="14">
        <f t="shared" si="10"/>
        <v>3</v>
      </c>
      <c r="L332" s="5" t="str">
        <f t="shared" si="11"/>
        <v>MEDIUM</v>
      </c>
      <c r="M332" s="4" t="s">
        <v>1716</v>
      </c>
      <c r="N332" s="8" t="b">
        <v>0</v>
      </c>
      <c r="O332" s="6" t="s">
        <v>1717</v>
      </c>
      <c r="P332" s="6" t="s">
        <v>1929</v>
      </c>
      <c r="Q332" s="6"/>
      <c r="R332" s="9" t="b">
        <v>1</v>
      </c>
      <c r="S332" s="6" t="s">
        <v>311</v>
      </c>
      <c r="T332" s="6" t="s">
        <v>2122</v>
      </c>
      <c r="U332" s="9" t="b">
        <v>1</v>
      </c>
    </row>
    <row r="333" spans="1:21" ht="30">
      <c r="A333" s="7" t="s">
        <v>306</v>
      </c>
      <c r="B333" s="15">
        <v>46193</v>
      </c>
      <c r="C333" s="5" t="s">
        <v>308</v>
      </c>
      <c r="D333" s="14">
        <v>3</v>
      </c>
      <c r="E333" s="5" t="s">
        <v>1714</v>
      </c>
      <c r="F333" s="5" t="s">
        <v>1788</v>
      </c>
      <c r="G333" s="13">
        <v>51</v>
      </c>
      <c r="H333" s="13">
        <v>2</v>
      </c>
      <c r="I333" s="13">
        <v>2</v>
      </c>
      <c r="J333" s="13">
        <v>2</v>
      </c>
      <c r="K333" s="14">
        <f t="shared" si="10"/>
        <v>4</v>
      </c>
      <c r="L333" s="5" t="str">
        <f t="shared" si="11"/>
        <v>MEDIUM</v>
      </c>
      <c r="M333" s="4" t="s">
        <v>1716</v>
      </c>
      <c r="N333" s="8" t="b">
        <v>0</v>
      </c>
      <c r="O333" s="6" t="s">
        <v>1717</v>
      </c>
      <c r="P333" s="6" t="s">
        <v>1789</v>
      </c>
      <c r="Q333" s="6"/>
      <c r="R333" s="9" t="b">
        <v>1</v>
      </c>
      <c r="S333" s="6" t="s">
        <v>311</v>
      </c>
      <c r="T333" s="6" t="s">
        <v>2123</v>
      </c>
      <c r="U333" s="9" t="b">
        <v>1</v>
      </c>
    </row>
    <row r="334" spans="1:21" ht="30">
      <c r="A334" s="7" t="s">
        <v>306</v>
      </c>
      <c r="B334" s="15">
        <v>46193</v>
      </c>
      <c r="C334" s="5" t="s">
        <v>308</v>
      </c>
      <c r="D334" s="14">
        <v>4</v>
      </c>
      <c r="E334" s="5" t="s">
        <v>1720</v>
      </c>
      <c r="F334" s="5" t="s">
        <v>1721</v>
      </c>
      <c r="G334" s="13">
        <v>2</v>
      </c>
      <c r="H334" s="13">
        <v>0</v>
      </c>
      <c r="I334" s="13">
        <v>1</v>
      </c>
      <c r="J334" s="13">
        <v>3</v>
      </c>
      <c r="K334" s="14">
        <f t="shared" si="10"/>
        <v>3</v>
      </c>
      <c r="L334" s="5" t="str">
        <f t="shared" si="11"/>
        <v>MEDIUM</v>
      </c>
      <c r="M334" s="4" t="s">
        <v>1722</v>
      </c>
      <c r="N334" s="8" t="b">
        <v>0</v>
      </c>
      <c r="O334" s="6" t="s">
        <v>1723</v>
      </c>
      <c r="P334" s="6" t="s">
        <v>1724</v>
      </c>
      <c r="Q334" s="6"/>
      <c r="R334" s="9" t="b">
        <v>1</v>
      </c>
      <c r="S334" s="6" t="s">
        <v>311</v>
      </c>
      <c r="T334" s="6" t="s">
        <v>2124</v>
      </c>
      <c r="U334" s="9" t="b">
        <v>1</v>
      </c>
    </row>
    <row r="335" spans="1:21" ht="30">
      <c r="A335" s="7" t="s">
        <v>306</v>
      </c>
      <c r="B335" s="15">
        <v>46193</v>
      </c>
      <c r="C335" s="5" t="s">
        <v>308</v>
      </c>
      <c r="D335" s="14">
        <v>5</v>
      </c>
      <c r="E335" s="5" t="s">
        <v>1745</v>
      </c>
      <c r="F335" s="5" t="s">
        <v>1746</v>
      </c>
      <c r="G335" s="13">
        <v>5</v>
      </c>
      <c r="H335" s="13">
        <v>1</v>
      </c>
      <c r="I335" s="13">
        <v>3</v>
      </c>
      <c r="J335" s="13">
        <v>1</v>
      </c>
      <c r="K335" s="14">
        <f t="shared" si="10"/>
        <v>3</v>
      </c>
      <c r="L335" s="5" t="str">
        <f t="shared" si="11"/>
        <v>MEDIUM</v>
      </c>
      <c r="M335" s="4" t="s">
        <v>1747</v>
      </c>
      <c r="N335" s="8" t="b">
        <v>0</v>
      </c>
      <c r="O335" s="6" t="s">
        <v>1748</v>
      </c>
      <c r="P335" s="6" t="s">
        <v>1749</v>
      </c>
      <c r="Q335" s="6"/>
      <c r="R335" s="9" t="b">
        <v>1</v>
      </c>
      <c r="S335" s="6" t="s">
        <v>311</v>
      </c>
      <c r="T335" s="6" t="s">
        <v>2125</v>
      </c>
      <c r="U335" s="9" t="b">
        <v>1</v>
      </c>
    </row>
    <row r="336" spans="1:21" ht="30">
      <c r="A336" s="7" t="s">
        <v>306</v>
      </c>
      <c r="B336" s="15">
        <v>46193</v>
      </c>
      <c r="C336" s="5" t="s">
        <v>308</v>
      </c>
      <c r="D336" s="14">
        <v>6</v>
      </c>
      <c r="E336" s="5" t="s">
        <v>1778</v>
      </c>
      <c r="F336" s="5" t="s">
        <v>1804</v>
      </c>
      <c r="G336" s="13">
        <v>8</v>
      </c>
      <c r="H336" s="13">
        <v>2</v>
      </c>
      <c r="I336" s="13">
        <v>2</v>
      </c>
      <c r="J336" s="13">
        <v>2</v>
      </c>
      <c r="K336" s="14">
        <f t="shared" si="10"/>
        <v>4</v>
      </c>
      <c r="L336" s="5" t="str">
        <f t="shared" si="11"/>
        <v>MEDIUM</v>
      </c>
      <c r="M336" s="4" t="s">
        <v>1780</v>
      </c>
      <c r="N336" s="8" t="b">
        <v>0</v>
      </c>
      <c r="O336" s="6" t="s">
        <v>1781</v>
      </c>
      <c r="P336" s="6" t="s">
        <v>1805</v>
      </c>
      <c r="Q336" s="6"/>
      <c r="R336" s="9" t="b">
        <v>1</v>
      </c>
      <c r="S336" s="6" t="s">
        <v>311</v>
      </c>
      <c r="T336" s="6" t="s">
        <v>2126</v>
      </c>
      <c r="U336" s="9" t="b">
        <v>1</v>
      </c>
    </row>
    <row r="337" spans="1:21" ht="30">
      <c r="A337" s="7" t="s">
        <v>312</v>
      </c>
      <c r="B337" s="15">
        <v>46045</v>
      </c>
      <c r="C337" s="5" t="s">
        <v>314</v>
      </c>
      <c r="D337" s="14">
        <v>1</v>
      </c>
      <c r="E337" s="5" t="s">
        <v>1714</v>
      </c>
      <c r="F337" s="5" t="s">
        <v>1774</v>
      </c>
      <c r="G337" s="13">
        <v>40</v>
      </c>
      <c r="H337" s="13">
        <v>1</v>
      </c>
      <c r="I337" s="13">
        <v>1</v>
      </c>
      <c r="J337" s="13">
        <v>2</v>
      </c>
      <c r="K337" s="14">
        <f t="shared" si="10"/>
        <v>2</v>
      </c>
      <c r="L337" s="5" t="str">
        <f t="shared" si="11"/>
        <v>LOW</v>
      </c>
      <c r="M337" s="4" t="s">
        <v>1716</v>
      </c>
      <c r="N337" s="8" t="b">
        <v>0</v>
      </c>
      <c r="O337" s="6" t="s">
        <v>1717</v>
      </c>
      <c r="P337" s="6" t="s">
        <v>1775</v>
      </c>
      <c r="Q337" s="6"/>
      <c r="R337" s="9" t="b">
        <v>1</v>
      </c>
      <c r="S337" s="6" t="s">
        <v>317</v>
      </c>
      <c r="T337" s="6" t="s">
        <v>2127</v>
      </c>
      <c r="U337" s="9" t="b">
        <v>1</v>
      </c>
    </row>
    <row r="338" spans="1:21" ht="30">
      <c r="A338" s="7" t="s">
        <v>312</v>
      </c>
      <c r="B338" s="15">
        <v>46045</v>
      </c>
      <c r="C338" s="5" t="s">
        <v>314</v>
      </c>
      <c r="D338" s="14">
        <v>2</v>
      </c>
      <c r="E338" s="5" t="s">
        <v>1714</v>
      </c>
      <c r="F338" s="5" t="s">
        <v>1928</v>
      </c>
      <c r="G338" s="13">
        <v>43</v>
      </c>
      <c r="H338" s="13">
        <v>2</v>
      </c>
      <c r="I338" s="13">
        <v>1</v>
      </c>
      <c r="J338" s="13">
        <v>1</v>
      </c>
      <c r="K338" s="14">
        <f t="shared" si="10"/>
        <v>1</v>
      </c>
      <c r="L338" s="5" t="str">
        <f t="shared" si="11"/>
        <v>LOW</v>
      </c>
      <c r="M338" s="4" t="s">
        <v>1716</v>
      </c>
      <c r="N338" s="8" t="b">
        <v>0</v>
      </c>
      <c r="O338" s="6" t="s">
        <v>1717</v>
      </c>
      <c r="P338" s="6" t="s">
        <v>1929</v>
      </c>
      <c r="Q338" s="6"/>
      <c r="R338" s="9" t="b">
        <v>1</v>
      </c>
      <c r="S338" s="6" t="s">
        <v>317</v>
      </c>
      <c r="T338" s="6" t="s">
        <v>2128</v>
      </c>
      <c r="U338" s="9" t="b">
        <v>1</v>
      </c>
    </row>
    <row r="339" spans="1:21" ht="30">
      <c r="A339" s="7" t="s">
        <v>312</v>
      </c>
      <c r="B339" s="15">
        <v>46045</v>
      </c>
      <c r="C339" s="5" t="s">
        <v>314</v>
      </c>
      <c r="D339" s="14">
        <v>3</v>
      </c>
      <c r="E339" s="5" t="s">
        <v>1714</v>
      </c>
      <c r="F339" s="5" t="s">
        <v>1788</v>
      </c>
      <c r="G339" s="13">
        <v>46</v>
      </c>
      <c r="H339" s="13">
        <v>0</v>
      </c>
      <c r="I339" s="13">
        <v>2</v>
      </c>
      <c r="J339" s="13">
        <v>1</v>
      </c>
      <c r="K339" s="14">
        <f t="shared" si="10"/>
        <v>2</v>
      </c>
      <c r="L339" s="5" t="str">
        <f t="shared" si="11"/>
        <v>LOW</v>
      </c>
      <c r="M339" s="4" t="s">
        <v>1716</v>
      </c>
      <c r="N339" s="8" t="b">
        <v>0</v>
      </c>
      <c r="O339" s="6" t="s">
        <v>1717</v>
      </c>
      <c r="P339" s="6" t="s">
        <v>1789</v>
      </c>
      <c r="Q339" s="6"/>
      <c r="R339" s="9" t="b">
        <v>1</v>
      </c>
      <c r="S339" s="6" t="s">
        <v>317</v>
      </c>
      <c r="T339" s="6" t="s">
        <v>2129</v>
      </c>
      <c r="U339" s="9" t="b">
        <v>1</v>
      </c>
    </row>
    <row r="340" spans="1:21" ht="30">
      <c r="A340" s="7" t="s">
        <v>312</v>
      </c>
      <c r="B340" s="15">
        <v>46045</v>
      </c>
      <c r="C340" s="5" t="s">
        <v>314</v>
      </c>
      <c r="D340" s="14">
        <v>4</v>
      </c>
      <c r="E340" s="5" t="s">
        <v>1720</v>
      </c>
      <c r="F340" s="5" t="s">
        <v>1721</v>
      </c>
      <c r="G340" s="13">
        <v>49</v>
      </c>
      <c r="H340" s="13">
        <v>1</v>
      </c>
      <c r="I340" s="13">
        <v>1</v>
      </c>
      <c r="J340" s="13">
        <v>2</v>
      </c>
      <c r="K340" s="14">
        <f t="shared" si="10"/>
        <v>2</v>
      </c>
      <c r="L340" s="5" t="str">
        <f t="shared" si="11"/>
        <v>LOW</v>
      </c>
      <c r="M340" s="4" t="s">
        <v>1722</v>
      </c>
      <c r="N340" s="8" t="b">
        <v>0</v>
      </c>
      <c r="O340" s="6" t="s">
        <v>1723</v>
      </c>
      <c r="P340" s="6" t="s">
        <v>1724</v>
      </c>
      <c r="Q340" s="6"/>
      <c r="R340" s="9" t="b">
        <v>1</v>
      </c>
      <c r="S340" s="6" t="s">
        <v>317</v>
      </c>
      <c r="T340" s="6" t="s">
        <v>2130</v>
      </c>
      <c r="U340" s="9" t="b">
        <v>1</v>
      </c>
    </row>
    <row r="341" spans="1:21" ht="30">
      <c r="A341" s="7" t="s">
        <v>312</v>
      </c>
      <c r="B341" s="15">
        <v>46045</v>
      </c>
      <c r="C341" s="5" t="s">
        <v>314</v>
      </c>
      <c r="D341" s="14">
        <v>5</v>
      </c>
      <c r="E341" s="5" t="s">
        <v>1745</v>
      </c>
      <c r="F341" s="5" t="s">
        <v>1746</v>
      </c>
      <c r="G341" s="13">
        <v>52</v>
      </c>
      <c r="H341" s="13">
        <v>2</v>
      </c>
      <c r="I341" s="13">
        <v>1</v>
      </c>
      <c r="J341" s="13">
        <v>1</v>
      </c>
      <c r="K341" s="14">
        <f t="shared" si="10"/>
        <v>1</v>
      </c>
      <c r="L341" s="5" t="str">
        <f t="shared" si="11"/>
        <v>LOW</v>
      </c>
      <c r="M341" s="4" t="s">
        <v>1747</v>
      </c>
      <c r="N341" s="8" t="b">
        <v>0</v>
      </c>
      <c r="O341" s="6" t="s">
        <v>1748</v>
      </c>
      <c r="P341" s="6" t="s">
        <v>1749</v>
      </c>
      <c r="Q341" s="6"/>
      <c r="R341" s="9" t="b">
        <v>1</v>
      </c>
      <c r="S341" s="6" t="s">
        <v>317</v>
      </c>
      <c r="T341" s="6" t="s">
        <v>2131</v>
      </c>
      <c r="U341" s="9" t="b">
        <v>1</v>
      </c>
    </row>
    <row r="342" spans="1:21" ht="30">
      <c r="A342" s="7" t="s">
        <v>312</v>
      </c>
      <c r="B342" s="15">
        <v>46045</v>
      </c>
      <c r="C342" s="5" t="s">
        <v>314</v>
      </c>
      <c r="D342" s="14">
        <v>6</v>
      </c>
      <c r="E342" s="5" t="s">
        <v>1708</v>
      </c>
      <c r="F342" s="5" t="s">
        <v>1735</v>
      </c>
      <c r="G342" s="13">
        <v>55</v>
      </c>
      <c r="H342" s="13">
        <v>0</v>
      </c>
      <c r="I342" s="13">
        <v>2</v>
      </c>
      <c r="J342" s="13">
        <v>1</v>
      </c>
      <c r="K342" s="14">
        <f t="shared" si="10"/>
        <v>2</v>
      </c>
      <c r="L342" s="5" t="str">
        <f t="shared" si="11"/>
        <v>LOW</v>
      </c>
      <c r="M342" s="4" t="s">
        <v>1710</v>
      </c>
      <c r="N342" s="8" t="b">
        <v>0</v>
      </c>
      <c r="O342" s="6" t="s">
        <v>1711</v>
      </c>
      <c r="P342" s="6" t="s">
        <v>1736</v>
      </c>
      <c r="Q342" s="6"/>
      <c r="R342" s="9" t="b">
        <v>1</v>
      </c>
      <c r="S342" s="6" t="s">
        <v>317</v>
      </c>
      <c r="T342" s="6" t="s">
        <v>2132</v>
      </c>
      <c r="U342" s="9" t="b">
        <v>1</v>
      </c>
    </row>
    <row r="343" spans="1:21" ht="30">
      <c r="A343" s="7" t="s">
        <v>318</v>
      </c>
      <c r="B343" s="15">
        <v>46054</v>
      </c>
      <c r="C343" s="5" t="s">
        <v>320</v>
      </c>
      <c r="D343" s="14">
        <v>1</v>
      </c>
      <c r="E343" s="5" t="s">
        <v>1714</v>
      </c>
      <c r="F343" s="5" t="s">
        <v>1774</v>
      </c>
      <c r="G343" s="13">
        <v>5</v>
      </c>
      <c r="H343" s="13">
        <v>2</v>
      </c>
      <c r="I343" s="13">
        <v>2</v>
      </c>
      <c r="J343" s="13">
        <v>1</v>
      </c>
      <c r="K343" s="14">
        <f t="shared" si="10"/>
        <v>2</v>
      </c>
      <c r="L343" s="5" t="str">
        <f t="shared" si="11"/>
        <v>LOW</v>
      </c>
      <c r="M343" s="4" t="s">
        <v>1716</v>
      </c>
      <c r="N343" s="8" t="b">
        <v>0</v>
      </c>
      <c r="O343" s="6" t="s">
        <v>1717</v>
      </c>
      <c r="P343" s="6" t="s">
        <v>1775</v>
      </c>
      <c r="Q343" s="6"/>
      <c r="R343" s="9" t="b">
        <v>1</v>
      </c>
      <c r="S343" s="6" t="s">
        <v>323</v>
      </c>
      <c r="T343" s="6" t="s">
        <v>2133</v>
      </c>
      <c r="U343" s="9" t="b">
        <v>1</v>
      </c>
    </row>
    <row r="344" spans="1:21" ht="30">
      <c r="A344" s="7" t="s">
        <v>318</v>
      </c>
      <c r="B344" s="15">
        <v>46054</v>
      </c>
      <c r="C344" s="5" t="s">
        <v>320</v>
      </c>
      <c r="D344" s="14">
        <v>2</v>
      </c>
      <c r="E344" s="5" t="s">
        <v>1714</v>
      </c>
      <c r="F344" s="5" t="s">
        <v>1928</v>
      </c>
      <c r="G344" s="13">
        <v>8</v>
      </c>
      <c r="H344" s="13">
        <v>0</v>
      </c>
      <c r="I344" s="13">
        <v>1</v>
      </c>
      <c r="J344" s="13">
        <v>2</v>
      </c>
      <c r="K344" s="14">
        <f t="shared" si="10"/>
        <v>2</v>
      </c>
      <c r="L344" s="5" t="str">
        <f t="shared" si="11"/>
        <v>LOW</v>
      </c>
      <c r="M344" s="4" t="s">
        <v>1716</v>
      </c>
      <c r="N344" s="8" t="b">
        <v>0</v>
      </c>
      <c r="O344" s="6" t="s">
        <v>1717</v>
      </c>
      <c r="P344" s="6" t="s">
        <v>1929</v>
      </c>
      <c r="Q344" s="6"/>
      <c r="R344" s="9" t="b">
        <v>1</v>
      </c>
      <c r="S344" s="6" t="s">
        <v>323</v>
      </c>
      <c r="T344" s="6" t="s">
        <v>2134</v>
      </c>
      <c r="U344" s="9" t="b">
        <v>1</v>
      </c>
    </row>
    <row r="345" spans="1:21" ht="30">
      <c r="A345" s="7" t="s">
        <v>318</v>
      </c>
      <c r="B345" s="15">
        <v>46054</v>
      </c>
      <c r="C345" s="5" t="s">
        <v>320</v>
      </c>
      <c r="D345" s="14">
        <v>3</v>
      </c>
      <c r="E345" s="5" t="s">
        <v>1714</v>
      </c>
      <c r="F345" s="5" t="s">
        <v>1788</v>
      </c>
      <c r="G345" s="13">
        <v>3</v>
      </c>
      <c r="H345" s="13">
        <v>1</v>
      </c>
      <c r="I345" s="13">
        <v>1</v>
      </c>
      <c r="J345" s="13">
        <v>1</v>
      </c>
      <c r="K345" s="14">
        <f t="shared" si="10"/>
        <v>1</v>
      </c>
      <c r="L345" s="5" t="str">
        <f t="shared" si="11"/>
        <v>LOW</v>
      </c>
      <c r="M345" s="4" t="s">
        <v>1716</v>
      </c>
      <c r="N345" s="8" t="b">
        <v>0</v>
      </c>
      <c r="O345" s="6" t="s">
        <v>1717</v>
      </c>
      <c r="P345" s="6" t="s">
        <v>1789</v>
      </c>
      <c r="Q345" s="6"/>
      <c r="R345" s="9" t="b">
        <v>1</v>
      </c>
      <c r="S345" s="6" t="s">
        <v>323</v>
      </c>
      <c r="T345" s="6" t="s">
        <v>2135</v>
      </c>
      <c r="U345" s="9" t="b">
        <v>1</v>
      </c>
    </row>
    <row r="346" spans="1:21" ht="30">
      <c r="A346" s="7" t="s">
        <v>318</v>
      </c>
      <c r="B346" s="15">
        <v>46054</v>
      </c>
      <c r="C346" s="5" t="s">
        <v>320</v>
      </c>
      <c r="D346" s="14">
        <v>4</v>
      </c>
      <c r="E346" s="5" t="s">
        <v>1720</v>
      </c>
      <c r="F346" s="5" t="s">
        <v>1721</v>
      </c>
      <c r="G346" s="13">
        <v>6</v>
      </c>
      <c r="H346" s="13">
        <v>2</v>
      </c>
      <c r="I346" s="13">
        <v>2</v>
      </c>
      <c r="J346" s="13">
        <v>1</v>
      </c>
      <c r="K346" s="14">
        <f t="shared" si="10"/>
        <v>2</v>
      </c>
      <c r="L346" s="5" t="str">
        <f t="shared" si="11"/>
        <v>LOW</v>
      </c>
      <c r="M346" s="4" t="s">
        <v>1722</v>
      </c>
      <c r="N346" s="8" t="b">
        <v>0</v>
      </c>
      <c r="O346" s="6" t="s">
        <v>1723</v>
      </c>
      <c r="P346" s="6" t="s">
        <v>1724</v>
      </c>
      <c r="Q346" s="6"/>
      <c r="R346" s="9" t="b">
        <v>1</v>
      </c>
      <c r="S346" s="6" t="s">
        <v>323</v>
      </c>
      <c r="T346" s="6" t="s">
        <v>2136</v>
      </c>
      <c r="U346" s="9" t="b">
        <v>1</v>
      </c>
    </row>
    <row r="347" spans="1:21" ht="30">
      <c r="A347" s="7" t="s">
        <v>318</v>
      </c>
      <c r="B347" s="15">
        <v>46054</v>
      </c>
      <c r="C347" s="5" t="s">
        <v>320</v>
      </c>
      <c r="D347" s="14">
        <v>5</v>
      </c>
      <c r="E347" s="5" t="s">
        <v>1745</v>
      </c>
      <c r="F347" s="5" t="s">
        <v>1746</v>
      </c>
      <c r="G347" s="13">
        <v>1</v>
      </c>
      <c r="H347" s="13">
        <v>0</v>
      </c>
      <c r="I347" s="13">
        <v>1</v>
      </c>
      <c r="J347" s="13">
        <v>2</v>
      </c>
      <c r="K347" s="14">
        <f t="shared" si="10"/>
        <v>2</v>
      </c>
      <c r="L347" s="5" t="str">
        <f t="shared" si="11"/>
        <v>LOW</v>
      </c>
      <c r="M347" s="4" t="s">
        <v>1747</v>
      </c>
      <c r="N347" s="8" t="b">
        <v>0</v>
      </c>
      <c r="O347" s="6" t="s">
        <v>1748</v>
      </c>
      <c r="P347" s="6" t="s">
        <v>1749</v>
      </c>
      <c r="Q347" s="6"/>
      <c r="R347" s="9" t="b">
        <v>1</v>
      </c>
      <c r="S347" s="6" t="s">
        <v>323</v>
      </c>
      <c r="T347" s="6" t="s">
        <v>2137</v>
      </c>
      <c r="U347" s="9" t="b">
        <v>1</v>
      </c>
    </row>
    <row r="348" spans="1:21" ht="30">
      <c r="A348" s="7" t="s">
        <v>318</v>
      </c>
      <c r="B348" s="15">
        <v>46054</v>
      </c>
      <c r="C348" s="5" t="s">
        <v>320</v>
      </c>
      <c r="D348" s="14">
        <v>6</v>
      </c>
      <c r="E348" s="5" t="s">
        <v>1720</v>
      </c>
      <c r="F348" s="5" t="s">
        <v>1990</v>
      </c>
      <c r="G348" s="13">
        <v>4</v>
      </c>
      <c r="H348" s="13">
        <v>1</v>
      </c>
      <c r="I348" s="13">
        <v>1</v>
      </c>
      <c r="J348" s="13">
        <v>1</v>
      </c>
      <c r="K348" s="14">
        <f t="shared" si="10"/>
        <v>1</v>
      </c>
      <c r="L348" s="5" t="str">
        <f t="shared" si="11"/>
        <v>LOW</v>
      </c>
      <c r="M348" s="4" t="s">
        <v>1722</v>
      </c>
      <c r="N348" s="8" t="b">
        <v>0</v>
      </c>
      <c r="O348" s="6" t="s">
        <v>1723</v>
      </c>
      <c r="P348" s="6" t="s">
        <v>1836</v>
      </c>
      <c r="Q348" s="6" t="s">
        <v>1990</v>
      </c>
      <c r="R348" s="9" t="b">
        <v>1</v>
      </c>
      <c r="S348" s="6" t="s">
        <v>323</v>
      </c>
      <c r="T348" s="6" t="s">
        <v>2138</v>
      </c>
      <c r="U348" s="9" t="b">
        <v>1</v>
      </c>
    </row>
    <row r="349" spans="1:21" ht="30">
      <c r="A349" s="7" t="s">
        <v>324</v>
      </c>
      <c r="B349" s="15">
        <v>46085</v>
      </c>
      <c r="C349" s="5" t="s">
        <v>326</v>
      </c>
      <c r="D349" s="14">
        <v>1</v>
      </c>
      <c r="E349" s="5" t="s">
        <v>1714</v>
      </c>
      <c r="F349" s="5" t="s">
        <v>1774</v>
      </c>
      <c r="G349" s="13">
        <v>13</v>
      </c>
      <c r="H349" s="13">
        <v>0</v>
      </c>
      <c r="I349" s="13">
        <v>1</v>
      </c>
      <c r="J349" s="13">
        <v>3</v>
      </c>
      <c r="K349" s="14">
        <f t="shared" si="10"/>
        <v>3</v>
      </c>
      <c r="L349" s="5" t="str">
        <f t="shared" si="11"/>
        <v>MEDIUM</v>
      </c>
      <c r="M349" s="4" t="s">
        <v>1716</v>
      </c>
      <c r="N349" s="8" t="b">
        <v>0</v>
      </c>
      <c r="O349" s="6" t="s">
        <v>1717</v>
      </c>
      <c r="P349" s="6" t="s">
        <v>1775</v>
      </c>
      <c r="Q349" s="6"/>
      <c r="R349" s="9" t="b">
        <v>1</v>
      </c>
      <c r="S349" s="6" t="s">
        <v>329</v>
      </c>
      <c r="T349" s="6" t="s">
        <v>2139</v>
      </c>
      <c r="U349" s="9" t="b">
        <v>1</v>
      </c>
    </row>
    <row r="350" spans="1:21" ht="30">
      <c r="A350" s="7" t="s">
        <v>324</v>
      </c>
      <c r="B350" s="15">
        <v>46085</v>
      </c>
      <c r="C350" s="5" t="s">
        <v>326</v>
      </c>
      <c r="D350" s="14">
        <v>2</v>
      </c>
      <c r="E350" s="5" t="s">
        <v>1714</v>
      </c>
      <c r="F350" s="5" t="s">
        <v>1928</v>
      </c>
      <c r="G350" s="13">
        <v>1</v>
      </c>
      <c r="H350" s="13">
        <v>1</v>
      </c>
      <c r="I350" s="13">
        <v>3</v>
      </c>
      <c r="J350" s="13">
        <v>1</v>
      </c>
      <c r="K350" s="14">
        <f t="shared" si="10"/>
        <v>3</v>
      </c>
      <c r="L350" s="5" t="str">
        <f t="shared" si="11"/>
        <v>MEDIUM</v>
      </c>
      <c r="M350" s="4" t="s">
        <v>1716</v>
      </c>
      <c r="N350" s="8" t="b">
        <v>0</v>
      </c>
      <c r="O350" s="6" t="s">
        <v>1717</v>
      </c>
      <c r="P350" s="6" t="s">
        <v>1929</v>
      </c>
      <c r="Q350" s="6"/>
      <c r="R350" s="9" t="b">
        <v>1</v>
      </c>
      <c r="S350" s="6" t="s">
        <v>329</v>
      </c>
      <c r="T350" s="6" t="s">
        <v>2140</v>
      </c>
      <c r="U350" s="9" t="b">
        <v>1</v>
      </c>
    </row>
    <row r="351" spans="1:21" ht="30">
      <c r="A351" s="7" t="s">
        <v>324</v>
      </c>
      <c r="B351" s="15">
        <v>46085</v>
      </c>
      <c r="C351" s="5" t="s">
        <v>326</v>
      </c>
      <c r="D351" s="14">
        <v>3</v>
      </c>
      <c r="E351" s="5" t="s">
        <v>1714</v>
      </c>
      <c r="F351" s="5" t="s">
        <v>1788</v>
      </c>
      <c r="G351" s="13">
        <v>4</v>
      </c>
      <c r="H351" s="13">
        <v>2</v>
      </c>
      <c r="I351" s="13">
        <v>2</v>
      </c>
      <c r="J351" s="13">
        <v>2</v>
      </c>
      <c r="K351" s="14">
        <f t="shared" si="10"/>
        <v>4</v>
      </c>
      <c r="L351" s="5" t="str">
        <f t="shared" si="11"/>
        <v>MEDIUM</v>
      </c>
      <c r="M351" s="4" t="s">
        <v>1716</v>
      </c>
      <c r="N351" s="8" t="b">
        <v>0</v>
      </c>
      <c r="O351" s="6" t="s">
        <v>1717</v>
      </c>
      <c r="P351" s="6" t="s">
        <v>1789</v>
      </c>
      <c r="Q351" s="6"/>
      <c r="R351" s="9" t="b">
        <v>1</v>
      </c>
      <c r="S351" s="6" t="s">
        <v>329</v>
      </c>
      <c r="T351" s="6" t="s">
        <v>2141</v>
      </c>
      <c r="U351" s="9" t="b">
        <v>1</v>
      </c>
    </row>
    <row r="352" spans="1:21" ht="30">
      <c r="A352" s="7" t="s">
        <v>324</v>
      </c>
      <c r="B352" s="15">
        <v>46085</v>
      </c>
      <c r="C352" s="5" t="s">
        <v>326</v>
      </c>
      <c r="D352" s="14">
        <v>4</v>
      </c>
      <c r="E352" s="5" t="s">
        <v>1720</v>
      </c>
      <c r="F352" s="5" t="s">
        <v>1721</v>
      </c>
      <c r="G352" s="13">
        <v>7</v>
      </c>
      <c r="H352" s="13">
        <v>0</v>
      </c>
      <c r="I352" s="13">
        <v>1</v>
      </c>
      <c r="J352" s="13">
        <v>3</v>
      </c>
      <c r="K352" s="14">
        <f t="shared" si="10"/>
        <v>3</v>
      </c>
      <c r="L352" s="5" t="str">
        <f t="shared" si="11"/>
        <v>MEDIUM</v>
      </c>
      <c r="M352" s="4" t="s">
        <v>1722</v>
      </c>
      <c r="N352" s="8" t="b">
        <v>0</v>
      </c>
      <c r="O352" s="6" t="s">
        <v>1723</v>
      </c>
      <c r="P352" s="6" t="s">
        <v>1724</v>
      </c>
      <c r="Q352" s="6"/>
      <c r="R352" s="9" t="b">
        <v>1</v>
      </c>
      <c r="S352" s="6" t="s">
        <v>329</v>
      </c>
      <c r="T352" s="6" t="s">
        <v>2142</v>
      </c>
      <c r="U352" s="9" t="b">
        <v>1</v>
      </c>
    </row>
    <row r="353" spans="1:21" ht="30">
      <c r="A353" s="7" t="s">
        <v>324</v>
      </c>
      <c r="B353" s="15">
        <v>46085</v>
      </c>
      <c r="C353" s="5" t="s">
        <v>326</v>
      </c>
      <c r="D353" s="14">
        <v>5</v>
      </c>
      <c r="E353" s="5" t="s">
        <v>1745</v>
      </c>
      <c r="F353" s="5" t="s">
        <v>1746</v>
      </c>
      <c r="G353" s="13">
        <v>10</v>
      </c>
      <c r="H353" s="13">
        <v>1</v>
      </c>
      <c r="I353" s="13">
        <v>3</v>
      </c>
      <c r="J353" s="13">
        <v>1</v>
      </c>
      <c r="K353" s="14">
        <f t="shared" si="10"/>
        <v>3</v>
      </c>
      <c r="L353" s="5" t="str">
        <f t="shared" si="11"/>
        <v>MEDIUM</v>
      </c>
      <c r="M353" s="4" t="s">
        <v>1747</v>
      </c>
      <c r="N353" s="8" t="b">
        <v>0</v>
      </c>
      <c r="O353" s="6" t="s">
        <v>1748</v>
      </c>
      <c r="P353" s="6" t="s">
        <v>1749</v>
      </c>
      <c r="Q353" s="6"/>
      <c r="R353" s="9" t="b">
        <v>1</v>
      </c>
      <c r="S353" s="6" t="s">
        <v>329</v>
      </c>
      <c r="T353" s="6" t="s">
        <v>2143</v>
      </c>
      <c r="U353" s="9" t="b">
        <v>1</v>
      </c>
    </row>
    <row r="354" spans="1:21" ht="30">
      <c r="A354" s="7" t="s">
        <v>324</v>
      </c>
      <c r="B354" s="15">
        <v>46085</v>
      </c>
      <c r="C354" s="5" t="s">
        <v>326</v>
      </c>
      <c r="D354" s="14">
        <v>6</v>
      </c>
      <c r="E354" s="5" t="s">
        <v>1720</v>
      </c>
      <c r="F354" s="5" t="s">
        <v>1726</v>
      </c>
      <c r="G354" s="13">
        <v>13</v>
      </c>
      <c r="H354" s="13">
        <v>2</v>
      </c>
      <c r="I354" s="13">
        <v>2</v>
      </c>
      <c r="J354" s="13">
        <v>2</v>
      </c>
      <c r="K354" s="14">
        <f t="shared" si="10"/>
        <v>4</v>
      </c>
      <c r="L354" s="5" t="str">
        <f t="shared" si="11"/>
        <v>MEDIUM</v>
      </c>
      <c r="M354" s="4" t="s">
        <v>1722</v>
      </c>
      <c r="N354" s="8" t="b">
        <v>0</v>
      </c>
      <c r="O354" s="6" t="s">
        <v>1723</v>
      </c>
      <c r="P354" s="6" t="s">
        <v>1727</v>
      </c>
      <c r="Q354" s="6"/>
      <c r="R354" s="9" t="b">
        <v>1</v>
      </c>
      <c r="S354" s="6" t="s">
        <v>329</v>
      </c>
      <c r="T354" s="6" t="s">
        <v>2144</v>
      </c>
      <c r="U354" s="9" t="b">
        <v>1</v>
      </c>
    </row>
    <row r="355" spans="1:21" ht="30">
      <c r="A355" s="7" t="s">
        <v>330</v>
      </c>
      <c r="B355" s="15">
        <v>46119</v>
      </c>
      <c r="C355" s="5" t="s">
        <v>332</v>
      </c>
      <c r="D355" s="14">
        <v>1</v>
      </c>
      <c r="E355" s="5" t="s">
        <v>1714</v>
      </c>
      <c r="F355" s="5" t="s">
        <v>1774</v>
      </c>
      <c r="G355" s="13">
        <v>17</v>
      </c>
      <c r="H355" s="13">
        <v>1</v>
      </c>
      <c r="I355" s="13">
        <v>1</v>
      </c>
      <c r="J355" s="13">
        <v>2</v>
      </c>
      <c r="K355" s="14">
        <f t="shared" si="10"/>
        <v>2</v>
      </c>
      <c r="L355" s="5" t="str">
        <f t="shared" si="11"/>
        <v>LOW</v>
      </c>
      <c r="M355" s="4" t="s">
        <v>1716</v>
      </c>
      <c r="N355" s="8" t="b">
        <v>0</v>
      </c>
      <c r="O355" s="6" t="s">
        <v>1717</v>
      </c>
      <c r="P355" s="6" t="s">
        <v>1775</v>
      </c>
      <c r="Q355" s="6"/>
      <c r="R355" s="9" t="b">
        <v>1</v>
      </c>
      <c r="S355" s="6" t="s">
        <v>335</v>
      </c>
      <c r="T355" s="6" t="s">
        <v>2145</v>
      </c>
      <c r="U355" s="9" t="b">
        <v>1</v>
      </c>
    </row>
    <row r="356" spans="1:21" ht="30">
      <c r="A356" s="7" t="s">
        <v>330</v>
      </c>
      <c r="B356" s="15">
        <v>46119</v>
      </c>
      <c r="C356" s="5" t="s">
        <v>332</v>
      </c>
      <c r="D356" s="14">
        <v>2</v>
      </c>
      <c r="E356" s="5" t="s">
        <v>1714</v>
      </c>
      <c r="F356" s="5" t="s">
        <v>1928</v>
      </c>
      <c r="G356" s="13">
        <v>20</v>
      </c>
      <c r="H356" s="13">
        <v>2</v>
      </c>
      <c r="I356" s="13">
        <v>1</v>
      </c>
      <c r="J356" s="13">
        <v>1</v>
      </c>
      <c r="K356" s="14">
        <f t="shared" si="10"/>
        <v>1</v>
      </c>
      <c r="L356" s="5" t="str">
        <f t="shared" si="11"/>
        <v>LOW</v>
      </c>
      <c r="M356" s="4" t="s">
        <v>1716</v>
      </c>
      <c r="N356" s="8" t="b">
        <v>0</v>
      </c>
      <c r="O356" s="6" t="s">
        <v>1717</v>
      </c>
      <c r="P356" s="6" t="s">
        <v>1929</v>
      </c>
      <c r="Q356" s="6"/>
      <c r="R356" s="9" t="b">
        <v>1</v>
      </c>
      <c r="S356" s="6" t="s">
        <v>335</v>
      </c>
      <c r="T356" s="6" t="s">
        <v>2146</v>
      </c>
      <c r="U356" s="9" t="b">
        <v>1</v>
      </c>
    </row>
    <row r="357" spans="1:21" ht="30">
      <c r="A357" s="7" t="s">
        <v>330</v>
      </c>
      <c r="B357" s="15">
        <v>46119</v>
      </c>
      <c r="C357" s="5" t="s">
        <v>332</v>
      </c>
      <c r="D357" s="14">
        <v>3</v>
      </c>
      <c r="E357" s="5" t="s">
        <v>1714</v>
      </c>
      <c r="F357" s="5" t="s">
        <v>1788</v>
      </c>
      <c r="G357" s="13">
        <v>1</v>
      </c>
      <c r="H357" s="13">
        <v>0</v>
      </c>
      <c r="I357" s="13">
        <v>2</v>
      </c>
      <c r="J357" s="13">
        <v>1</v>
      </c>
      <c r="K357" s="14">
        <f t="shared" si="10"/>
        <v>2</v>
      </c>
      <c r="L357" s="5" t="str">
        <f t="shared" si="11"/>
        <v>LOW</v>
      </c>
      <c r="M357" s="4" t="s">
        <v>1716</v>
      </c>
      <c r="N357" s="8" t="b">
        <v>0</v>
      </c>
      <c r="O357" s="6" t="s">
        <v>1717</v>
      </c>
      <c r="P357" s="6" t="s">
        <v>1789</v>
      </c>
      <c r="Q357" s="6"/>
      <c r="R357" s="9" t="b">
        <v>1</v>
      </c>
      <c r="S357" s="6" t="s">
        <v>335</v>
      </c>
      <c r="T357" s="6" t="s">
        <v>2147</v>
      </c>
      <c r="U357" s="9" t="b">
        <v>1</v>
      </c>
    </row>
    <row r="358" spans="1:21" ht="30">
      <c r="A358" s="7" t="s">
        <v>330</v>
      </c>
      <c r="B358" s="15">
        <v>46119</v>
      </c>
      <c r="C358" s="5" t="s">
        <v>332</v>
      </c>
      <c r="D358" s="14">
        <v>4</v>
      </c>
      <c r="E358" s="5" t="s">
        <v>1720</v>
      </c>
      <c r="F358" s="5" t="s">
        <v>1721</v>
      </c>
      <c r="G358" s="13">
        <v>4</v>
      </c>
      <c r="H358" s="13">
        <v>1</v>
      </c>
      <c r="I358" s="13">
        <v>1</v>
      </c>
      <c r="J358" s="13">
        <v>2</v>
      </c>
      <c r="K358" s="14">
        <f t="shared" si="10"/>
        <v>2</v>
      </c>
      <c r="L358" s="5" t="str">
        <f t="shared" si="11"/>
        <v>LOW</v>
      </c>
      <c r="M358" s="4" t="s">
        <v>1722</v>
      </c>
      <c r="N358" s="8" t="b">
        <v>0</v>
      </c>
      <c r="O358" s="6" t="s">
        <v>1723</v>
      </c>
      <c r="P358" s="6" t="s">
        <v>1724</v>
      </c>
      <c r="Q358" s="6"/>
      <c r="R358" s="9" t="b">
        <v>1</v>
      </c>
      <c r="S358" s="6" t="s">
        <v>335</v>
      </c>
      <c r="T358" s="6" t="s">
        <v>2148</v>
      </c>
      <c r="U358" s="9" t="b">
        <v>1</v>
      </c>
    </row>
    <row r="359" spans="1:21" ht="30">
      <c r="A359" s="7" t="s">
        <v>330</v>
      </c>
      <c r="B359" s="15">
        <v>46119</v>
      </c>
      <c r="C359" s="5" t="s">
        <v>332</v>
      </c>
      <c r="D359" s="14">
        <v>5</v>
      </c>
      <c r="E359" s="5" t="s">
        <v>1745</v>
      </c>
      <c r="F359" s="5" t="s">
        <v>1746</v>
      </c>
      <c r="G359" s="13">
        <v>7</v>
      </c>
      <c r="H359" s="13">
        <v>2</v>
      </c>
      <c r="I359" s="13">
        <v>1</v>
      </c>
      <c r="J359" s="13">
        <v>1</v>
      </c>
      <c r="K359" s="14">
        <f t="shared" si="10"/>
        <v>1</v>
      </c>
      <c r="L359" s="5" t="str">
        <f t="shared" si="11"/>
        <v>LOW</v>
      </c>
      <c r="M359" s="4" t="s">
        <v>1747</v>
      </c>
      <c r="N359" s="8" t="b">
        <v>0</v>
      </c>
      <c r="O359" s="6" t="s">
        <v>1748</v>
      </c>
      <c r="P359" s="6" t="s">
        <v>1749</v>
      </c>
      <c r="Q359" s="6"/>
      <c r="R359" s="9" t="b">
        <v>1</v>
      </c>
      <c r="S359" s="6" t="s">
        <v>335</v>
      </c>
      <c r="T359" s="6" t="s">
        <v>2149</v>
      </c>
      <c r="U359" s="9" t="b">
        <v>1</v>
      </c>
    </row>
    <row r="360" spans="1:21" ht="30">
      <c r="A360" s="7" t="s">
        <v>330</v>
      </c>
      <c r="B360" s="15">
        <v>46119</v>
      </c>
      <c r="C360" s="5" t="s">
        <v>332</v>
      </c>
      <c r="D360" s="14">
        <v>6</v>
      </c>
      <c r="E360" s="5" t="s">
        <v>1778</v>
      </c>
      <c r="F360" s="5" t="s">
        <v>1779</v>
      </c>
      <c r="G360" s="13">
        <v>10</v>
      </c>
      <c r="H360" s="13">
        <v>0</v>
      </c>
      <c r="I360" s="13">
        <v>2</v>
      </c>
      <c r="J360" s="13">
        <v>1</v>
      </c>
      <c r="K360" s="14">
        <f t="shared" si="10"/>
        <v>2</v>
      </c>
      <c r="L360" s="5" t="str">
        <f t="shared" si="11"/>
        <v>LOW</v>
      </c>
      <c r="M360" s="4" t="s">
        <v>1780</v>
      </c>
      <c r="N360" s="8" t="b">
        <v>0</v>
      </c>
      <c r="O360" s="6" t="s">
        <v>1781</v>
      </c>
      <c r="P360" s="6" t="s">
        <v>1782</v>
      </c>
      <c r="Q360" s="6"/>
      <c r="R360" s="9" t="b">
        <v>1</v>
      </c>
      <c r="S360" s="6" t="s">
        <v>335</v>
      </c>
      <c r="T360" s="6" t="s">
        <v>2150</v>
      </c>
      <c r="U360" s="9" t="b">
        <v>1</v>
      </c>
    </row>
    <row r="361" spans="1:21" ht="30">
      <c r="A361" s="7" t="s">
        <v>336</v>
      </c>
      <c r="B361" s="15">
        <v>46152</v>
      </c>
      <c r="C361" s="5" t="s">
        <v>338</v>
      </c>
      <c r="D361" s="14">
        <v>1</v>
      </c>
      <c r="E361" s="5" t="s">
        <v>1714</v>
      </c>
      <c r="F361" s="5" t="s">
        <v>1774</v>
      </c>
      <c r="G361" s="13">
        <v>20</v>
      </c>
      <c r="H361" s="13">
        <v>2</v>
      </c>
      <c r="I361" s="13">
        <v>2</v>
      </c>
      <c r="J361" s="13">
        <v>1</v>
      </c>
      <c r="K361" s="14">
        <f t="shared" si="10"/>
        <v>2</v>
      </c>
      <c r="L361" s="5" t="str">
        <f t="shared" si="11"/>
        <v>LOW</v>
      </c>
      <c r="M361" s="4" t="s">
        <v>1716</v>
      </c>
      <c r="N361" s="8" t="b">
        <v>0</v>
      </c>
      <c r="O361" s="6" t="s">
        <v>1717</v>
      </c>
      <c r="P361" s="6" t="s">
        <v>1775</v>
      </c>
      <c r="Q361" s="6"/>
      <c r="R361" s="9" t="b">
        <v>1</v>
      </c>
      <c r="S361" s="6" t="s">
        <v>341</v>
      </c>
      <c r="T361" s="6" t="s">
        <v>2151</v>
      </c>
      <c r="U361" s="9" t="b">
        <v>1</v>
      </c>
    </row>
    <row r="362" spans="1:21" ht="30">
      <c r="A362" s="7" t="s">
        <v>336</v>
      </c>
      <c r="B362" s="15">
        <v>46152</v>
      </c>
      <c r="C362" s="5" t="s">
        <v>338</v>
      </c>
      <c r="D362" s="14">
        <v>2</v>
      </c>
      <c r="E362" s="5" t="s">
        <v>1714</v>
      </c>
      <c r="F362" s="5" t="s">
        <v>1928</v>
      </c>
      <c r="G362" s="13">
        <v>23</v>
      </c>
      <c r="H362" s="13">
        <v>0</v>
      </c>
      <c r="I362" s="13">
        <v>1</v>
      </c>
      <c r="J362" s="13">
        <v>2</v>
      </c>
      <c r="K362" s="14">
        <f t="shared" si="10"/>
        <v>2</v>
      </c>
      <c r="L362" s="5" t="str">
        <f t="shared" si="11"/>
        <v>LOW</v>
      </c>
      <c r="M362" s="4" t="s">
        <v>1716</v>
      </c>
      <c r="N362" s="8" t="b">
        <v>0</v>
      </c>
      <c r="O362" s="6" t="s">
        <v>1717</v>
      </c>
      <c r="P362" s="6" t="s">
        <v>1929</v>
      </c>
      <c r="Q362" s="6"/>
      <c r="R362" s="9" t="b">
        <v>1</v>
      </c>
      <c r="S362" s="6" t="s">
        <v>341</v>
      </c>
      <c r="T362" s="6" t="s">
        <v>2152</v>
      </c>
      <c r="U362" s="9" t="b">
        <v>1</v>
      </c>
    </row>
    <row r="363" spans="1:21" ht="30">
      <c r="A363" s="7" t="s">
        <v>336</v>
      </c>
      <c r="B363" s="15">
        <v>46152</v>
      </c>
      <c r="C363" s="5" t="s">
        <v>338</v>
      </c>
      <c r="D363" s="14">
        <v>3</v>
      </c>
      <c r="E363" s="5" t="s">
        <v>1714</v>
      </c>
      <c r="F363" s="5" t="s">
        <v>1788</v>
      </c>
      <c r="G363" s="13">
        <v>26</v>
      </c>
      <c r="H363" s="13">
        <v>1</v>
      </c>
      <c r="I363" s="13">
        <v>1</v>
      </c>
      <c r="J363" s="13">
        <v>1</v>
      </c>
      <c r="K363" s="14">
        <f t="shared" si="10"/>
        <v>1</v>
      </c>
      <c r="L363" s="5" t="str">
        <f t="shared" si="11"/>
        <v>LOW</v>
      </c>
      <c r="M363" s="4" t="s">
        <v>1716</v>
      </c>
      <c r="N363" s="8" t="b">
        <v>0</v>
      </c>
      <c r="O363" s="6" t="s">
        <v>1717</v>
      </c>
      <c r="P363" s="6" t="s">
        <v>1789</v>
      </c>
      <c r="Q363" s="6"/>
      <c r="R363" s="9" t="b">
        <v>1</v>
      </c>
      <c r="S363" s="6" t="s">
        <v>341</v>
      </c>
      <c r="T363" s="6" t="s">
        <v>2153</v>
      </c>
      <c r="U363" s="9" t="b">
        <v>1</v>
      </c>
    </row>
    <row r="364" spans="1:21" ht="30">
      <c r="A364" s="7" t="s">
        <v>336</v>
      </c>
      <c r="B364" s="15">
        <v>46152</v>
      </c>
      <c r="C364" s="5" t="s">
        <v>338</v>
      </c>
      <c r="D364" s="14">
        <v>4</v>
      </c>
      <c r="E364" s="5" t="s">
        <v>1720</v>
      </c>
      <c r="F364" s="5" t="s">
        <v>1721</v>
      </c>
      <c r="G364" s="13">
        <v>29</v>
      </c>
      <c r="H364" s="13">
        <v>2</v>
      </c>
      <c r="I364" s="13">
        <v>2</v>
      </c>
      <c r="J364" s="13">
        <v>1</v>
      </c>
      <c r="K364" s="14">
        <f t="shared" si="10"/>
        <v>2</v>
      </c>
      <c r="L364" s="5" t="str">
        <f t="shared" si="11"/>
        <v>LOW</v>
      </c>
      <c r="M364" s="4" t="s">
        <v>1722</v>
      </c>
      <c r="N364" s="8" t="b">
        <v>0</v>
      </c>
      <c r="O364" s="6" t="s">
        <v>1723</v>
      </c>
      <c r="P364" s="6" t="s">
        <v>1724</v>
      </c>
      <c r="Q364" s="6"/>
      <c r="R364" s="9" t="b">
        <v>1</v>
      </c>
      <c r="S364" s="6" t="s">
        <v>341</v>
      </c>
      <c r="T364" s="6" t="s">
        <v>2154</v>
      </c>
      <c r="U364" s="9" t="b">
        <v>1</v>
      </c>
    </row>
    <row r="365" spans="1:21" ht="30">
      <c r="A365" s="7" t="s">
        <v>336</v>
      </c>
      <c r="B365" s="15">
        <v>46152</v>
      </c>
      <c r="C365" s="5" t="s">
        <v>338</v>
      </c>
      <c r="D365" s="14">
        <v>5</v>
      </c>
      <c r="E365" s="5" t="s">
        <v>1745</v>
      </c>
      <c r="F365" s="5" t="s">
        <v>1746</v>
      </c>
      <c r="G365" s="13">
        <v>3</v>
      </c>
      <c r="H365" s="13">
        <v>0</v>
      </c>
      <c r="I365" s="13">
        <v>1</v>
      </c>
      <c r="J365" s="13">
        <v>2</v>
      </c>
      <c r="K365" s="14">
        <f t="shared" si="10"/>
        <v>2</v>
      </c>
      <c r="L365" s="5" t="str">
        <f t="shared" si="11"/>
        <v>LOW</v>
      </c>
      <c r="M365" s="4" t="s">
        <v>1747</v>
      </c>
      <c r="N365" s="8" t="b">
        <v>0</v>
      </c>
      <c r="O365" s="6" t="s">
        <v>1748</v>
      </c>
      <c r="P365" s="6" t="s">
        <v>1749</v>
      </c>
      <c r="Q365" s="6"/>
      <c r="R365" s="9" t="b">
        <v>1</v>
      </c>
      <c r="S365" s="6" t="s">
        <v>341</v>
      </c>
      <c r="T365" s="6" t="s">
        <v>2155</v>
      </c>
      <c r="U365" s="9" t="b">
        <v>1</v>
      </c>
    </row>
    <row r="366" spans="1:21" ht="45">
      <c r="A366" s="7" t="s">
        <v>336</v>
      </c>
      <c r="B366" s="15">
        <v>46152</v>
      </c>
      <c r="C366" s="5" t="s">
        <v>338</v>
      </c>
      <c r="D366" s="14">
        <v>6</v>
      </c>
      <c r="E366" s="5" t="s">
        <v>1729</v>
      </c>
      <c r="F366" s="5" t="s">
        <v>1730</v>
      </c>
      <c r="G366" s="13">
        <v>6</v>
      </c>
      <c r="H366" s="13">
        <v>1</v>
      </c>
      <c r="I366" s="13">
        <v>1</v>
      </c>
      <c r="J366" s="13">
        <v>1</v>
      </c>
      <c r="K366" s="14">
        <f t="shared" si="10"/>
        <v>1</v>
      </c>
      <c r="L366" s="5" t="str">
        <f t="shared" si="11"/>
        <v>LOW</v>
      </c>
      <c r="M366" s="4" t="s">
        <v>1731</v>
      </c>
      <c r="N366" s="8" t="b">
        <v>0</v>
      </c>
      <c r="O366" s="6" t="s">
        <v>1732</v>
      </c>
      <c r="P366" s="6" t="s">
        <v>1733</v>
      </c>
      <c r="Q366" s="6"/>
      <c r="R366" s="9" t="b">
        <v>1</v>
      </c>
      <c r="S366" s="6" t="s">
        <v>341</v>
      </c>
      <c r="T366" s="6" t="s">
        <v>2156</v>
      </c>
      <c r="U366" s="9" t="b">
        <v>1</v>
      </c>
    </row>
    <row r="367" spans="1:21" ht="30">
      <c r="A367" s="7" t="s">
        <v>342</v>
      </c>
      <c r="B367" s="15">
        <v>46186</v>
      </c>
      <c r="C367" s="5" t="s">
        <v>344</v>
      </c>
      <c r="D367" s="14">
        <v>1</v>
      </c>
      <c r="E367" s="5" t="s">
        <v>1714</v>
      </c>
      <c r="F367" s="5" t="s">
        <v>1774</v>
      </c>
      <c r="G367" s="13">
        <v>1</v>
      </c>
      <c r="H367" s="13">
        <v>0</v>
      </c>
      <c r="I367" s="13">
        <v>1</v>
      </c>
      <c r="J367" s="13">
        <v>3</v>
      </c>
      <c r="K367" s="14">
        <f t="shared" si="10"/>
        <v>3</v>
      </c>
      <c r="L367" s="5" t="str">
        <f t="shared" si="11"/>
        <v>MEDIUM</v>
      </c>
      <c r="M367" s="4" t="s">
        <v>1716</v>
      </c>
      <c r="N367" s="8" t="b">
        <v>0</v>
      </c>
      <c r="O367" s="6" t="s">
        <v>1717</v>
      </c>
      <c r="P367" s="6" t="s">
        <v>1775</v>
      </c>
      <c r="Q367" s="6"/>
      <c r="R367" s="9" t="b">
        <v>1</v>
      </c>
      <c r="S367" s="6" t="s">
        <v>347</v>
      </c>
      <c r="T367" s="6" t="s">
        <v>2157</v>
      </c>
      <c r="U367" s="9" t="b">
        <v>1</v>
      </c>
    </row>
    <row r="368" spans="1:21" ht="30">
      <c r="A368" s="7" t="s">
        <v>342</v>
      </c>
      <c r="B368" s="15">
        <v>46186</v>
      </c>
      <c r="C368" s="5" t="s">
        <v>344</v>
      </c>
      <c r="D368" s="14">
        <v>2</v>
      </c>
      <c r="E368" s="5" t="s">
        <v>1714</v>
      </c>
      <c r="F368" s="5" t="s">
        <v>1928</v>
      </c>
      <c r="G368" s="13">
        <v>4</v>
      </c>
      <c r="H368" s="13">
        <v>1</v>
      </c>
      <c r="I368" s="13">
        <v>3</v>
      </c>
      <c r="J368" s="13">
        <v>1</v>
      </c>
      <c r="K368" s="14">
        <f t="shared" si="10"/>
        <v>3</v>
      </c>
      <c r="L368" s="5" t="str">
        <f t="shared" si="11"/>
        <v>MEDIUM</v>
      </c>
      <c r="M368" s="4" t="s">
        <v>1716</v>
      </c>
      <c r="N368" s="8" t="b">
        <v>0</v>
      </c>
      <c r="O368" s="6" t="s">
        <v>1717</v>
      </c>
      <c r="P368" s="6" t="s">
        <v>1929</v>
      </c>
      <c r="Q368" s="6"/>
      <c r="R368" s="9" t="b">
        <v>1</v>
      </c>
      <c r="S368" s="6" t="s">
        <v>347</v>
      </c>
      <c r="T368" s="6" t="s">
        <v>2158</v>
      </c>
      <c r="U368" s="9" t="b">
        <v>1</v>
      </c>
    </row>
    <row r="369" spans="1:21" ht="30">
      <c r="A369" s="7" t="s">
        <v>342</v>
      </c>
      <c r="B369" s="15">
        <v>46186</v>
      </c>
      <c r="C369" s="5" t="s">
        <v>344</v>
      </c>
      <c r="D369" s="14">
        <v>3</v>
      </c>
      <c r="E369" s="5" t="s">
        <v>1714</v>
      </c>
      <c r="F369" s="5" t="s">
        <v>1788</v>
      </c>
      <c r="G369" s="13">
        <v>7</v>
      </c>
      <c r="H369" s="13">
        <v>2</v>
      </c>
      <c r="I369" s="13">
        <v>2</v>
      </c>
      <c r="J369" s="13">
        <v>2</v>
      </c>
      <c r="K369" s="14">
        <f t="shared" si="10"/>
        <v>4</v>
      </c>
      <c r="L369" s="5" t="str">
        <f t="shared" si="11"/>
        <v>MEDIUM</v>
      </c>
      <c r="M369" s="4" t="s">
        <v>1716</v>
      </c>
      <c r="N369" s="8" t="b">
        <v>0</v>
      </c>
      <c r="O369" s="6" t="s">
        <v>1717</v>
      </c>
      <c r="P369" s="6" t="s">
        <v>1789</v>
      </c>
      <c r="Q369" s="6"/>
      <c r="R369" s="9" t="b">
        <v>1</v>
      </c>
      <c r="S369" s="6" t="s">
        <v>347</v>
      </c>
      <c r="T369" s="6" t="s">
        <v>2159</v>
      </c>
      <c r="U369" s="9" t="b">
        <v>1</v>
      </c>
    </row>
    <row r="370" spans="1:21" ht="30">
      <c r="A370" s="7" t="s">
        <v>342</v>
      </c>
      <c r="B370" s="15">
        <v>46186</v>
      </c>
      <c r="C370" s="5" t="s">
        <v>344</v>
      </c>
      <c r="D370" s="14">
        <v>4</v>
      </c>
      <c r="E370" s="5" t="s">
        <v>1720</v>
      </c>
      <c r="F370" s="5" t="s">
        <v>1721</v>
      </c>
      <c r="G370" s="13">
        <v>10</v>
      </c>
      <c r="H370" s="13">
        <v>0</v>
      </c>
      <c r="I370" s="13">
        <v>1</v>
      </c>
      <c r="J370" s="13">
        <v>3</v>
      </c>
      <c r="K370" s="14">
        <f t="shared" si="10"/>
        <v>3</v>
      </c>
      <c r="L370" s="5" t="str">
        <f t="shared" si="11"/>
        <v>MEDIUM</v>
      </c>
      <c r="M370" s="4" t="s">
        <v>1722</v>
      </c>
      <c r="N370" s="8" t="b">
        <v>0</v>
      </c>
      <c r="O370" s="6" t="s">
        <v>1723</v>
      </c>
      <c r="P370" s="6" t="s">
        <v>1724</v>
      </c>
      <c r="Q370" s="6"/>
      <c r="R370" s="9" t="b">
        <v>1</v>
      </c>
      <c r="S370" s="6" t="s">
        <v>347</v>
      </c>
      <c r="T370" s="6" t="s">
        <v>2160</v>
      </c>
      <c r="U370" s="9" t="b">
        <v>1</v>
      </c>
    </row>
    <row r="371" spans="1:21" ht="30">
      <c r="A371" s="7" t="s">
        <v>342</v>
      </c>
      <c r="B371" s="15">
        <v>46186</v>
      </c>
      <c r="C371" s="5" t="s">
        <v>344</v>
      </c>
      <c r="D371" s="14">
        <v>5</v>
      </c>
      <c r="E371" s="5" t="s">
        <v>1745</v>
      </c>
      <c r="F371" s="5" t="s">
        <v>1746</v>
      </c>
      <c r="G371" s="13">
        <v>13</v>
      </c>
      <c r="H371" s="13">
        <v>1</v>
      </c>
      <c r="I371" s="13">
        <v>3</v>
      </c>
      <c r="J371" s="13">
        <v>1</v>
      </c>
      <c r="K371" s="14">
        <f t="shared" si="10"/>
        <v>3</v>
      </c>
      <c r="L371" s="5" t="str">
        <f t="shared" si="11"/>
        <v>MEDIUM</v>
      </c>
      <c r="M371" s="4" t="s">
        <v>1747</v>
      </c>
      <c r="N371" s="8" t="b">
        <v>0</v>
      </c>
      <c r="O371" s="6" t="s">
        <v>1748</v>
      </c>
      <c r="P371" s="6" t="s">
        <v>1749</v>
      </c>
      <c r="Q371" s="6"/>
      <c r="R371" s="9" t="b">
        <v>1</v>
      </c>
      <c r="S371" s="6" t="s">
        <v>347</v>
      </c>
      <c r="T371" s="6" t="s">
        <v>2161</v>
      </c>
      <c r="U371" s="9" t="b">
        <v>1</v>
      </c>
    </row>
    <row r="372" spans="1:21" ht="30">
      <c r="A372" s="7" t="s">
        <v>342</v>
      </c>
      <c r="B372" s="15">
        <v>46186</v>
      </c>
      <c r="C372" s="5" t="s">
        <v>344</v>
      </c>
      <c r="D372" s="14">
        <v>6</v>
      </c>
      <c r="E372" s="5" t="s">
        <v>1778</v>
      </c>
      <c r="F372" s="5" t="s">
        <v>1804</v>
      </c>
      <c r="G372" s="13">
        <v>16</v>
      </c>
      <c r="H372" s="13">
        <v>2</v>
      </c>
      <c r="I372" s="13">
        <v>2</v>
      </c>
      <c r="J372" s="13">
        <v>2</v>
      </c>
      <c r="K372" s="14">
        <f t="shared" si="10"/>
        <v>4</v>
      </c>
      <c r="L372" s="5" t="str">
        <f t="shared" si="11"/>
        <v>MEDIUM</v>
      </c>
      <c r="M372" s="4" t="s">
        <v>1780</v>
      </c>
      <c r="N372" s="8" t="b">
        <v>0</v>
      </c>
      <c r="O372" s="6" t="s">
        <v>1781</v>
      </c>
      <c r="P372" s="6" t="s">
        <v>1805</v>
      </c>
      <c r="Q372" s="6"/>
      <c r="R372" s="9" t="b">
        <v>1</v>
      </c>
      <c r="S372" s="6" t="s">
        <v>347</v>
      </c>
      <c r="T372" s="6" t="s">
        <v>2162</v>
      </c>
      <c r="U372" s="9" t="b">
        <v>1</v>
      </c>
    </row>
    <row r="373" spans="1:21" ht="30">
      <c r="A373" s="7" t="s">
        <v>348</v>
      </c>
      <c r="B373" s="15">
        <v>46038</v>
      </c>
      <c r="C373" s="5" t="s">
        <v>350</v>
      </c>
      <c r="D373" s="14">
        <v>1</v>
      </c>
      <c r="E373" s="5" t="s">
        <v>1714</v>
      </c>
      <c r="F373" s="5" t="s">
        <v>1774</v>
      </c>
      <c r="G373" s="13">
        <v>25</v>
      </c>
      <c r="H373" s="13">
        <v>1</v>
      </c>
      <c r="I373" s="13">
        <v>1</v>
      </c>
      <c r="J373" s="13">
        <v>2</v>
      </c>
      <c r="K373" s="14">
        <f t="shared" si="10"/>
        <v>2</v>
      </c>
      <c r="L373" s="5" t="str">
        <f t="shared" si="11"/>
        <v>LOW</v>
      </c>
      <c r="M373" s="4" t="s">
        <v>1716</v>
      </c>
      <c r="N373" s="8" t="b">
        <v>0</v>
      </c>
      <c r="O373" s="6" t="s">
        <v>1717</v>
      </c>
      <c r="P373" s="6" t="s">
        <v>1775</v>
      </c>
      <c r="Q373" s="6"/>
      <c r="R373" s="9" t="b">
        <v>1</v>
      </c>
      <c r="S373" s="6" t="s">
        <v>353</v>
      </c>
      <c r="T373" s="6" t="s">
        <v>2163</v>
      </c>
      <c r="U373" s="9" t="b">
        <v>1</v>
      </c>
    </row>
    <row r="374" spans="1:21" ht="30">
      <c r="A374" s="7" t="s">
        <v>348</v>
      </c>
      <c r="B374" s="15">
        <v>46038</v>
      </c>
      <c r="C374" s="5" t="s">
        <v>350</v>
      </c>
      <c r="D374" s="14">
        <v>2</v>
      </c>
      <c r="E374" s="5" t="s">
        <v>1714</v>
      </c>
      <c r="F374" s="5" t="s">
        <v>1928</v>
      </c>
      <c r="G374" s="13">
        <v>28</v>
      </c>
      <c r="H374" s="13">
        <v>2</v>
      </c>
      <c r="I374" s="13">
        <v>1</v>
      </c>
      <c r="J374" s="13">
        <v>1</v>
      </c>
      <c r="K374" s="14">
        <f t="shared" si="10"/>
        <v>1</v>
      </c>
      <c r="L374" s="5" t="str">
        <f t="shared" si="11"/>
        <v>LOW</v>
      </c>
      <c r="M374" s="4" t="s">
        <v>1716</v>
      </c>
      <c r="N374" s="8" t="b">
        <v>0</v>
      </c>
      <c r="O374" s="6" t="s">
        <v>1717</v>
      </c>
      <c r="P374" s="6" t="s">
        <v>1929</v>
      </c>
      <c r="Q374" s="6"/>
      <c r="R374" s="9" t="b">
        <v>1</v>
      </c>
      <c r="S374" s="6" t="s">
        <v>353</v>
      </c>
      <c r="T374" s="6" t="s">
        <v>2164</v>
      </c>
      <c r="U374" s="9" t="b">
        <v>1</v>
      </c>
    </row>
    <row r="375" spans="1:21" ht="30">
      <c r="A375" s="7" t="s">
        <v>348</v>
      </c>
      <c r="B375" s="15">
        <v>46038</v>
      </c>
      <c r="C375" s="5" t="s">
        <v>350</v>
      </c>
      <c r="D375" s="14">
        <v>3</v>
      </c>
      <c r="E375" s="5" t="s">
        <v>1714</v>
      </c>
      <c r="F375" s="5" t="s">
        <v>1788</v>
      </c>
      <c r="G375" s="13">
        <v>31</v>
      </c>
      <c r="H375" s="13">
        <v>0</v>
      </c>
      <c r="I375" s="13">
        <v>2</v>
      </c>
      <c r="J375" s="13">
        <v>1</v>
      </c>
      <c r="K375" s="14">
        <f t="shared" si="10"/>
        <v>2</v>
      </c>
      <c r="L375" s="5" t="str">
        <f t="shared" si="11"/>
        <v>LOW</v>
      </c>
      <c r="M375" s="4" t="s">
        <v>1716</v>
      </c>
      <c r="N375" s="8" t="b">
        <v>0</v>
      </c>
      <c r="O375" s="6" t="s">
        <v>1717</v>
      </c>
      <c r="P375" s="6" t="s">
        <v>1789</v>
      </c>
      <c r="Q375" s="6"/>
      <c r="R375" s="9" t="b">
        <v>1</v>
      </c>
      <c r="S375" s="6" t="s">
        <v>353</v>
      </c>
      <c r="T375" s="6" t="s">
        <v>2165</v>
      </c>
      <c r="U375" s="9" t="b">
        <v>1</v>
      </c>
    </row>
    <row r="376" spans="1:21" ht="30">
      <c r="A376" s="7" t="s">
        <v>348</v>
      </c>
      <c r="B376" s="15">
        <v>46038</v>
      </c>
      <c r="C376" s="5" t="s">
        <v>350</v>
      </c>
      <c r="D376" s="14">
        <v>4</v>
      </c>
      <c r="E376" s="5" t="s">
        <v>1720</v>
      </c>
      <c r="F376" s="5" t="s">
        <v>1721</v>
      </c>
      <c r="G376" s="13">
        <v>34</v>
      </c>
      <c r="H376" s="13">
        <v>1</v>
      </c>
      <c r="I376" s="13">
        <v>1</v>
      </c>
      <c r="J376" s="13">
        <v>2</v>
      </c>
      <c r="K376" s="14">
        <f t="shared" si="10"/>
        <v>2</v>
      </c>
      <c r="L376" s="5" t="str">
        <f t="shared" si="11"/>
        <v>LOW</v>
      </c>
      <c r="M376" s="4" t="s">
        <v>1722</v>
      </c>
      <c r="N376" s="8" t="b">
        <v>0</v>
      </c>
      <c r="O376" s="6" t="s">
        <v>1723</v>
      </c>
      <c r="P376" s="6" t="s">
        <v>1724</v>
      </c>
      <c r="Q376" s="6"/>
      <c r="R376" s="9" t="b">
        <v>1</v>
      </c>
      <c r="S376" s="6" t="s">
        <v>353</v>
      </c>
      <c r="T376" s="6" t="s">
        <v>2166</v>
      </c>
      <c r="U376" s="9" t="b">
        <v>1</v>
      </c>
    </row>
    <row r="377" spans="1:21" ht="30">
      <c r="A377" s="7" t="s">
        <v>348</v>
      </c>
      <c r="B377" s="15">
        <v>46038</v>
      </c>
      <c r="C377" s="5" t="s">
        <v>350</v>
      </c>
      <c r="D377" s="14">
        <v>5</v>
      </c>
      <c r="E377" s="5" t="s">
        <v>1745</v>
      </c>
      <c r="F377" s="5" t="s">
        <v>1746</v>
      </c>
      <c r="G377" s="13">
        <v>37</v>
      </c>
      <c r="H377" s="13">
        <v>2</v>
      </c>
      <c r="I377" s="13">
        <v>1</v>
      </c>
      <c r="J377" s="13">
        <v>1</v>
      </c>
      <c r="K377" s="14">
        <f t="shared" si="10"/>
        <v>1</v>
      </c>
      <c r="L377" s="5" t="str">
        <f t="shared" si="11"/>
        <v>LOW</v>
      </c>
      <c r="M377" s="4" t="s">
        <v>1747</v>
      </c>
      <c r="N377" s="8" t="b">
        <v>0</v>
      </c>
      <c r="O377" s="6" t="s">
        <v>1748</v>
      </c>
      <c r="P377" s="6" t="s">
        <v>1749</v>
      </c>
      <c r="Q377" s="6"/>
      <c r="R377" s="9" t="b">
        <v>1</v>
      </c>
      <c r="S377" s="6" t="s">
        <v>353</v>
      </c>
      <c r="T377" s="6" t="s">
        <v>2167</v>
      </c>
      <c r="U377" s="9" t="b">
        <v>1</v>
      </c>
    </row>
    <row r="378" spans="1:21" ht="30">
      <c r="A378" s="7" t="s">
        <v>348</v>
      </c>
      <c r="B378" s="15">
        <v>46038</v>
      </c>
      <c r="C378" s="5" t="s">
        <v>350</v>
      </c>
      <c r="D378" s="14">
        <v>6</v>
      </c>
      <c r="E378" s="5" t="s">
        <v>1708</v>
      </c>
      <c r="F378" s="5" t="s">
        <v>1735</v>
      </c>
      <c r="G378" s="13">
        <v>40</v>
      </c>
      <c r="H378" s="13">
        <v>0</v>
      </c>
      <c r="I378" s="13">
        <v>2</v>
      </c>
      <c r="J378" s="13">
        <v>1</v>
      </c>
      <c r="K378" s="14">
        <f t="shared" si="10"/>
        <v>2</v>
      </c>
      <c r="L378" s="5" t="str">
        <f t="shared" si="11"/>
        <v>LOW</v>
      </c>
      <c r="M378" s="4" t="s">
        <v>1710</v>
      </c>
      <c r="N378" s="8" t="b">
        <v>0</v>
      </c>
      <c r="O378" s="6" t="s">
        <v>1711</v>
      </c>
      <c r="P378" s="6" t="s">
        <v>1736</v>
      </c>
      <c r="Q378" s="6"/>
      <c r="R378" s="9" t="b">
        <v>1</v>
      </c>
      <c r="S378" s="6" t="s">
        <v>353</v>
      </c>
      <c r="T378" s="6" t="s">
        <v>2168</v>
      </c>
      <c r="U378" s="9" t="b">
        <v>1</v>
      </c>
    </row>
    <row r="379" spans="1:21" ht="30">
      <c r="A379" s="7" t="s">
        <v>354</v>
      </c>
      <c r="B379" s="15">
        <v>46072</v>
      </c>
      <c r="C379" s="5" t="s">
        <v>356</v>
      </c>
      <c r="D379" s="14">
        <v>1</v>
      </c>
      <c r="E379" s="5" t="s">
        <v>1714</v>
      </c>
      <c r="F379" s="5" t="s">
        <v>1774</v>
      </c>
      <c r="G379" s="13">
        <v>13</v>
      </c>
      <c r="H379" s="13">
        <v>2</v>
      </c>
      <c r="I379" s="13">
        <v>2</v>
      </c>
      <c r="J379" s="13">
        <v>1</v>
      </c>
      <c r="K379" s="14">
        <f t="shared" si="10"/>
        <v>2</v>
      </c>
      <c r="L379" s="5" t="str">
        <f t="shared" si="11"/>
        <v>LOW</v>
      </c>
      <c r="M379" s="4" t="s">
        <v>1716</v>
      </c>
      <c r="N379" s="8" t="b">
        <v>0</v>
      </c>
      <c r="O379" s="6" t="s">
        <v>1717</v>
      </c>
      <c r="P379" s="6" t="s">
        <v>1775</v>
      </c>
      <c r="Q379" s="6"/>
      <c r="R379" s="9" t="b">
        <v>1</v>
      </c>
      <c r="S379" s="6" t="s">
        <v>359</v>
      </c>
      <c r="T379" s="6" t="s">
        <v>2169</v>
      </c>
      <c r="U379" s="9" t="b">
        <v>1</v>
      </c>
    </row>
    <row r="380" spans="1:21" ht="30">
      <c r="A380" s="7" t="s">
        <v>354</v>
      </c>
      <c r="B380" s="15">
        <v>46072</v>
      </c>
      <c r="C380" s="5" t="s">
        <v>356</v>
      </c>
      <c r="D380" s="14">
        <v>2</v>
      </c>
      <c r="E380" s="5" t="s">
        <v>1714</v>
      </c>
      <c r="F380" s="5" t="s">
        <v>1928</v>
      </c>
      <c r="G380" s="13">
        <v>16</v>
      </c>
      <c r="H380" s="13">
        <v>0</v>
      </c>
      <c r="I380" s="13">
        <v>1</v>
      </c>
      <c r="J380" s="13">
        <v>2</v>
      </c>
      <c r="K380" s="14">
        <f t="shared" si="10"/>
        <v>2</v>
      </c>
      <c r="L380" s="5" t="str">
        <f t="shared" si="11"/>
        <v>LOW</v>
      </c>
      <c r="M380" s="4" t="s">
        <v>1716</v>
      </c>
      <c r="N380" s="8" t="b">
        <v>0</v>
      </c>
      <c r="O380" s="6" t="s">
        <v>1717</v>
      </c>
      <c r="P380" s="6" t="s">
        <v>1929</v>
      </c>
      <c r="Q380" s="6"/>
      <c r="R380" s="9" t="b">
        <v>1</v>
      </c>
      <c r="S380" s="6" t="s">
        <v>359</v>
      </c>
      <c r="T380" s="6" t="s">
        <v>2170</v>
      </c>
      <c r="U380" s="9" t="b">
        <v>1</v>
      </c>
    </row>
    <row r="381" spans="1:21" ht="30">
      <c r="A381" s="7" t="s">
        <v>354</v>
      </c>
      <c r="B381" s="15">
        <v>46072</v>
      </c>
      <c r="C381" s="5" t="s">
        <v>356</v>
      </c>
      <c r="D381" s="14">
        <v>3</v>
      </c>
      <c r="E381" s="5" t="s">
        <v>1714</v>
      </c>
      <c r="F381" s="5" t="s">
        <v>1788</v>
      </c>
      <c r="G381" s="13">
        <v>19</v>
      </c>
      <c r="H381" s="13">
        <v>1</v>
      </c>
      <c r="I381" s="13">
        <v>1</v>
      </c>
      <c r="J381" s="13">
        <v>1</v>
      </c>
      <c r="K381" s="14">
        <f t="shared" si="10"/>
        <v>1</v>
      </c>
      <c r="L381" s="5" t="str">
        <f t="shared" si="11"/>
        <v>LOW</v>
      </c>
      <c r="M381" s="4" t="s">
        <v>1716</v>
      </c>
      <c r="N381" s="8" t="b">
        <v>0</v>
      </c>
      <c r="O381" s="6" t="s">
        <v>1717</v>
      </c>
      <c r="P381" s="6" t="s">
        <v>1789</v>
      </c>
      <c r="Q381" s="6"/>
      <c r="R381" s="9" t="b">
        <v>1</v>
      </c>
      <c r="S381" s="6" t="s">
        <v>359</v>
      </c>
      <c r="T381" s="6" t="s">
        <v>2171</v>
      </c>
      <c r="U381" s="9" t="b">
        <v>1</v>
      </c>
    </row>
    <row r="382" spans="1:21" ht="30">
      <c r="A382" s="7" t="s">
        <v>354</v>
      </c>
      <c r="B382" s="15">
        <v>46072</v>
      </c>
      <c r="C382" s="5" t="s">
        <v>356</v>
      </c>
      <c r="D382" s="14">
        <v>4</v>
      </c>
      <c r="E382" s="5" t="s">
        <v>1720</v>
      </c>
      <c r="F382" s="5" t="s">
        <v>1721</v>
      </c>
      <c r="G382" s="13">
        <v>22</v>
      </c>
      <c r="H382" s="13">
        <v>2</v>
      </c>
      <c r="I382" s="13">
        <v>2</v>
      </c>
      <c r="J382" s="13">
        <v>1</v>
      </c>
      <c r="K382" s="14">
        <f t="shared" si="10"/>
        <v>2</v>
      </c>
      <c r="L382" s="5" t="str">
        <f t="shared" si="11"/>
        <v>LOW</v>
      </c>
      <c r="M382" s="4" t="s">
        <v>1722</v>
      </c>
      <c r="N382" s="8" t="b">
        <v>0</v>
      </c>
      <c r="O382" s="6" t="s">
        <v>1723</v>
      </c>
      <c r="P382" s="6" t="s">
        <v>1724</v>
      </c>
      <c r="Q382" s="6"/>
      <c r="R382" s="9" t="b">
        <v>1</v>
      </c>
      <c r="S382" s="6" t="s">
        <v>359</v>
      </c>
      <c r="T382" s="6" t="s">
        <v>2172</v>
      </c>
      <c r="U382" s="9" t="b">
        <v>1</v>
      </c>
    </row>
    <row r="383" spans="1:21" ht="30">
      <c r="A383" s="7" t="s">
        <v>354</v>
      </c>
      <c r="B383" s="15">
        <v>46072</v>
      </c>
      <c r="C383" s="5" t="s">
        <v>356</v>
      </c>
      <c r="D383" s="14">
        <v>5</v>
      </c>
      <c r="E383" s="5" t="s">
        <v>1745</v>
      </c>
      <c r="F383" s="5" t="s">
        <v>1746</v>
      </c>
      <c r="G383" s="13">
        <v>25</v>
      </c>
      <c r="H383" s="13">
        <v>0</v>
      </c>
      <c r="I383" s="13">
        <v>1</v>
      </c>
      <c r="J383" s="13">
        <v>2</v>
      </c>
      <c r="K383" s="14">
        <f t="shared" si="10"/>
        <v>2</v>
      </c>
      <c r="L383" s="5" t="str">
        <f t="shared" si="11"/>
        <v>LOW</v>
      </c>
      <c r="M383" s="4" t="s">
        <v>1747</v>
      </c>
      <c r="N383" s="8" t="b">
        <v>0</v>
      </c>
      <c r="O383" s="6" t="s">
        <v>1748</v>
      </c>
      <c r="P383" s="6" t="s">
        <v>1749</v>
      </c>
      <c r="Q383" s="6"/>
      <c r="R383" s="9" t="b">
        <v>1</v>
      </c>
      <c r="S383" s="6" t="s">
        <v>359</v>
      </c>
      <c r="T383" s="6" t="s">
        <v>2173</v>
      </c>
      <c r="U383" s="9" t="b">
        <v>1</v>
      </c>
    </row>
    <row r="384" spans="1:21" ht="30">
      <c r="A384" s="7" t="s">
        <v>360</v>
      </c>
      <c r="B384" s="15">
        <v>46103</v>
      </c>
      <c r="C384" s="5" t="s">
        <v>362</v>
      </c>
      <c r="D384" s="14">
        <v>1</v>
      </c>
      <c r="E384" s="5" t="s">
        <v>1714</v>
      </c>
      <c r="F384" s="5" t="s">
        <v>1715</v>
      </c>
      <c r="G384" s="13">
        <v>1</v>
      </c>
      <c r="H384" s="13">
        <v>6</v>
      </c>
      <c r="I384" s="13">
        <v>1</v>
      </c>
      <c r="J384" s="13">
        <v>3</v>
      </c>
      <c r="K384" s="14">
        <f t="shared" si="10"/>
        <v>3</v>
      </c>
      <c r="L384" s="5" t="str">
        <f t="shared" si="11"/>
        <v>MEDIUM</v>
      </c>
      <c r="M384" s="4" t="s">
        <v>1716</v>
      </c>
      <c r="N384" s="8" t="b">
        <v>0</v>
      </c>
      <c r="O384" s="6" t="s">
        <v>1717</v>
      </c>
      <c r="P384" s="6" t="s">
        <v>1718</v>
      </c>
      <c r="Q384" s="6"/>
      <c r="R384" s="9" t="b">
        <v>1</v>
      </c>
      <c r="S384" s="6" t="s">
        <v>365</v>
      </c>
      <c r="T384" s="6" t="s">
        <v>2174</v>
      </c>
      <c r="U384" s="9" t="b">
        <v>1</v>
      </c>
    </row>
    <row r="385" spans="1:21" ht="30">
      <c r="A385" s="7" t="s">
        <v>360</v>
      </c>
      <c r="B385" s="15">
        <v>46103</v>
      </c>
      <c r="C385" s="5" t="s">
        <v>362</v>
      </c>
      <c r="D385" s="14">
        <v>2</v>
      </c>
      <c r="E385" s="5" t="s">
        <v>1714</v>
      </c>
      <c r="F385" s="5" t="s">
        <v>1855</v>
      </c>
      <c r="G385" s="13">
        <v>4</v>
      </c>
      <c r="H385" s="13">
        <v>13</v>
      </c>
      <c r="I385" s="13">
        <v>3</v>
      </c>
      <c r="J385" s="13">
        <v>1</v>
      </c>
      <c r="K385" s="14">
        <f t="shared" si="10"/>
        <v>3</v>
      </c>
      <c r="L385" s="5" t="str">
        <f t="shared" si="11"/>
        <v>MEDIUM</v>
      </c>
      <c r="M385" s="4" t="s">
        <v>1716</v>
      </c>
      <c r="N385" s="8" t="b">
        <v>0</v>
      </c>
      <c r="O385" s="6" t="s">
        <v>1717</v>
      </c>
      <c r="P385" s="6" t="s">
        <v>1856</v>
      </c>
      <c r="Q385" s="6"/>
      <c r="R385" s="9" t="b">
        <v>1</v>
      </c>
      <c r="S385" s="6" t="s">
        <v>365</v>
      </c>
      <c r="T385" s="6" t="s">
        <v>2175</v>
      </c>
      <c r="U385" s="9" t="b">
        <v>1</v>
      </c>
    </row>
    <row r="386" spans="1:21" ht="30">
      <c r="A386" s="7" t="s">
        <v>360</v>
      </c>
      <c r="B386" s="15">
        <v>46103</v>
      </c>
      <c r="C386" s="5" t="s">
        <v>362</v>
      </c>
      <c r="D386" s="14">
        <v>3</v>
      </c>
      <c r="E386" s="5" t="s">
        <v>1714</v>
      </c>
      <c r="F386" s="5" t="s">
        <v>1771</v>
      </c>
      <c r="G386" s="13">
        <v>7</v>
      </c>
      <c r="H386" s="13">
        <v>20</v>
      </c>
      <c r="I386" s="13">
        <v>2</v>
      </c>
      <c r="J386" s="13">
        <v>2</v>
      </c>
      <c r="K386" s="14">
        <f t="shared" si="10"/>
        <v>4</v>
      </c>
      <c r="L386" s="5" t="str">
        <f t="shared" si="11"/>
        <v>MEDIUM</v>
      </c>
      <c r="M386" s="4" t="s">
        <v>1716</v>
      </c>
      <c r="N386" s="8" t="b">
        <v>0</v>
      </c>
      <c r="O386" s="6" t="s">
        <v>1717</v>
      </c>
      <c r="P386" s="6" t="s">
        <v>1772</v>
      </c>
      <c r="Q386" s="6"/>
      <c r="R386" s="9" t="b">
        <v>1</v>
      </c>
      <c r="S386" s="6" t="s">
        <v>365</v>
      </c>
      <c r="T386" s="6" t="s">
        <v>2176</v>
      </c>
      <c r="U386" s="9" t="b">
        <v>1</v>
      </c>
    </row>
    <row r="387" spans="1:21" ht="30">
      <c r="A387" s="7" t="s">
        <v>360</v>
      </c>
      <c r="B387" s="15">
        <v>46103</v>
      </c>
      <c r="C387" s="5" t="s">
        <v>362</v>
      </c>
      <c r="D387" s="14">
        <v>4</v>
      </c>
      <c r="E387" s="5" t="s">
        <v>1714</v>
      </c>
      <c r="F387" s="5" t="s">
        <v>1788</v>
      </c>
      <c r="G387" s="13">
        <v>10</v>
      </c>
      <c r="H387" s="13">
        <v>27</v>
      </c>
      <c r="I387" s="13">
        <v>1</v>
      </c>
      <c r="J387" s="13">
        <v>3</v>
      </c>
      <c r="K387" s="14">
        <f t="shared" si="10"/>
        <v>3</v>
      </c>
      <c r="L387" s="5" t="str">
        <f t="shared" si="11"/>
        <v>MEDIUM</v>
      </c>
      <c r="M387" s="4" t="s">
        <v>1716</v>
      </c>
      <c r="N387" s="8" t="b">
        <v>0</v>
      </c>
      <c r="O387" s="6" t="s">
        <v>1717</v>
      </c>
      <c r="P387" s="6" t="s">
        <v>1789</v>
      </c>
      <c r="Q387" s="6"/>
      <c r="R387" s="9" t="b">
        <v>1</v>
      </c>
      <c r="S387" s="6" t="s">
        <v>365</v>
      </c>
      <c r="T387" s="6" t="s">
        <v>2177</v>
      </c>
      <c r="U387" s="9" t="b">
        <v>1</v>
      </c>
    </row>
    <row r="388" spans="1:21" ht="45">
      <c r="A388" s="7" t="s">
        <v>360</v>
      </c>
      <c r="B388" s="15">
        <v>46103</v>
      </c>
      <c r="C388" s="5" t="s">
        <v>362</v>
      </c>
      <c r="D388" s="14">
        <v>5</v>
      </c>
      <c r="E388" s="5" t="s">
        <v>1729</v>
      </c>
      <c r="F388" s="5" t="s">
        <v>1730</v>
      </c>
      <c r="G388" s="13">
        <v>13</v>
      </c>
      <c r="H388" s="13">
        <v>3</v>
      </c>
      <c r="I388" s="13">
        <v>3</v>
      </c>
      <c r="J388" s="13">
        <v>1</v>
      </c>
      <c r="K388" s="14">
        <f t="shared" ref="K388:K451" si="12">IF(AND(R388=TRUE,U388=TRUE,ISNUMBER(I388),I388=INT(I388),I388&gt;=1,I388&lt;=3,ISNUMBER(J388),J388=INT(J388),J388&gt;=1,J388&lt;=3),I388*J388,"")</f>
        <v>3</v>
      </c>
      <c r="L388" s="5" t="str">
        <f t="shared" ref="L388:L451" si="13">IF(K388="","",IF(K388&lt;=2,"LOW",IF(K388&lt;=4,"MEDIUM","HIGH")))</f>
        <v>MEDIUM</v>
      </c>
      <c r="M388" s="4" t="s">
        <v>1731</v>
      </c>
      <c r="N388" s="8" t="b">
        <v>0</v>
      </c>
      <c r="O388" s="6" t="s">
        <v>1732</v>
      </c>
      <c r="P388" s="6" t="s">
        <v>1733</v>
      </c>
      <c r="Q388" s="6"/>
      <c r="R388" s="9" t="b">
        <v>1</v>
      </c>
      <c r="S388" s="6" t="s">
        <v>365</v>
      </c>
      <c r="T388" s="6" t="s">
        <v>2178</v>
      </c>
      <c r="U388" s="9" t="b">
        <v>1</v>
      </c>
    </row>
    <row r="389" spans="1:21" ht="30">
      <c r="A389" s="7" t="s">
        <v>360</v>
      </c>
      <c r="B389" s="15">
        <v>46103</v>
      </c>
      <c r="C389" s="5" t="s">
        <v>362</v>
      </c>
      <c r="D389" s="14">
        <v>6</v>
      </c>
      <c r="E389" s="5" t="s">
        <v>1708</v>
      </c>
      <c r="F389" s="5" t="s">
        <v>1757</v>
      </c>
      <c r="G389" s="13">
        <v>16</v>
      </c>
      <c r="H389" s="13">
        <v>10</v>
      </c>
      <c r="I389" s="13">
        <v>2</v>
      </c>
      <c r="J389" s="13">
        <v>2</v>
      </c>
      <c r="K389" s="14">
        <f t="shared" si="12"/>
        <v>4</v>
      </c>
      <c r="L389" s="5" t="str">
        <f t="shared" si="13"/>
        <v>MEDIUM</v>
      </c>
      <c r="M389" s="4" t="s">
        <v>1710</v>
      </c>
      <c r="N389" s="8" t="b">
        <v>0</v>
      </c>
      <c r="O389" s="6" t="s">
        <v>1711</v>
      </c>
      <c r="P389" s="6" t="s">
        <v>1758</v>
      </c>
      <c r="Q389" s="6"/>
      <c r="R389" s="9" t="b">
        <v>1</v>
      </c>
      <c r="S389" s="6" t="s">
        <v>365</v>
      </c>
      <c r="T389" s="6" t="s">
        <v>2179</v>
      </c>
      <c r="U389" s="9" t="b">
        <v>1</v>
      </c>
    </row>
    <row r="390" spans="1:21" ht="30">
      <c r="A390" s="7" t="s">
        <v>360</v>
      </c>
      <c r="B390" s="15">
        <v>46103</v>
      </c>
      <c r="C390" s="5" t="s">
        <v>362</v>
      </c>
      <c r="D390" s="14">
        <v>7</v>
      </c>
      <c r="E390" s="5" t="s">
        <v>1720</v>
      </c>
      <c r="F390" s="5" t="s">
        <v>1726</v>
      </c>
      <c r="G390" s="13">
        <v>19</v>
      </c>
      <c r="H390" s="13">
        <v>17</v>
      </c>
      <c r="I390" s="13">
        <v>1</v>
      </c>
      <c r="J390" s="13">
        <v>3</v>
      </c>
      <c r="K390" s="14">
        <f t="shared" si="12"/>
        <v>3</v>
      </c>
      <c r="L390" s="5" t="str">
        <f t="shared" si="13"/>
        <v>MEDIUM</v>
      </c>
      <c r="M390" s="4" t="s">
        <v>1722</v>
      </c>
      <c r="N390" s="8" t="b">
        <v>0</v>
      </c>
      <c r="O390" s="6" t="s">
        <v>1723</v>
      </c>
      <c r="P390" s="6" t="s">
        <v>1727</v>
      </c>
      <c r="Q390" s="6"/>
      <c r="R390" s="9" t="b">
        <v>1</v>
      </c>
      <c r="S390" s="6" t="s">
        <v>365</v>
      </c>
      <c r="T390" s="6" t="s">
        <v>2180</v>
      </c>
      <c r="U390" s="9" t="b">
        <v>1</v>
      </c>
    </row>
    <row r="391" spans="1:21" ht="45">
      <c r="A391" s="7" t="s">
        <v>366</v>
      </c>
      <c r="B391" s="15">
        <v>46137</v>
      </c>
      <c r="C391" s="5" t="s">
        <v>368</v>
      </c>
      <c r="D391" s="14">
        <v>1</v>
      </c>
      <c r="E391" s="5" t="s">
        <v>1729</v>
      </c>
      <c r="F391" s="5" t="s">
        <v>2021</v>
      </c>
      <c r="G391" s="13">
        <v>3</v>
      </c>
      <c r="H391" s="13">
        <v>1</v>
      </c>
      <c r="I391" s="13">
        <v>3</v>
      </c>
      <c r="J391" s="13">
        <v>2</v>
      </c>
      <c r="K391" s="14">
        <f t="shared" si="12"/>
        <v>6</v>
      </c>
      <c r="L391" s="5" t="str">
        <f t="shared" si="13"/>
        <v>HIGH</v>
      </c>
      <c r="M391" s="4" t="s">
        <v>1731</v>
      </c>
      <c r="N391" s="8" t="b">
        <v>0</v>
      </c>
      <c r="O391" s="6" t="s">
        <v>1732</v>
      </c>
      <c r="P391" s="6" t="s">
        <v>2022</v>
      </c>
      <c r="Q391" s="6"/>
      <c r="R391" s="9" t="b">
        <v>1</v>
      </c>
      <c r="S391" s="6" t="s">
        <v>371</v>
      </c>
      <c r="T391" s="6" t="s">
        <v>2181</v>
      </c>
      <c r="U391" s="9" t="b">
        <v>1</v>
      </c>
    </row>
    <row r="392" spans="1:21" ht="30">
      <c r="A392" s="7" t="s">
        <v>366</v>
      </c>
      <c r="B392" s="15">
        <v>46137</v>
      </c>
      <c r="C392" s="5" t="s">
        <v>368</v>
      </c>
      <c r="D392" s="14">
        <v>2</v>
      </c>
      <c r="E392" s="5" t="s">
        <v>1708</v>
      </c>
      <c r="F392" s="5" t="s">
        <v>1965</v>
      </c>
      <c r="G392" s="13">
        <v>6</v>
      </c>
      <c r="H392" s="13">
        <v>2</v>
      </c>
      <c r="I392" s="13">
        <v>2</v>
      </c>
      <c r="J392" s="13">
        <v>3</v>
      </c>
      <c r="K392" s="14">
        <f t="shared" si="12"/>
        <v>6</v>
      </c>
      <c r="L392" s="5" t="str">
        <f t="shared" si="13"/>
        <v>HIGH</v>
      </c>
      <c r="M392" s="4" t="s">
        <v>1710</v>
      </c>
      <c r="N392" s="8" t="b">
        <v>0</v>
      </c>
      <c r="O392" s="6" t="s">
        <v>1711</v>
      </c>
      <c r="P392" s="6" t="s">
        <v>1966</v>
      </c>
      <c r="Q392" s="6"/>
      <c r="R392" s="9" t="b">
        <v>1</v>
      </c>
      <c r="S392" s="6" t="s">
        <v>371</v>
      </c>
      <c r="T392" s="6" t="s">
        <v>2182</v>
      </c>
      <c r="U392" s="9" t="b">
        <v>1</v>
      </c>
    </row>
    <row r="393" spans="1:21" ht="30">
      <c r="A393" s="7" t="s">
        <v>366</v>
      </c>
      <c r="B393" s="15">
        <v>46137</v>
      </c>
      <c r="C393" s="5" t="s">
        <v>368</v>
      </c>
      <c r="D393" s="14">
        <v>3</v>
      </c>
      <c r="E393" s="5" t="s">
        <v>1745</v>
      </c>
      <c r="F393" s="5" t="s">
        <v>1868</v>
      </c>
      <c r="G393" s="13">
        <v>3</v>
      </c>
      <c r="H393" s="13">
        <v>0</v>
      </c>
      <c r="I393" s="13">
        <v>3</v>
      </c>
      <c r="J393" s="13">
        <v>3</v>
      </c>
      <c r="K393" s="14">
        <f t="shared" si="12"/>
        <v>9</v>
      </c>
      <c r="L393" s="5" t="str">
        <f t="shared" si="13"/>
        <v>HIGH</v>
      </c>
      <c r="M393" s="4" t="s">
        <v>1747</v>
      </c>
      <c r="N393" s="8" t="b">
        <v>1</v>
      </c>
      <c r="O393" s="6" t="s">
        <v>1748</v>
      </c>
      <c r="P393" s="6" t="s">
        <v>1869</v>
      </c>
      <c r="Q393" s="6"/>
      <c r="R393" s="9" t="b">
        <v>1</v>
      </c>
      <c r="S393" s="6" t="s">
        <v>371</v>
      </c>
      <c r="T393" s="6" t="s">
        <v>2183</v>
      </c>
      <c r="U393" s="9" t="b">
        <v>1</v>
      </c>
    </row>
    <row r="394" spans="1:21" ht="30">
      <c r="A394" s="7" t="s">
        <v>366</v>
      </c>
      <c r="B394" s="15">
        <v>46137</v>
      </c>
      <c r="C394" s="5" t="s">
        <v>368</v>
      </c>
      <c r="D394" s="14">
        <v>4</v>
      </c>
      <c r="E394" s="5" t="s">
        <v>1745</v>
      </c>
      <c r="F394" s="5" t="s">
        <v>1957</v>
      </c>
      <c r="G394" s="13">
        <v>6</v>
      </c>
      <c r="H394" s="13">
        <v>1</v>
      </c>
      <c r="I394" s="13">
        <v>3</v>
      </c>
      <c r="J394" s="13">
        <v>2</v>
      </c>
      <c r="K394" s="14">
        <f t="shared" si="12"/>
        <v>6</v>
      </c>
      <c r="L394" s="5" t="str">
        <f t="shared" si="13"/>
        <v>HIGH</v>
      </c>
      <c r="M394" s="4" t="s">
        <v>1747</v>
      </c>
      <c r="N394" s="8" t="b">
        <v>0</v>
      </c>
      <c r="O394" s="6" t="s">
        <v>1748</v>
      </c>
      <c r="P394" s="6" t="s">
        <v>1958</v>
      </c>
      <c r="Q394" s="6"/>
      <c r="R394" s="9" t="b">
        <v>1</v>
      </c>
      <c r="S394" s="6" t="s">
        <v>371</v>
      </c>
      <c r="T394" s="6" t="s">
        <v>2184</v>
      </c>
      <c r="U394" s="9" t="b">
        <v>1</v>
      </c>
    </row>
    <row r="395" spans="1:21" ht="30">
      <c r="A395" s="7" t="s">
        <v>366</v>
      </c>
      <c r="B395" s="15">
        <v>46137</v>
      </c>
      <c r="C395" s="5" t="s">
        <v>368</v>
      </c>
      <c r="D395" s="14">
        <v>5</v>
      </c>
      <c r="E395" s="5" t="s">
        <v>1708</v>
      </c>
      <c r="F395" s="5" t="s">
        <v>2027</v>
      </c>
      <c r="G395" s="13">
        <v>3</v>
      </c>
      <c r="H395" s="13">
        <v>2</v>
      </c>
      <c r="I395" s="13">
        <v>2</v>
      </c>
      <c r="J395" s="13">
        <v>3</v>
      </c>
      <c r="K395" s="14">
        <f t="shared" si="12"/>
        <v>6</v>
      </c>
      <c r="L395" s="5" t="str">
        <f t="shared" si="13"/>
        <v>HIGH</v>
      </c>
      <c r="M395" s="4" t="s">
        <v>1710</v>
      </c>
      <c r="N395" s="8" t="b">
        <v>0</v>
      </c>
      <c r="O395" s="6" t="s">
        <v>1711</v>
      </c>
      <c r="P395" s="6" t="s">
        <v>2028</v>
      </c>
      <c r="Q395" s="6"/>
      <c r="R395" s="9" t="b">
        <v>1</v>
      </c>
      <c r="S395" s="6" t="s">
        <v>371</v>
      </c>
      <c r="T395" s="6" t="s">
        <v>2185</v>
      </c>
      <c r="U395" s="9" t="b">
        <v>1</v>
      </c>
    </row>
    <row r="396" spans="1:21" ht="30">
      <c r="A396" s="7" t="s">
        <v>366</v>
      </c>
      <c r="B396" s="15">
        <v>46137</v>
      </c>
      <c r="C396" s="5" t="s">
        <v>368</v>
      </c>
      <c r="D396" s="14">
        <v>6</v>
      </c>
      <c r="E396" s="5" t="s">
        <v>1708</v>
      </c>
      <c r="F396" s="5" t="s">
        <v>2030</v>
      </c>
      <c r="G396" s="13">
        <v>6</v>
      </c>
      <c r="H396" s="13">
        <v>0</v>
      </c>
      <c r="I396" s="13">
        <v>3</v>
      </c>
      <c r="J396" s="13">
        <v>3</v>
      </c>
      <c r="K396" s="14">
        <f t="shared" si="12"/>
        <v>9</v>
      </c>
      <c r="L396" s="5" t="str">
        <f t="shared" si="13"/>
        <v>HIGH</v>
      </c>
      <c r="M396" s="4" t="s">
        <v>1710</v>
      </c>
      <c r="N396" s="8" t="b">
        <v>1</v>
      </c>
      <c r="O396" s="6" t="s">
        <v>1711</v>
      </c>
      <c r="P396" s="6" t="s">
        <v>2031</v>
      </c>
      <c r="Q396" s="6"/>
      <c r="R396" s="9" t="b">
        <v>1</v>
      </c>
      <c r="S396" s="6" t="s">
        <v>371</v>
      </c>
      <c r="T396" s="6" t="s">
        <v>2186</v>
      </c>
      <c r="U396" s="9" t="b">
        <v>1</v>
      </c>
    </row>
    <row r="397" spans="1:21" ht="45">
      <c r="A397" s="7" t="s">
        <v>366</v>
      </c>
      <c r="B397" s="15">
        <v>46137</v>
      </c>
      <c r="C397" s="5" t="s">
        <v>368</v>
      </c>
      <c r="D397" s="14">
        <v>7</v>
      </c>
      <c r="E397" s="5" t="s">
        <v>1729</v>
      </c>
      <c r="F397" s="5" t="s">
        <v>2033</v>
      </c>
      <c r="G397" s="13">
        <v>3</v>
      </c>
      <c r="H397" s="13">
        <v>1</v>
      </c>
      <c r="I397" s="13">
        <v>3</v>
      </c>
      <c r="J397" s="13">
        <v>2</v>
      </c>
      <c r="K397" s="14">
        <f t="shared" si="12"/>
        <v>6</v>
      </c>
      <c r="L397" s="5" t="str">
        <f t="shared" si="13"/>
        <v>HIGH</v>
      </c>
      <c r="M397" s="4" t="s">
        <v>1731</v>
      </c>
      <c r="N397" s="8" t="b">
        <v>0</v>
      </c>
      <c r="O397" s="6" t="s">
        <v>1732</v>
      </c>
      <c r="P397" s="6" t="s">
        <v>2034</v>
      </c>
      <c r="Q397" s="6"/>
      <c r="R397" s="9" t="b">
        <v>1</v>
      </c>
      <c r="S397" s="6" t="s">
        <v>371</v>
      </c>
      <c r="T397" s="6" t="s">
        <v>2187</v>
      </c>
      <c r="U397" s="9" t="b">
        <v>1</v>
      </c>
    </row>
    <row r="398" spans="1:21" ht="30">
      <c r="A398" s="7" t="s">
        <v>366</v>
      </c>
      <c r="B398" s="15">
        <v>46137</v>
      </c>
      <c r="C398" s="5" t="s">
        <v>368</v>
      </c>
      <c r="D398" s="14">
        <v>8</v>
      </c>
      <c r="E398" s="5" t="s">
        <v>1778</v>
      </c>
      <c r="F398" s="5" t="s">
        <v>1779</v>
      </c>
      <c r="G398" s="13">
        <v>6</v>
      </c>
      <c r="H398" s="13">
        <v>2</v>
      </c>
      <c r="I398" s="13">
        <v>2</v>
      </c>
      <c r="J398" s="13">
        <v>3</v>
      </c>
      <c r="K398" s="14">
        <f t="shared" si="12"/>
        <v>6</v>
      </c>
      <c r="L398" s="5" t="str">
        <f t="shared" si="13"/>
        <v>HIGH</v>
      </c>
      <c r="M398" s="4" t="s">
        <v>1780</v>
      </c>
      <c r="N398" s="8" t="b">
        <v>0</v>
      </c>
      <c r="O398" s="6" t="s">
        <v>1781</v>
      </c>
      <c r="P398" s="6" t="s">
        <v>1782</v>
      </c>
      <c r="Q398" s="6"/>
      <c r="R398" s="9" t="b">
        <v>1</v>
      </c>
      <c r="S398" s="6" t="s">
        <v>371</v>
      </c>
      <c r="T398" s="6" t="s">
        <v>2188</v>
      </c>
      <c r="U398" s="9" t="b">
        <v>1</v>
      </c>
    </row>
    <row r="399" spans="1:21" ht="45">
      <c r="A399" s="7" t="s">
        <v>366</v>
      </c>
      <c r="B399" s="15">
        <v>46137</v>
      </c>
      <c r="C399" s="5" t="s">
        <v>368</v>
      </c>
      <c r="D399" s="14">
        <v>9</v>
      </c>
      <c r="E399" s="5" t="s">
        <v>1729</v>
      </c>
      <c r="F399" s="5" t="s">
        <v>2037</v>
      </c>
      <c r="G399" s="13">
        <v>3</v>
      </c>
      <c r="H399" s="13">
        <v>0</v>
      </c>
      <c r="I399" s="13">
        <v>3</v>
      </c>
      <c r="J399" s="13">
        <v>3</v>
      </c>
      <c r="K399" s="14">
        <f t="shared" si="12"/>
        <v>9</v>
      </c>
      <c r="L399" s="5" t="str">
        <f t="shared" si="13"/>
        <v>HIGH</v>
      </c>
      <c r="M399" s="4" t="s">
        <v>1731</v>
      </c>
      <c r="N399" s="8" t="b">
        <v>1</v>
      </c>
      <c r="O399" s="6" t="s">
        <v>1732</v>
      </c>
      <c r="P399" s="6" t="s">
        <v>1836</v>
      </c>
      <c r="Q399" s="6" t="s">
        <v>2037</v>
      </c>
      <c r="R399" s="9" t="b">
        <v>1</v>
      </c>
      <c r="S399" s="6" t="s">
        <v>371</v>
      </c>
      <c r="T399" s="6" t="s">
        <v>2189</v>
      </c>
      <c r="U399" s="9" t="b">
        <v>1</v>
      </c>
    </row>
    <row r="400" spans="1:21" ht="45">
      <c r="A400" s="7" t="s">
        <v>372</v>
      </c>
      <c r="B400" s="15">
        <v>46145</v>
      </c>
      <c r="C400" s="5" t="s">
        <v>374</v>
      </c>
      <c r="D400" s="14">
        <v>1</v>
      </c>
      <c r="E400" s="5" t="s">
        <v>1729</v>
      </c>
      <c r="F400" s="5" t="s">
        <v>2021</v>
      </c>
      <c r="G400" s="13">
        <v>2</v>
      </c>
      <c r="H400" s="13">
        <v>2</v>
      </c>
      <c r="I400" s="13">
        <v>3</v>
      </c>
      <c r="J400" s="13">
        <v>3</v>
      </c>
      <c r="K400" s="14">
        <f t="shared" si="12"/>
        <v>9</v>
      </c>
      <c r="L400" s="5" t="str">
        <f t="shared" si="13"/>
        <v>HIGH</v>
      </c>
      <c r="M400" s="4" t="s">
        <v>1731</v>
      </c>
      <c r="N400" s="8" t="b">
        <v>0</v>
      </c>
      <c r="O400" s="6" t="s">
        <v>1732</v>
      </c>
      <c r="P400" s="6" t="s">
        <v>2022</v>
      </c>
      <c r="Q400" s="6"/>
      <c r="R400" s="9" t="b">
        <v>1</v>
      </c>
      <c r="S400" s="6" t="s">
        <v>377</v>
      </c>
      <c r="T400" s="6" t="s">
        <v>2190</v>
      </c>
      <c r="U400" s="9" t="b">
        <v>1</v>
      </c>
    </row>
    <row r="401" spans="1:21" ht="30">
      <c r="A401" s="7" t="s">
        <v>372</v>
      </c>
      <c r="B401" s="15">
        <v>46145</v>
      </c>
      <c r="C401" s="5" t="s">
        <v>374</v>
      </c>
      <c r="D401" s="14">
        <v>2</v>
      </c>
      <c r="E401" s="5" t="s">
        <v>1708</v>
      </c>
      <c r="F401" s="5" t="s">
        <v>1965</v>
      </c>
      <c r="G401" s="13">
        <v>5</v>
      </c>
      <c r="H401" s="13">
        <v>0</v>
      </c>
      <c r="I401" s="13">
        <v>3</v>
      </c>
      <c r="J401" s="13">
        <v>2</v>
      </c>
      <c r="K401" s="14">
        <f t="shared" si="12"/>
        <v>6</v>
      </c>
      <c r="L401" s="5" t="str">
        <f t="shared" si="13"/>
        <v>HIGH</v>
      </c>
      <c r="M401" s="4" t="s">
        <v>1710</v>
      </c>
      <c r="N401" s="8" t="b">
        <v>1</v>
      </c>
      <c r="O401" s="6" t="s">
        <v>1711</v>
      </c>
      <c r="P401" s="6" t="s">
        <v>1966</v>
      </c>
      <c r="Q401" s="6"/>
      <c r="R401" s="9" t="b">
        <v>1</v>
      </c>
      <c r="S401" s="6" t="s">
        <v>377</v>
      </c>
      <c r="T401" s="6" t="s">
        <v>2191</v>
      </c>
      <c r="U401" s="9" t="b">
        <v>1</v>
      </c>
    </row>
    <row r="402" spans="1:21" ht="30">
      <c r="A402" s="7" t="s">
        <v>372</v>
      </c>
      <c r="B402" s="15">
        <v>46145</v>
      </c>
      <c r="C402" s="5" t="s">
        <v>374</v>
      </c>
      <c r="D402" s="14">
        <v>3</v>
      </c>
      <c r="E402" s="5" t="s">
        <v>1745</v>
      </c>
      <c r="F402" s="5" t="s">
        <v>1868</v>
      </c>
      <c r="G402" s="13">
        <v>8</v>
      </c>
      <c r="H402" s="13">
        <v>1</v>
      </c>
      <c r="I402" s="13">
        <v>2</v>
      </c>
      <c r="J402" s="13">
        <v>3</v>
      </c>
      <c r="K402" s="14">
        <f t="shared" si="12"/>
        <v>6</v>
      </c>
      <c r="L402" s="5" t="str">
        <f t="shared" si="13"/>
        <v>HIGH</v>
      </c>
      <c r="M402" s="4" t="s">
        <v>1747</v>
      </c>
      <c r="N402" s="8" t="b">
        <v>0</v>
      </c>
      <c r="O402" s="6" t="s">
        <v>1748</v>
      </c>
      <c r="P402" s="6" t="s">
        <v>1869</v>
      </c>
      <c r="Q402" s="6"/>
      <c r="R402" s="9" t="b">
        <v>1</v>
      </c>
      <c r="S402" s="6" t="s">
        <v>377</v>
      </c>
      <c r="T402" s="6" t="s">
        <v>2192</v>
      </c>
      <c r="U402" s="9" t="b">
        <v>1</v>
      </c>
    </row>
    <row r="403" spans="1:21" ht="30">
      <c r="A403" s="7" t="s">
        <v>372</v>
      </c>
      <c r="B403" s="15">
        <v>46145</v>
      </c>
      <c r="C403" s="5" t="s">
        <v>374</v>
      </c>
      <c r="D403" s="14">
        <v>4</v>
      </c>
      <c r="E403" s="5" t="s">
        <v>1745</v>
      </c>
      <c r="F403" s="5" t="s">
        <v>1957</v>
      </c>
      <c r="G403" s="13">
        <v>11</v>
      </c>
      <c r="H403" s="13">
        <v>2</v>
      </c>
      <c r="I403" s="13">
        <v>3</v>
      </c>
      <c r="J403" s="13">
        <v>3</v>
      </c>
      <c r="K403" s="14">
        <f t="shared" si="12"/>
        <v>9</v>
      </c>
      <c r="L403" s="5" t="str">
        <f t="shared" si="13"/>
        <v>HIGH</v>
      </c>
      <c r="M403" s="4" t="s">
        <v>1747</v>
      </c>
      <c r="N403" s="8" t="b">
        <v>0</v>
      </c>
      <c r="O403" s="6" t="s">
        <v>1748</v>
      </c>
      <c r="P403" s="6" t="s">
        <v>1958</v>
      </c>
      <c r="Q403" s="6"/>
      <c r="R403" s="9" t="b">
        <v>1</v>
      </c>
      <c r="S403" s="6" t="s">
        <v>377</v>
      </c>
      <c r="T403" s="6" t="s">
        <v>2193</v>
      </c>
      <c r="U403" s="9" t="b">
        <v>1</v>
      </c>
    </row>
    <row r="404" spans="1:21" ht="30">
      <c r="A404" s="7" t="s">
        <v>372</v>
      </c>
      <c r="B404" s="15">
        <v>46145</v>
      </c>
      <c r="C404" s="5" t="s">
        <v>374</v>
      </c>
      <c r="D404" s="14">
        <v>5</v>
      </c>
      <c r="E404" s="5" t="s">
        <v>1708</v>
      </c>
      <c r="F404" s="5" t="s">
        <v>2027</v>
      </c>
      <c r="G404" s="13">
        <v>1</v>
      </c>
      <c r="H404" s="13">
        <v>0</v>
      </c>
      <c r="I404" s="13">
        <v>3</v>
      </c>
      <c r="J404" s="13">
        <v>2</v>
      </c>
      <c r="K404" s="14">
        <f t="shared" si="12"/>
        <v>6</v>
      </c>
      <c r="L404" s="5" t="str">
        <f t="shared" si="13"/>
        <v>HIGH</v>
      </c>
      <c r="M404" s="4" t="s">
        <v>1710</v>
      </c>
      <c r="N404" s="8" t="b">
        <v>1</v>
      </c>
      <c r="O404" s="6" t="s">
        <v>1711</v>
      </c>
      <c r="P404" s="6" t="s">
        <v>2028</v>
      </c>
      <c r="Q404" s="6"/>
      <c r="R404" s="9" t="b">
        <v>1</v>
      </c>
      <c r="S404" s="6" t="s">
        <v>377</v>
      </c>
      <c r="T404" s="6" t="s">
        <v>2194</v>
      </c>
      <c r="U404" s="9" t="b">
        <v>1</v>
      </c>
    </row>
    <row r="405" spans="1:21" ht="30">
      <c r="A405" s="7" t="s">
        <v>372</v>
      </c>
      <c r="B405" s="15">
        <v>46145</v>
      </c>
      <c r="C405" s="5" t="s">
        <v>374</v>
      </c>
      <c r="D405" s="14">
        <v>6</v>
      </c>
      <c r="E405" s="5" t="s">
        <v>1708</v>
      </c>
      <c r="F405" s="5" t="s">
        <v>2030</v>
      </c>
      <c r="G405" s="13">
        <v>4</v>
      </c>
      <c r="H405" s="13">
        <v>1</v>
      </c>
      <c r="I405" s="13">
        <v>2</v>
      </c>
      <c r="J405" s="13">
        <v>3</v>
      </c>
      <c r="K405" s="14">
        <f t="shared" si="12"/>
        <v>6</v>
      </c>
      <c r="L405" s="5" t="str">
        <f t="shared" si="13"/>
        <v>HIGH</v>
      </c>
      <c r="M405" s="4" t="s">
        <v>1710</v>
      </c>
      <c r="N405" s="8" t="b">
        <v>0</v>
      </c>
      <c r="O405" s="6" t="s">
        <v>1711</v>
      </c>
      <c r="P405" s="6" t="s">
        <v>2031</v>
      </c>
      <c r="Q405" s="6"/>
      <c r="R405" s="9" t="b">
        <v>1</v>
      </c>
      <c r="S405" s="6" t="s">
        <v>377</v>
      </c>
      <c r="T405" s="6" t="s">
        <v>2195</v>
      </c>
      <c r="U405" s="9" t="b">
        <v>1</v>
      </c>
    </row>
    <row r="406" spans="1:21" ht="45">
      <c r="A406" s="7" t="s">
        <v>372</v>
      </c>
      <c r="B406" s="15">
        <v>46145</v>
      </c>
      <c r="C406" s="5" t="s">
        <v>374</v>
      </c>
      <c r="D406" s="14">
        <v>7</v>
      </c>
      <c r="E406" s="5" t="s">
        <v>1729</v>
      </c>
      <c r="F406" s="5" t="s">
        <v>2033</v>
      </c>
      <c r="G406" s="13">
        <v>7</v>
      </c>
      <c r="H406" s="13">
        <v>2</v>
      </c>
      <c r="I406" s="13">
        <v>3</v>
      </c>
      <c r="J406" s="13">
        <v>3</v>
      </c>
      <c r="K406" s="14">
        <f t="shared" si="12"/>
        <v>9</v>
      </c>
      <c r="L406" s="5" t="str">
        <f t="shared" si="13"/>
        <v>HIGH</v>
      </c>
      <c r="M406" s="4" t="s">
        <v>1731</v>
      </c>
      <c r="N406" s="8" t="b">
        <v>0</v>
      </c>
      <c r="O406" s="6" t="s">
        <v>1732</v>
      </c>
      <c r="P406" s="6" t="s">
        <v>2034</v>
      </c>
      <c r="Q406" s="6"/>
      <c r="R406" s="9" t="b">
        <v>1</v>
      </c>
      <c r="S406" s="6" t="s">
        <v>377</v>
      </c>
      <c r="T406" s="6" t="s">
        <v>2196</v>
      </c>
      <c r="U406" s="9" t="b">
        <v>1</v>
      </c>
    </row>
    <row r="407" spans="1:21" ht="45">
      <c r="A407" s="7" t="s">
        <v>372</v>
      </c>
      <c r="B407" s="15">
        <v>46145</v>
      </c>
      <c r="C407" s="5" t="s">
        <v>374</v>
      </c>
      <c r="D407" s="14">
        <v>8</v>
      </c>
      <c r="E407" s="5" t="s">
        <v>1729</v>
      </c>
      <c r="F407" s="5" t="s">
        <v>1730</v>
      </c>
      <c r="G407" s="13">
        <v>10</v>
      </c>
      <c r="H407" s="13">
        <v>0</v>
      </c>
      <c r="I407" s="13">
        <v>3</v>
      </c>
      <c r="J407" s="13">
        <v>2</v>
      </c>
      <c r="K407" s="14">
        <f t="shared" si="12"/>
        <v>6</v>
      </c>
      <c r="L407" s="5" t="str">
        <f t="shared" si="13"/>
        <v>HIGH</v>
      </c>
      <c r="M407" s="4" t="s">
        <v>1731</v>
      </c>
      <c r="N407" s="8" t="b">
        <v>1</v>
      </c>
      <c r="O407" s="6" t="s">
        <v>1732</v>
      </c>
      <c r="P407" s="6" t="s">
        <v>1733</v>
      </c>
      <c r="Q407" s="6"/>
      <c r="R407" s="9" t="b">
        <v>1</v>
      </c>
      <c r="S407" s="6" t="s">
        <v>377</v>
      </c>
      <c r="T407" s="6" t="s">
        <v>2197</v>
      </c>
      <c r="U407" s="9" t="b">
        <v>1</v>
      </c>
    </row>
    <row r="408" spans="1:21" ht="45">
      <c r="A408" s="7" t="s">
        <v>372</v>
      </c>
      <c r="B408" s="15">
        <v>46145</v>
      </c>
      <c r="C408" s="5" t="s">
        <v>374</v>
      </c>
      <c r="D408" s="14">
        <v>9</v>
      </c>
      <c r="E408" s="5" t="s">
        <v>1729</v>
      </c>
      <c r="F408" s="5" t="s">
        <v>2037</v>
      </c>
      <c r="G408" s="13">
        <v>13</v>
      </c>
      <c r="H408" s="13">
        <v>1</v>
      </c>
      <c r="I408" s="13">
        <v>2</v>
      </c>
      <c r="J408" s="13">
        <v>3</v>
      </c>
      <c r="K408" s="14">
        <f t="shared" si="12"/>
        <v>6</v>
      </c>
      <c r="L408" s="5" t="str">
        <f t="shared" si="13"/>
        <v>HIGH</v>
      </c>
      <c r="M408" s="4" t="s">
        <v>1731</v>
      </c>
      <c r="N408" s="8" t="b">
        <v>0</v>
      </c>
      <c r="O408" s="6" t="s">
        <v>1732</v>
      </c>
      <c r="P408" s="6" t="s">
        <v>1836</v>
      </c>
      <c r="Q408" s="6" t="s">
        <v>2037</v>
      </c>
      <c r="R408" s="9" t="b">
        <v>1</v>
      </c>
      <c r="S408" s="6" t="s">
        <v>377</v>
      </c>
      <c r="T408" s="6" t="s">
        <v>2198</v>
      </c>
      <c r="U408" s="9" t="b">
        <v>1</v>
      </c>
    </row>
    <row r="409" spans="1:21" ht="30">
      <c r="A409" s="7" t="s">
        <v>378</v>
      </c>
      <c r="B409" s="15">
        <v>46058</v>
      </c>
      <c r="C409" s="5" t="s">
        <v>380</v>
      </c>
      <c r="D409" s="14">
        <v>1</v>
      </c>
      <c r="E409" s="5" t="s">
        <v>1699</v>
      </c>
      <c r="F409" s="5" t="s">
        <v>1700</v>
      </c>
      <c r="G409" s="13">
        <v>11</v>
      </c>
      <c r="H409" s="13">
        <v>30</v>
      </c>
      <c r="I409" s="13">
        <v>3</v>
      </c>
      <c r="J409" s="13">
        <v>3</v>
      </c>
      <c r="K409" s="14">
        <f t="shared" si="12"/>
        <v>9</v>
      </c>
      <c r="L409" s="5" t="str">
        <f t="shared" si="13"/>
        <v>HIGH</v>
      </c>
      <c r="M409" s="4" t="s">
        <v>1701</v>
      </c>
      <c r="N409" s="8" t="b">
        <v>0</v>
      </c>
      <c r="O409" s="6" t="s">
        <v>1702</v>
      </c>
      <c r="P409" s="6" t="s">
        <v>1703</v>
      </c>
      <c r="Q409" s="6"/>
      <c r="R409" s="9" t="b">
        <v>1</v>
      </c>
      <c r="S409" s="6" t="s">
        <v>383</v>
      </c>
      <c r="T409" s="6" t="s">
        <v>2199</v>
      </c>
      <c r="U409" s="9" t="b">
        <v>1</v>
      </c>
    </row>
    <row r="410" spans="1:21" ht="30">
      <c r="A410" s="7" t="s">
        <v>378</v>
      </c>
      <c r="B410" s="15">
        <v>46058</v>
      </c>
      <c r="C410" s="5" t="s">
        <v>380</v>
      </c>
      <c r="D410" s="14">
        <v>2</v>
      </c>
      <c r="E410" s="5" t="s">
        <v>1699</v>
      </c>
      <c r="F410" s="5" t="s">
        <v>1705</v>
      </c>
      <c r="G410" s="13">
        <v>14</v>
      </c>
      <c r="H410" s="13">
        <v>6</v>
      </c>
      <c r="I410" s="13">
        <v>3</v>
      </c>
      <c r="J410" s="13">
        <v>2</v>
      </c>
      <c r="K410" s="14">
        <f t="shared" si="12"/>
        <v>6</v>
      </c>
      <c r="L410" s="5" t="str">
        <f t="shared" si="13"/>
        <v>HIGH</v>
      </c>
      <c r="M410" s="4" t="s">
        <v>1701</v>
      </c>
      <c r="N410" s="8" t="b">
        <v>1</v>
      </c>
      <c r="O410" s="6" t="s">
        <v>1702</v>
      </c>
      <c r="P410" s="6" t="s">
        <v>1706</v>
      </c>
      <c r="Q410" s="6"/>
      <c r="R410" s="9" t="b">
        <v>1</v>
      </c>
      <c r="S410" s="6" t="s">
        <v>383</v>
      </c>
      <c r="T410" s="6" t="s">
        <v>2200</v>
      </c>
      <c r="U410" s="9" t="b">
        <v>1</v>
      </c>
    </row>
    <row r="411" spans="1:21" ht="30">
      <c r="A411" s="7" t="s">
        <v>378</v>
      </c>
      <c r="B411" s="15">
        <v>46058</v>
      </c>
      <c r="C411" s="5" t="s">
        <v>380</v>
      </c>
      <c r="D411" s="14">
        <v>3</v>
      </c>
      <c r="E411" s="5" t="s">
        <v>1708</v>
      </c>
      <c r="F411" s="5" t="s">
        <v>1709</v>
      </c>
      <c r="G411" s="13">
        <v>17</v>
      </c>
      <c r="H411" s="13">
        <v>13</v>
      </c>
      <c r="I411" s="13">
        <v>2</v>
      </c>
      <c r="J411" s="13">
        <v>3</v>
      </c>
      <c r="K411" s="14">
        <f t="shared" si="12"/>
        <v>6</v>
      </c>
      <c r="L411" s="5" t="str">
        <f t="shared" si="13"/>
        <v>HIGH</v>
      </c>
      <c r="M411" s="4" t="s">
        <v>1710</v>
      </c>
      <c r="N411" s="8" t="b">
        <v>0</v>
      </c>
      <c r="O411" s="6" t="s">
        <v>1711</v>
      </c>
      <c r="P411" s="6" t="s">
        <v>1712</v>
      </c>
      <c r="Q411" s="6"/>
      <c r="R411" s="9" t="b">
        <v>1</v>
      </c>
      <c r="S411" s="6" t="s">
        <v>383</v>
      </c>
      <c r="T411" s="6" t="s">
        <v>2201</v>
      </c>
      <c r="U411" s="9" t="b">
        <v>1</v>
      </c>
    </row>
    <row r="412" spans="1:21" ht="30">
      <c r="A412" s="7" t="s">
        <v>378</v>
      </c>
      <c r="B412" s="15">
        <v>46058</v>
      </c>
      <c r="C412" s="5" t="s">
        <v>380</v>
      </c>
      <c r="D412" s="14">
        <v>4</v>
      </c>
      <c r="E412" s="5" t="s">
        <v>1714</v>
      </c>
      <c r="F412" s="5" t="s">
        <v>1715</v>
      </c>
      <c r="G412" s="13">
        <v>2</v>
      </c>
      <c r="H412" s="13">
        <v>20</v>
      </c>
      <c r="I412" s="13">
        <v>3</v>
      </c>
      <c r="J412" s="13">
        <v>3</v>
      </c>
      <c r="K412" s="14">
        <f t="shared" si="12"/>
        <v>9</v>
      </c>
      <c r="L412" s="5" t="str">
        <f t="shared" si="13"/>
        <v>HIGH</v>
      </c>
      <c r="M412" s="4" t="s">
        <v>1716</v>
      </c>
      <c r="N412" s="8" t="b">
        <v>0</v>
      </c>
      <c r="O412" s="6" t="s">
        <v>1717</v>
      </c>
      <c r="P412" s="6" t="s">
        <v>1718</v>
      </c>
      <c r="Q412" s="6"/>
      <c r="R412" s="9" t="b">
        <v>1</v>
      </c>
      <c r="S412" s="6" t="s">
        <v>383</v>
      </c>
      <c r="T412" s="6" t="s">
        <v>2202</v>
      </c>
      <c r="U412" s="9" t="b">
        <v>1</v>
      </c>
    </row>
    <row r="413" spans="1:21" ht="30">
      <c r="A413" s="7" t="s">
        <v>378</v>
      </c>
      <c r="B413" s="15">
        <v>46058</v>
      </c>
      <c r="C413" s="5" t="s">
        <v>380</v>
      </c>
      <c r="D413" s="14">
        <v>5</v>
      </c>
      <c r="E413" s="5" t="s">
        <v>1714</v>
      </c>
      <c r="F413" s="5" t="s">
        <v>1771</v>
      </c>
      <c r="G413" s="13">
        <v>5</v>
      </c>
      <c r="H413" s="13">
        <v>27</v>
      </c>
      <c r="I413" s="13">
        <v>3</v>
      </c>
      <c r="J413" s="13">
        <v>2</v>
      </c>
      <c r="K413" s="14">
        <f t="shared" si="12"/>
        <v>6</v>
      </c>
      <c r="L413" s="5" t="str">
        <f t="shared" si="13"/>
        <v>HIGH</v>
      </c>
      <c r="M413" s="4" t="s">
        <v>1716</v>
      </c>
      <c r="N413" s="8" t="b">
        <v>1</v>
      </c>
      <c r="O413" s="6" t="s">
        <v>1717</v>
      </c>
      <c r="P413" s="6" t="s">
        <v>1772</v>
      </c>
      <c r="Q413" s="6"/>
      <c r="R413" s="9" t="b">
        <v>1</v>
      </c>
      <c r="S413" s="6" t="s">
        <v>383</v>
      </c>
      <c r="T413" s="6" t="s">
        <v>2203</v>
      </c>
      <c r="U413" s="9" t="b">
        <v>1</v>
      </c>
    </row>
    <row r="414" spans="1:21" ht="30">
      <c r="A414" s="7" t="s">
        <v>378</v>
      </c>
      <c r="B414" s="15">
        <v>46058</v>
      </c>
      <c r="C414" s="5" t="s">
        <v>380</v>
      </c>
      <c r="D414" s="14">
        <v>6</v>
      </c>
      <c r="E414" s="5" t="s">
        <v>1720</v>
      </c>
      <c r="F414" s="5" t="s">
        <v>1721</v>
      </c>
      <c r="G414" s="13">
        <v>8</v>
      </c>
      <c r="H414" s="13">
        <v>3</v>
      </c>
      <c r="I414" s="13">
        <v>2</v>
      </c>
      <c r="J414" s="13">
        <v>3</v>
      </c>
      <c r="K414" s="14">
        <f t="shared" si="12"/>
        <v>6</v>
      </c>
      <c r="L414" s="5" t="str">
        <f t="shared" si="13"/>
        <v>HIGH</v>
      </c>
      <c r="M414" s="4" t="s">
        <v>1722</v>
      </c>
      <c r="N414" s="8" t="b">
        <v>0</v>
      </c>
      <c r="O414" s="6" t="s">
        <v>1723</v>
      </c>
      <c r="P414" s="6" t="s">
        <v>1724</v>
      </c>
      <c r="Q414" s="6"/>
      <c r="R414" s="9" t="b">
        <v>1</v>
      </c>
      <c r="S414" s="6" t="s">
        <v>383</v>
      </c>
      <c r="T414" s="6" t="s">
        <v>2204</v>
      </c>
      <c r="U414" s="9" t="b">
        <v>1</v>
      </c>
    </row>
    <row r="415" spans="1:21" ht="30">
      <c r="A415" s="7" t="s">
        <v>378</v>
      </c>
      <c r="B415" s="15">
        <v>46058</v>
      </c>
      <c r="C415" s="5" t="s">
        <v>380</v>
      </c>
      <c r="D415" s="14">
        <v>7</v>
      </c>
      <c r="E415" s="5" t="s">
        <v>1745</v>
      </c>
      <c r="F415" s="5" t="s">
        <v>1746</v>
      </c>
      <c r="G415" s="13">
        <v>11</v>
      </c>
      <c r="H415" s="13">
        <v>10</v>
      </c>
      <c r="I415" s="13">
        <v>3</v>
      </c>
      <c r="J415" s="13">
        <v>3</v>
      </c>
      <c r="K415" s="14">
        <f t="shared" si="12"/>
        <v>9</v>
      </c>
      <c r="L415" s="5" t="str">
        <f t="shared" si="13"/>
        <v>HIGH</v>
      </c>
      <c r="M415" s="4" t="s">
        <v>1747</v>
      </c>
      <c r="N415" s="8" t="b">
        <v>0</v>
      </c>
      <c r="O415" s="6" t="s">
        <v>1748</v>
      </c>
      <c r="P415" s="6" t="s">
        <v>1749</v>
      </c>
      <c r="Q415" s="6"/>
      <c r="R415" s="9" t="b">
        <v>1</v>
      </c>
      <c r="S415" s="6" t="s">
        <v>383</v>
      </c>
      <c r="T415" s="6" t="s">
        <v>2205</v>
      </c>
      <c r="U415" s="9" t="b">
        <v>1</v>
      </c>
    </row>
    <row r="416" spans="1:21" ht="30">
      <c r="A416" s="7" t="s">
        <v>384</v>
      </c>
      <c r="B416" s="15">
        <v>46179</v>
      </c>
      <c r="C416" s="5" t="s">
        <v>386</v>
      </c>
      <c r="D416" s="14">
        <v>1</v>
      </c>
      <c r="E416" s="5" t="s">
        <v>1708</v>
      </c>
      <c r="F416" s="5" t="s">
        <v>1709</v>
      </c>
      <c r="G416" s="13">
        <v>1</v>
      </c>
      <c r="H416" s="13">
        <v>0</v>
      </c>
      <c r="I416" s="13">
        <v>2</v>
      </c>
      <c r="J416" s="13">
        <v>3</v>
      </c>
      <c r="K416" s="14">
        <f t="shared" si="12"/>
        <v>6</v>
      </c>
      <c r="L416" s="5" t="str">
        <f t="shared" si="13"/>
        <v>HIGH</v>
      </c>
      <c r="M416" s="4" t="s">
        <v>1710</v>
      </c>
      <c r="N416" s="8" t="b">
        <v>1</v>
      </c>
      <c r="O416" s="6" t="s">
        <v>1711</v>
      </c>
      <c r="P416" s="6" t="s">
        <v>1712</v>
      </c>
      <c r="Q416" s="6"/>
      <c r="R416" s="9" t="b">
        <v>1</v>
      </c>
      <c r="S416" s="6" t="s">
        <v>389</v>
      </c>
      <c r="T416" s="6" t="s">
        <v>2206</v>
      </c>
      <c r="U416" s="9" t="b">
        <v>1</v>
      </c>
    </row>
    <row r="417" spans="1:21" ht="30">
      <c r="A417" s="7" t="s">
        <v>384</v>
      </c>
      <c r="B417" s="15">
        <v>46179</v>
      </c>
      <c r="C417" s="5" t="s">
        <v>386</v>
      </c>
      <c r="D417" s="14">
        <v>2</v>
      </c>
      <c r="E417" s="5" t="s">
        <v>1745</v>
      </c>
      <c r="F417" s="5" t="s">
        <v>1957</v>
      </c>
      <c r="G417" s="13">
        <v>4</v>
      </c>
      <c r="H417" s="13">
        <v>1</v>
      </c>
      <c r="I417" s="13">
        <v>3</v>
      </c>
      <c r="J417" s="13">
        <v>3</v>
      </c>
      <c r="K417" s="14">
        <f t="shared" si="12"/>
        <v>9</v>
      </c>
      <c r="L417" s="5" t="str">
        <f t="shared" si="13"/>
        <v>HIGH</v>
      </c>
      <c r="M417" s="4" t="s">
        <v>1747</v>
      </c>
      <c r="N417" s="8" t="b">
        <v>0</v>
      </c>
      <c r="O417" s="6" t="s">
        <v>1748</v>
      </c>
      <c r="P417" s="6" t="s">
        <v>1958</v>
      </c>
      <c r="Q417" s="6"/>
      <c r="R417" s="9" t="b">
        <v>1</v>
      </c>
      <c r="S417" s="6" t="s">
        <v>389</v>
      </c>
      <c r="T417" s="6" t="s">
        <v>2207</v>
      </c>
      <c r="U417" s="9" t="b">
        <v>1</v>
      </c>
    </row>
    <row r="418" spans="1:21" ht="30">
      <c r="A418" s="7" t="s">
        <v>384</v>
      </c>
      <c r="B418" s="15">
        <v>46179</v>
      </c>
      <c r="C418" s="5" t="s">
        <v>386</v>
      </c>
      <c r="D418" s="14">
        <v>3</v>
      </c>
      <c r="E418" s="5" t="s">
        <v>1708</v>
      </c>
      <c r="F418" s="5" t="s">
        <v>1961</v>
      </c>
      <c r="G418" s="13">
        <v>7</v>
      </c>
      <c r="H418" s="13">
        <v>2</v>
      </c>
      <c r="I418" s="13">
        <v>3</v>
      </c>
      <c r="J418" s="13">
        <v>2</v>
      </c>
      <c r="K418" s="14">
        <f t="shared" si="12"/>
        <v>6</v>
      </c>
      <c r="L418" s="5" t="str">
        <f t="shared" si="13"/>
        <v>HIGH</v>
      </c>
      <c r="M418" s="4" t="s">
        <v>1710</v>
      </c>
      <c r="N418" s="8" t="b">
        <v>0</v>
      </c>
      <c r="O418" s="6" t="s">
        <v>1711</v>
      </c>
      <c r="P418" s="6" t="s">
        <v>1962</v>
      </c>
      <c r="Q418" s="6"/>
      <c r="R418" s="9" t="b">
        <v>1</v>
      </c>
      <c r="S418" s="6" t="s">
        <v>389</v>
      </c>
      <c r="T418" s="6" t="s">
        <v>2208</v>
      </c>
      <c r="U418" s="9" t="b">
        <v>1</v>
      </c>
    </row>
    <row r="419" spans="1:21" ht="30">
      <c r="A419" s="7" t="s">
        <v>384</v>
      </c>
      <c r="B419" s="15">
        <v>46179</v>
      </c>
      <c r="C419" s="5" t="s">
        <v>386</v>
      </c>
      <c r="D419" s="14">
        <v>4</v>
      </c>
      <c r="E419" s="5" t="s">
        <v>1708</v>
      </c>
      <c r="F419" s="5" t="s">
        <v>1757</v>
      </c>
      <c r="G419" s="13">
        <v>10</v>
      </c>
      <c r="H419" s="13">
        <v>0</v>
      </c>
      <c r="I419" s="13">
        <v>2</v>
      </c>
      <c r="J419" s="13">
        <v>3</v>
      </c>
      <c r="K419" s="14">
        <f t="shared" si="12"/>
        <v>6</v>
      </c>
      <c r="L419" s="5" t="str">
        <f t="shared" si="13"/>
        <v>HIGH</v>
      </c>
      <c r="M419" s="4" t="s">
        <v>1710</v>
      </c>
      <c r="N419" s="8" t="b">
        <v>1</v>
      </c>
      <c r="O419" s="6" t="s">
        <v>1711</v>
      </c>
      <c r="P419" s="6" t="s">
        <v>1758</v>
      </c>
      <c r="Q419" s="6"/>
      <c r="R419" s="9" t="b">
        <v>1</v>
      </c>
      <c r="S419" s="6" t="s">
        <v>389</v>
      </c>
      <c r="T419" s="6" t="s">
        <v>2209</v>
      </c>
      <c r="U419" s="9" t="b">
        <v>1</v>
      </c>
    </row>
    <row r="420" spans="1:21" ht="30">
      <c r="A420" s="7" t="s">
        <v>384</v>
      </c>
      <c r="B420" s="15">
        <v>46179</v>
      </c>
      <c r="C420" s="5" t="s">
        <v>386</v>
      </c>
      <c r="D420" s="14">
        <v>5</v>
      </c>
      <c r="E420" s="5" t="s">
        <v>1714</v>
      </c>
      <c r="F420" s="5" t="s">
        <v>1788</v>
      </c>
      <c r="G420" s="13">
        <v>13</v>
      </c>
      <c r="H420" s="13">
        <v>1</v>
      </c>
      <c r="I420" s="13">
        <v>3</v>
      </c>
      <c r="J420" s="13">
        <v>3</v>
      </c>
      <c r="K420" s="14">
        <f t="shared" si="12"/>
        <v>9</v>
      </c>
      <c r="L420" s="5" t="str">
        <f t="shared" si="13"/>
        <v>HIGH</v>
      </c>
      <c r="M420" s="4" t="s">
        <v>1716</v>
      </c>
      <c r="N420" s="8" t="b">
        <v>0</v>
      </c>
      <c r="O420" s="6" t="s">
        <v>1717</v>
      </c>
      <c r="P420" s="6" t="s">
        <v>1789</v>
      </c>
      <c r="Q420" s="6"/>
      <c r="R420" s="9" t="b">
        <v>1</v>
      </c>
      <c r="S420" s="6" t="s">
        <v>389</v>
      </c>
      <c r="T420" s="6" t="s">
        <v>2210</v>
      </c>
      <c r="U420" s="9" t="b">
        <v>1</v>
      </c>
    </row>
    <row r="421" spans="1:21" ht="30">
      <c r="A421" s="7" t="s">
        <v>384</v>
      </c>
      <c r="B421" s="15">
        <v>46179</v>
      </c>
      <c r="C421" s="5" t="s">
        <v>386</v>
      </c>
      <c r="D421" s="14">
        <v>6</v>
      </c>
      <c r="E421" s="5" t="s">
        <v>1765</v>
      </c>
      <c r="F421" s="5" t="s">
        <v>1974</v>
      </c>
      <c r="G421" s="13">
        <v>16</v>
      </c>
      <c r="H421" s="13">
        <v>2</v>
      </c>
      <c r="I421" s="13">
        <v>3</v>
      </c>
      <c r="J421" s="13">
        <v>2</v>
      </c>
      <c r="K421" s="14">
        <f t="shared" si="12"/>
        <v>6</v>
      </c>
      <c r="L421" s="5" t="str">
        <f t="shared" si="13"/>
        <v>HIGH</v>
      </c>
      <c r="M421" s="4" t="s">
        <v>1767</v>
      </c>
      <c r="N421" s="8" t="b">
        <v>0</v>
      </c>
      <c r="O421" s="6" t="s">
        <v>1768</v>
      </c>
      <c r="P421" s="6" t="s">
        <v>1975</v>
      </c>
      <c r="Q421" s="6"/>
      <c r="R421" s="9" t="b">
        <v>1</v>
      </c>
      <c r="S421" s="6" t="s">
        <v>389</v>
      </c>
      <c r="T421" s="6" t="s">
        <v>2211</v>
      </c>
      <c r="U421" s="9" t="b">
        <v>1</v>
      </c>
    </row>
    <row r="422" spans="1:21" ht="30">
      <c r="A422" s="7" t="s">
        <v>384</v>
      </c>
      <c r="B422" s="15">
        <v>46179</v>
      </c>
      <c r="C422" s="5" t="s">
        <v>386</v>
      </c>
      <c r="D422" s="14">
        <v>7</v>
      </c>
      <c r="E422" s="5" t="s">
        <v>1778</v>
      </c>
      <c r="F422" s="5" t="s">
        <v>1804</v>
      </c>
      <c r="G422" s="13">
        <v>19</v>
      </c>
      <c r="H422" s="13">
        <v>0</v>
      </c>
      <c r="I422" s="13">
        <v>2</v>
      </c>
      <c r="J422" s="13">
        <v>3</v>
      </c>
      <c r="K422" s="14">
        <f t="shared" si="12"/>
        <v>6</v>
      </c>
      <c r="L422" s="5" t="str">
        <f t="shared" si="13"/>
        <v>HIGH</v>
      </c>
      <c r="M422" s="4" t="s">
        <v>1780</v>
      </c>
      <c r="N422" s="8" t="b">
        <v>1</v>
      </c>
      <c r="O422" s="6" t="s">
        <v>1781</v>
      </c>
      <c r="P422" s="6" t="s">
        <v>1805</v>
      </c>
      <c r="Q422" s="6"/>
      <c r="R422" s="9" t="b">
        <v>1</v>
      </c>
      <c r="S422" s="6" t="s">
        <v>389</v>
      </c>
      <c r="T422" s="6" t="s">
        <v>2212</v>
      </c>
      <c r="U422" s="9" t="b">
        <v>1</v>
      </c>
    </row>
    <row r="423" spans="1:21" ht="30">
      <c r="A423" s="7" t="s">
        <v>384</v>
      </c>
      <c r="B423" s="15">
        <v>46179</v>
      </c>
      <c r="C423" s="5" t="s">
        <v>386</v>
      </c>
      <c r="D423" s="14">
        <v>8</v>
      </c>
      <c r="E423" s="5" t="s">
        <v>1708</v>
      </c>
      <c r="F423" s="5" t="s">
        <v>2213</v>
      </c>
      <c r="G423" s="13">
        <v>2</v>
      </c>
      <c r="H423" s="13">
        <v>1</v>
      </c>
      <c r="I423" s="13">
        <v>3</v>
      </c>
      <c r="J423" s="13">
        <v>3</v>
      </c>
      <c r="K423" s="14">
        <f t="shared" si="12"/>
        <v>9</v>
      </c>
      <c r="L423" s="5" t="str">
        <f t="shared" si="13"/>
        <v>HIGH</v>
      </c>
      <c r="M423" s="4" t="s">
        <v>1710</v>
      </c>
      <c r="N423" s="8" t="b">
        <v>0</v>
      </c>
      <c r="O423" s="6" t="s">
        <v>1711</v>
      </c>
      <c r="P423" s="6" t="s">
        <v>1836</v>
      </c>
      <c r="Q423" s="6" t="s">
        <v>2213</v>
      </c>
      <c r="R423" s="9" t="b">
        <v>1</v>
      </c>
      <c r="S423" s="6" t="s">
        <v>389</v>
      </c>
      <c r="T423" s="6" t="s">
        <v>2214</v>
      </c>
      <c r="U423" s="9" t="b">
        <v>1</v>
      </c>
    </row>
    <row r="424" spans="1:21" ht="30">
      <c r="A424" s="7" t="s">
        <v>390</v>
      </c>
      <c r="B424" s="15">
        <v>46031</v>
      </c>
      <c r="C424" s="5" t="s">
        <v>392</v>
      </c>
      <c r="D424" s="14">
        <v>1</v>
      </c>
      <c r="E424" s="5" t="s">
        <v>1699</v>
      </c>
      <c r="F424" s="5" t="s">
        <v>1700</v>
      </c>
      <c r="G424" s="13">
        <v>15</v>
      </c>
      <c r="H424" s="13">
        <v>26</v>
      </c>
      <c r="I424" s="13">
        <v>3</v>
      </c>
      <c r="J424" s="13">
        <v>2</v>
      </c>
      <c r="K424" s="14">
        <f t="shared" si="12"/>
        <v>6</v>
      </c>
      <c r="L424" s="5" t="str">
        <f t="shared" si="13"/>
        <v>HIGH</v>
      </c>
      <c r="M424" s="4" t="s">
        <v>1701</v>
      </c>
      <c r="N424" s="8" t="b">
        <v>0</v>
      </c>
      <c r="O424" s="6" t="s">
        <v>1702</v>
      </c>
      <c r="P424" s="6" t="s">
        <v>1703</v>
      </c>
      <c r="Q424" s="6"/>
      <c r="R424" s="9" t="b">
        <v>1</v>
      </c>
      <c r="S424" s="6" t="s">
        <v>395</v>
      </c>
      <c r="T424" s="6" t="s">
        <v>2215</v>
      </c>
      <c r="U424" s="9" t="b">
        <v>1</v>
      </c>
    </row>
    <row r="425" spans="1:21" ht="30">
      <c r="A425" s="7" t="s">
        <v>390</v>
      </c>
      <c r="B425" s="15">
        <v>46031</v>
      </c>
      <c r="C425" s="5" t="s">
        <v>392</v>
      </c>
      <c r="D425" s="14">
        <v>2</v>
      </c>
      <c r="E425" s="5" t="s">
        <v>1699</v>
      </c>
      <c r="F425" s="5" t="s">
        <v>1705</v>
      </c>
      <c r="G425" s="13">
        <v>18</v>
      </c>
      <c r="H425" s="13">
        <v>2</v>
      </c>
      <c r="I425" s="13">
        <v>2</v>
      </c>
      <c r="J425" s="13">
        <v>3</v>
      </c>
      <c r="K425" s="14">
        <f t="shared" si="12"/>
        <v>6</v>
      </c>
      <c r="L425" s="5" t="str">
        <f t="shared" si="13"/>
        <v>HIGH</v>
      </c>
      <c r="M425" s="4" t="s">
        <v>1701</v>
      </c>
      <c r="N425" s="8" t="b">
        <v>0</v>
      </c>
      <c r="O425" s="6" t="s">
        <v>1702</v>
      </c>
      <c r="P425" s="6" t="s">
        <v>1706</v>
      </c>
      <c r="Q425" s="6"/>
      <c r="R425" s="9" t="b">
        <v>1</v>
      </c>
      <c r="S425" s="6" t="s">
        <v>395</v>
      </c>
      <c r="T425" s="6" t="s">
        <v>2216</v>
      </c>
      <c r="U425" s="9" t="b">
        <v>1</v>
      </c>
    </row>
    <row r="426" spans="1:21" ht="30">
      <c r="A426" s="7" t="s">
        <v>390</v>
      </c>
      <c r="B426" s="15">
        <v>46031</v>
      </c>
      <c r="C426" s="5" t="s">
        <v>392</v>
      </c>
      <c r="D426" s="14">
        <v>3</v>
      </c>
      <c r="E426" s="5" t="s">
        <v>1708</v>
      </c>
      <c r="F426" s="5" t="s">
        <v>1709</v>
      </c>
      <c r="G426" s="13">
        <v>21</v>
      </c>
      <c r="H426" s="13">
        <v>9</v>
      </c>
      <c r="I426" s="13">
        <v>3</v>
      </c>
      <c r="J426" s="13">
        <v>3</v>
      </c>
      <c r="K426" s="14">
        <f t="shared" si="12"/>
        <v>9</v>
      </c>
      <c r="L426" s="5" t="str">
        <f t="shared" si="13"/>
        <v>HIGH</v>
      </c>
      <c r="M426" s="4" t="s">
        <v>1710</v>
      </c>
      <c r="N426" s="8" t="b">
        <v>1</v>
      </c>
      <c r="O426" s="6" t="s">
        <v>1711</v>
      </c>
      <c r="P426" s="6" t="s">
        <v>1712</v>
      </c>
      <c r="Q426" s="6"/>
      <c r="R426" s="9" t="b">
        <v>1</v>
      </c>
      <c r="S426" s="6" t="s">
        <v>395</v>
      </c>
      <c r="T426" s="6" t="s">
        <v>2217</v>
      </c>
      <c r="U426" s="9" t="b">
        <v>1</v>
      </c>
    </row>
    <row r="427" spans="1:21" ht="30">
      <c r="A427" s="7" t="s">
        <v>390</v>
      </c>
      <c r="B427" s="15">
        <v>46031</v>
      </c>
      <c r="C427" s="5" t="s">
        <v>392</v>
      </c>
      <c r="D427" s="14">
        <v>4</v>
      </c>
      <c r="E427" s="5" t="s">
        <v>1714</v>
      </c>
      <c r="F427" s="5" t="s">
        <v>1715</v>
      </c>
      <c r="G427" s="13">
        <v>24</v>
      </c>
      <c r="H427" s="13">
        <v>16</v>
      </c>
      <c r="I427" s="13">
        <v>3</v>
      </c>
      <c r="J427" s="13">
        <v>2</v>
      </c>
      <c r="K427" s="14">
        <f t="shared" si="12"/>
        <v>6</v>
      </c>
      <c r="L427" s="5" t="str">
        <f t="shared" si="13"/>
        <v>HIGH</v>
      </c>
      <c r="M427" s="4" t="s">
        <v>1716</v>
      </c>
      <c r="N427" s="8" t="b">
        <v>0</v>
      </c>
      <c r="O427" s="6" t="s">
        <v>1717</v>
      </c>
      <c r="P427" s="6" t="s">
        <v>1718</v>
      </c>
      <c r="Q427" s="6"/>
      <c r="R427" s="9" t="b">
        <v>1</v>
      </c>
      <c r="S427" s="6" t="s">
        <v>395</v>
      </c>
      <c r="T427" s="6" t="s">
        <v>2218</v>
      </c>
      <c r="U427" s="9" t="b">
        <v>1</v>
      </c>
    </row>
    <row r="428" spans="1:21" ht="30">
      <c r="A428" s="7" t="s">
        <v>390</v>
      </c>
      <c r="B428" s="15">
        <v>46031</v>
      </c>
      <c r="C428" s="5" t="s">
        <v>392</v>
      </c>
      <c r="D428" s="14">
        <v>5</v>
      </c>
      <c r="E428" s="5" t="s">
        <v>1714</v>
      </c>
      <c r="F428" s="5" t="s">
        <v>1771</v>
      </c>
      <c r="G428" s="13">
        <v>27</v>
      </c>
      <c r="H428" s="13">
        <v>23</v>
      </c>
      <c r="I428" s="13">
        <v>2</v>
      </c>
      <c r="J428" s="13">
        <v>3</v>
      </c>
      <c r="K428" s="14">
        <f t="shared" si="12"/>
        <v>6</v>
      </c>
      <c r="L428" s="5" t="str">
        <f t="shared" si="13"/>
        <v>HIGH</v>
      </c>
      <c r="M428" s="4" t="s">
        <v>1716</v>
      </c>
      <c r="N428" s="8" t="b">
        <v>0</v>
      </c>
      <c r="O428" s="6" t="s">
        <v>1717</v>
      </c>
      <c r="P428" s="6" t="s">
        <v>1772</v>
      </c>
      <c r="Q428" s="6"/>
      <c r="R428" s="9" t="b">
        <v>1</v>
      </c>
      <c r="S428" s="6" t="s">
        <v>395</v>
      </c>
      <c r="T428" s="6" t="s">
        <v>2219</v>
      </c>
      <c r="U428" s="9" t="b">
        <v>1</v>
      </c>
    </row>
    <row r="429" spans="1:21" ht="30">
      <c r="A429" s="7" t="s">
        <v>390</v>
      </c>
      <c r="B429" s="15">
        <v>46031</v>
      </c>
      <c r="C429" s="5" t="s">
        <v>392</v>
      </c>
      <c r="D429" s="14">
        <v>6</v>
      </c>
      <c r="E429" s="5" t="s">
        <v>1720</v>
      </c>
      <c r="F429" s="5" t="s">
        <v>1721</v>
      </c>
      <c r="G429" s="13">
        <v>3</v>
      </c>
      <c r="H429" s="13">
        <v>30</v>
      </c>
      <c r="I429" s="13">
        <v>3</v>
      </c>
      <c r="J429" s="13">
        <v>3</v>
      </c>
      <c r="K429" s="14">
        <f t="shared" si="12"/>
        <v>9</v>
      </c>
      <c r="L429" s="5" t="str">
        <f t="shared" si="13"/>
        <v>HIGH</v>
      </c>
      <c r="M429" s="4" t="s">
        <v>1722</v>
      </c>
      <c r="N429" s="8" t="b">
        <v>1</v>
      </c>
      <c r="O429" s="6" t="s">
        <v>1723</v>
      </c>
      <c r="P429" s="6" t="s">
        <v>1724</v>
      </c>
      <c r="Q429" s="6"/>
      <c r="R429" s="9" t="b">
        <v>1</v>
      </c>
      <c r="S429" s="6" t="s">
        <v>395</v>
      </c>
      <c r="T429" s="6" t="s">
        <v>2220</v>
      </c>
      <c r="U429" s="9" t="b">
        <v>1</v>
      </c>
    </row>
    <row r="430" spans="1:21" ht="30">
      <c r="A430" s="7" t="s">
        <v>390</v>
      </c>
      <c r="B430" s="15">
        <v>46031</v>
      </c>
      <c r="C430" s="5" t="s">
        <v>392</v>
      </c>
      <c r="D430" s="14">
        <v>7</v>
      </c>
      <c r="E430" s="5" t="s">
        <v>1708</v>
      </c>
      <c r="F430" s="5" t="s">
        <v>1735</v>
      </c>
      <c r="G430" s="13">
        <v>6</v>
      </c>
      <c r="H430" s="13">
        <v>6</v>
      </c>
      <c r="I430" s="13">
        <v>3</v>
      </c>
      <c r="J430" s="13">
        <v>2</v>
      </c>
      <c r="K430" s="14">
        <f t="shared" si="12"/>
        <v>6</v>
      </c>
      <c r="L430" s="5" t="str">
        <f t="shared" si="13"/>
        <v>HIGH</v>
      </c>
      <c r="M430" s="4" t="s">
        <v>1710</v>
      </c>
      <c r="N430" s="8" t="b">
        <v>0</v>
      </c>
      <c r="O430" s="6" t="s">
        <v>1711</v>
      </c>
      <c r="P430" s="6" t="s">
        <v>1736</v>
      </c>
      <c r="Q430" s="6"/>
      <c r="R430" s="9" t="b">
        <v>1</v>
      </c>
      <c r="S430" s="6" t="s">
        <v>395</v>
      </c>
      <c r="T430" s="6" t="s">
        <v>2221</v>
      </c>
      <c r="U430" s="9" t="b">
        <v>1</v>
      </c>
    </row>
    <row r="431" spans="1:21" ht="30">
      <c r="A431" s="7" t="s">
        <v>396</v>
      </c>
      <c r="B431" s="15">
        <v>46065</v>
      </c>
      <c r="C431" s="5" t="s">
        <v>398</v>
      </c>
      <c r="D431" s="14">
        <v>1</v>
      </c>
      <c r="E431" s="5" t="s">
        <v>1708</v>
      </c>
      <c r="F431" s="5" t="s">
        <v>1709</v>
      </c>
      <c r="G431" s="13">
        <v>23</v>
      </c>
      <c r="H431" s="13">
        <v>0</v>
      </c>
      <c r="I431" s="13">
        <v>3</v>
      </c>
      <c r="J431" s="13">
        <v>3</v>
      </c>
      <c r="K431" s="14">
        <f t="shared" si="12"/>
        <v>9</v>
      </c>
      <c r="L431" s="5" t="str">
        <f t="shared" si="13"/>
        <v>HIGH</v>
      </c>
      <c r="M431" s="4" t="s">
        <v>1710</v>
      </c>
      <c r="N431" s="8" t="b">
        <v>0</v>
      </c>
      <c r="O431" s="6" t="s">
        <v>1711</v>
      </c>
      <c r="P431" s="6" t="s">
        <v>1712</v>
      </c>
      <c r="Q431" s="6"/>
      <c r="R431" s="9" t="b">
        <v>1</v>
      </c>
      <c r="S431" s="6" t="s">
        <v>401</v>
      </c>
      <c r="T431" s="6" t="s">
        <v>2222</v>
      </c>
      <c r="U431" s="9" t="b">
        <v>1</v>
      </c>
    </row>
    <row r="432" spans="1:21" ht="30">
      <c r="A432" s="7" t="s">
        <v>396</v>
      </c>
      <c r="B432" s="15">
        <v>46065</v>
      </c>
      <c r="C432" s="5" t="s">
        <v>398</v>
      </c>
      <c r="D432" s="14">
        <v>2</v>
      </c>
      <c r="E432" s="5" t="s">
        <v>1699</v>
      </c>
      <c r="F432" s="5" t="s">
        <v>1705</v>
      </c>
      <c r="G432" s="13">
        <v>26</v>
      </c>
      <c r="H432" s="13">
        <v>7</v>
      </c>
      <c r="I432" s="13">
        <v>3</v>
      </c>
      <c r="J432" s="13">
        <v>2</v>
      </c>
      <c r="K432" s="14">
        <f t="shared" si="12"/>
        <v>6</v>
      </c>
      <c r="L432" s="5" t="str">
        <f t="shared" si="13"/>
        <v>HIGH</v>
      </c>
      <c r="M432" s="4" t="s">
        <v>1701</v>
      </c>
      <c r="N432" s="8" t="b">
        <v>1</v>
      </c>
      <c r="O432" s="6" t="s">
        <v>1702</v>
      </c>
      <c r="P432" s="6" t="s">
        <v>1706</v>
      </c>
      <c r="Q432" s="6"/>
      <c r="R432" s="9" t="b">
        <v>1</v>
      </c>
      <c r="S432" s="6" t="s">
        <v>401</v>
      </c>
      <c r="T432" s="6" t="s">
        <v>2223</v>
      </c>
      <c r="U432" s="9" t="b">
        <v>1</v>
      </c>
    </row>
    <row r="433" spans="1:21" ht="30">
      <c r="A433" s="7" t="s">
        <v>396</v>
      </c>
      <c r="B433" s="15">
        <v>46065</v>
      </c>
      <c r="C433" s="5" t="s">
        <v>398</v>
      </c>
      <c r="D433" s="14">
        <v>3</v>
      </c>
      <c r="E433" s="5" t="s">
        <v>1699</v>
      </c>
      <c r="F433" s="5" t="s">
        <v>1700</v>
      </c>
      <c r="G433" s="13">
        <v>29</v>
      </c>
      <c r="H433" s="13">
        <v>14</v>
      </c>
      <c r="I433" s="13">
        <v>2</v>
      </c>
      <c r="J433" s="13">
        <v>3</v>
      </c>
      <c r="K433" s="14">
        <f t="shared" si="12"/>
        <v>6</v>
      </c>
      <c r="L433" s="5" t="str">
        <f t="shared" si="13"/>
        <v>HIGH</v>
      </c>
      <c r="M433" s="4" t="s">
        <v>1701</v>
      </c>
      <c r="N433" s="8" t="b">
        <v>0</v>
      </c>
      <c r="O433" s="6" t="s">
        <v>1702</v>
      </c>
      <c r="P433" s="6" t="s">
        <v>1703</v>
      </c>
      <c r="Q433" s="6"/>
      <c r="R433" s="9" t="b">
        <v>1</v>
      </c>
      <c r="S433" s="6" t="s">
        <v>401</v>
      </c>
      <c r="T433" s="6" t="s">
        <v>2224</v>
      </c>
      <c r="U433" s="9" t="b">
        <v>1</v>
      </c>
    </row>
    <row r="434" spans="1:21" ht="30">
      <c r="A434" s="7" t="s">
        <v>396</v>
      </c>
      <c r="B434" s="15">
        <v>46065</v>
      </c>
      <c r="C434" s="5" t="s">
        <v>398</v>
      </c>
      <c r="D434" s="14">
        <v>4</v>
      </c>
      <c r="E434" s="5" t="s">
        <v>1765</v>
      </c>
      <c r="F434" s="5" t="s">
        <v>1766</v>
      </c>
      <c r="G434" s="13">
        <v>32</v>
      </c>
      <c r="H434" s="13">
        <v>21</v>
      </c>
      <c r="I434" s="13">
        <v>3</v>
      </c>
      <c r="J434" s="13">
        <v>3</v>
      </c>
      <c r="K434" s="14">
        <f t="shared" si="12"/>
        <v>9</v>
      </c>
      <c r="L434" s="5" t="str">
        <f t="shared" si="13"/>
        <v>HIGH</v>
      </c>
      <c r="M434" s="4" t="s">
        <v>1767</v>
      </c>
      <c r="N434" s="8" t="b">
        <v>0</v>
      </c>
      <c r="O434" s="6" t="s">
        <v>1768</v>
      </c>
      <c r="P434" s="6" t="s">
        <v>1769</v>
      </c>
      <c r="Q434" s="6"/>
      <c r="R434" s="9" t="b">
        <v>1</v>
      </c>
      <c r="S434" s="6" t="s">
        <v>401</v>
      </c>
      <c r="T434" s="6" t="s">
        <v>2225</v>
      </c>
      <c r="U434" s="9" t="b">
        <v>1</v>
      </c>
    </row>
    <row r="435" spans="1:21" ht="30">
      <c r="A435" s="7" t="s">
        <v>396</v>
      </c>
      <c r="B435" s="15">
        <v>46065</v>
      </c>
      <c r="C435" s="5" t="s">
        <v>398</v>
      </c>
      <c r="D435" s="14">
        <v>5</v>
      </c>
      <c r="E435" s="5" t="s">
        <v>1714</v>
      </c>
      <c r="F435" s="5" t="s">
        <v>1771</v>
      </c>
      <c r="G435" s="13">
        <v>1</v>
      </c>
      <c r="H435" s="13">
        <v>28</v>
      </c>
      <c r="I435" s="13">
        <v>3</v>
      </c>
      <c r="J435" s="13">
        <v>2</v>
      </c>
      <c r="K435" s="14">
        <f t="shared" si="12"/>
        <v>6</v>
      </c>
      <c r="L435" s="5" t="str">
        <f t="shared" si="13"/>
        <v>HIGH</v>
      </c>
      <c r="M435" s="4" t="s">
        <v>1716</v>
      </c>
      <c r="N435" s="8" t="b">
        <v>1</v>
      </c>
      <c r="O435" s="6" t="s">
        <v>1717</v>
      </c>
      <c r="P435" s="6" t="s">
        <v>1772</v>
      </c>
      <c r="Q435" s="6"/>
      <c r="R435" s="9" t="b">
        <v>1</v>
      </c>
      <c r="S435" s="6" t="s">
        <v>401</v>
      </c>
      <c r="T435" s="6" t="s">
        <v>2226</v>
      </c>
      <c r="U435" s="9" t="b">
        <v>1</v>
      </c>
    </row>
    <row r="436" spans="1:21" ht="30">
      <c r="A436" s="7" t="s">
        <v>396</v>
      </c>
      <c r="B436" s="15">
        <v>46065</v>
      </c>
      <c r="C436" s="5" t="s">
        <v>398</v>
      </c>
      <c r="D436" s="14">
        <v>6</v>
      </c>
      <c r="E436" s="5" t="s">
        <v>1714</v>
      </c>
      <c r="F436" s="5" t="s">
        <v>1774</v>
      </c>
      <c r="G436" s="13">
        <v>4</v>
      </c>
      <c r="H436" s="13">
        <v>4</v>
      </c>
      <c r="I436" s="13">
        <v>2</v>
      </c>
      <c r="J436" s="13">
        <v>3</v>
      </c>
      <c r="K436" s="14">
        <f t="shared" si="12"/>
        <v>6</v>
      </c>
      <c r="L436" s="5" t="str">
        <f t="shared" si="13"/>
        <v>HIGH</v>
      </c>
      <c r="M436" s="4" t="s">
        <v>1716</v>
      </c>
      <c r="N436" s="8" t="b">
        <v>0</v>
      </c>
      <c r="O436" s="6" t="s">
        <v>1717</v>
      </c>
      <c r="P436" s="6" t="s">
        <v>1775</v>
      </c>
      <c r="Q436" s="6"/>
      <c r="R436" s="9" t="b">
        <v>1</v>
      </c>
      <c r="S436" s="6" t="s">
        <v>401</v>
      </c>
      <c r="T436" s="6" t="s">
        <v>2227</v>
      </c>
      <c r="U436" s="9" t="b">
        <v>1</v>
      </c>
    </row>
    <row r="437" spans="1:21" ht="45">
      <c r="A437" s="7" t="s">
        <v>396</v>
      </c>
      <c r="B437" s="15">
        <v>46065</v>
      </c>
      <c r="C437" s="5" t="s">
        <v>398</v>
      </c>
      <c r="D437" s="14">
        <v>7</v>
      </c>
      <c r="E437" s="5" t="s">
        <v>1729</v>
      </c>
      <c r="F437" s="5" t="s">
        <v>1730</v>
      </c>
      <c r="G437" s="13">
        <v>7</v>
      </c>
      <c r="H437" s="13">
        <v>11</v>
      </c>
      <c r="I437" s="13">
        <v>3</v>
      </c>
      <c r="J437" s="13">
        <v>3</v>
      </c>
      <c r="K437" s="14">
        <f t="shared" si="12"/>
        <v>9</v>
      </c>
      <c r="L437" s="5" t="str">
        <f t="shared" si="13"/>
        <v>HIGH</v>
      </c>
      <c r="M437" s="4" t="s">
        <v>1731</v>
      </c>
      <c r="N437" s="8" t="b">
        <v>0</v>
      </c>
      <c r="O437" s="6" t="s">
        <v>1732</v>
      </c>
      <c r="P437" s="6" t="s">
        <v>1733</v>
      </c>
      <c r="Q437" s="6"/>
      <c r="R437" s="9" t="b">
        <v>1</v>
      </c>
      <c r="S437" s="6" t="s">
        <v>401</v>
      </c>
      <c r="T437" s="6" t="s">
        <v>2228</v>
      </c>
      <c r="U437" s="9" t="b">
        <v>1</v>
      </c>
    </row>
    <row r="438" spans="1:21" ht="30">
      <c r="A438" s="7" t="s">
        <v>396</v>
      </c>
      <c r="B438" s="15">
        <v>46065</v>
      </c>
      <c r="C438" s="5" t="s">
        <v>398</v>
      </c>
      <c r="D438" s="14">
        <v>8</v>
      </c>
      <c r="E438" s="5" t="s">
        <v>1745</v>
      </c>
      <c r="F438" s="5" t="s">
        <v>1746</v>
      </c>
      <c r="G438" s="13">
        <v>10</v>
      </c>
      <c r="H438" s="13">
        <v>18</v>
      </c>
      <c r="I438" s="13">
        <v>3</v>
      </c>
      <c r="J438" s="13">
        <v>2</v>
      </c>
      <c r="K438" s="14">
        <f t="shared" si="12"/>
        <v>6</v>
      </c>
      <c r="L438" s="5" t="str">
        <f t="shared" si="13"/>
        <v>HIGH</v>
      </c>
      <c r="M438" s="4" t="s">
        <v>1747</v>
      </c>
      <c r="N438" s="8" t="b">
        <v>1</v>
      </c>
      <c r="O438" s="6" t="s">
        <v>1748</v>
      </c>
      <c r="P438" s="6" t="s">
        <v>1749</v>
      </c>
      <c r="Q438" s="6"/>
      <c r="R438" s="9" t="b">
        <v>1</v>
      </c>
      <c r="S438" s="6" t="s">
        <v>401</v>
      </c>
      <c r="T438" s="6" t="s">
        <v>2229</v>
      </c>
      <c r="U438" s="9" t="b">
        <v>1</v>
      </c>
    </row>
    <row r="439" spans="1:21" ht="30">
      <c r="A439" s="7" t="s">
        <v>402</v>
      </c>
      <c r="B439" s="15">
        <v>46096</v>
      </c>
      <c r="C439" s="5" t="s">
        <v>404</v>
      </c>
      <c r="D439" s="14">
        <v>1</v>
      </c>
      <c r="E439" s="5" t="s">
        <v>1699</v>
      </c>
      <c r="F439" s="5" t="s">
        <v>1700</v>
      </c>
      <c r="G439" s="13">
        <v>4</v>
      </c>
      <c r="H439" s="13">
        <v>5</v>
      </c>
      <c r="I439" s="13">
        <v>1</v>
      </c>
      <c r="J439" s="13">
        <v>3</v>
      </c>
      <c r="K439" s="14">
        <f t="shared" si="12"/>
        <v>3</v>
      </c>
      <c r="L439" s="5" t="str">
        <f t="shared" si="13"/>
        <v>MEDIUM</v>
      </c>
      <c r="M439" s="4" t="s">
        <v>1701</v>
      </c>
      <c r="N439" s="8" t="b">
        <v>0</v>
      </c>
      <c r="O439" s="6" t="s">
        <v>1702</v>
      </c>
      <c r="P439" s="6" t="s">
        <v>1703</v>
      </c>
      <c r="Q439" s="6"/>
      <c r="R439" s="9" t="b">
        <v>1</v>
      </c>
      <c r="S439" s="6" t="s">
        <v>407</v>
      </c>
      <c r="T439" s="6" t="s">
        <v>2230</v>
      </c>
      <c r="U439" s="9" t="b">
        <v>1</v>
      </c>
    </row>
    <row r="440" spans="1:21" ht="30">
      <c r="A440" s="7" t="s">
        <v>402</v>
      </c>
      <c r="B440" s="15">
        <v>46096</v>
      </c>
      <c r="C440" s="5" t="s">
        <v>404</v>
      </c>
      <c r="D440" s="14">
        <v>2</v>
      </c>
      <c r="E440" s="5" t="s">
        <v>1699</v>
      </c>
      <c r="F440" s="5" t="s">
        <v>1705</v>
      </c>
      <c r="G440" s="13">
        <v>7</v>
      </c>
      <c r="H440" s="13">
        <v>12</v>
      </c>
      <c r="I440" s="13">
        <v>3</v>
      </c>
      <c r="J440" s="13">
        <v>1</v>
      </c>
      <c r="K440" s="14">
        <f t="shared" si="12"/>
        <v>3</v>
      </c>
      <c r="L440" s="5" t="str">
        <f t="shared" si="13"/>
        <v>MEDIUM</v>
      </c>
      <c r="M440" s="4" t="s">
        <v>1701</v>
      </c>
      <c r="N440" s="8" t="b">
        <v>0</v>
      </c>
      <c r="O440" s="6" t="s">
        <v>1702</v>
      </c>
      <c r="P440" s="6" t="s">
        <v>1706</v>
      </c>
      <c r="Q440" s="6"/>
      <c r="R440" s="9" t="b">
        <v>1</v>
      </c>
      <c r="S440" s="6" t="s">
        <v>407</v>
      </c>
      <c r="T440" s="6" t="s">
        <v>2231</v>
      </c>
      <c r="U440" s="9" t="b">
        <v>1</v>
      </c>
    </row>
    <row r="441" spans="1:21" ht="30">
      <c r="A441" s="7" t="s">
        <v>402</v>
      </c>
      <c r="B441" s="15">
        <v>46096</v>
      </c>
      <c r="C441" s="5" t="s">
        <v>404</v>
      </c>
      <c r="D441" s="14">
        <v>3</v>
      </c>
      <c r="E441" s="5" t="s">
        <v>1708</v>
      </c>
      <c r="F441" s="5" t="s">
        <v>1709</v>
      </c>
      <c r="G441" s="13">
        <v>10</v>
      </c>
      <c r="H441" s="13">
        <v>19</v>
      </c>
      <c r="I441" s="13">
        <v>2</v>
      </c>
      <c r="J441" s="13">
        <v>2</v>
      </c>
      <c r="K441" s="14">
        <f t="shared" si="12"/>
        <v>4</v>
      </c>
      <c r="L441" s="5" t="str">
        <f t="shared" si="13"/>
        <v>MEDIUM</v>
      </c>
      <c r="M441" s="4" t="s">
        <v>1710</v>
      </c>
      <c r="N441" s="8" t="b">
        <v>0</v>
      </c>
      <c r="O441" s="6" t="s">
        <v>1711</v>
      </c>
      <c r="P441" s="6" t="s">
        <v>1712</v>
      </c>
      <c r="Q441" s="6"/>
      <c r="R441" s="9" t="b">
        <v>1</v>
      </c>
      <c r="S441" s="6" t="s">
        <v>407</v>
      </c>
      <c r="T441" s="6" t="s">
        <v>2232</v>
      </c>
      <c r="U441" s="9" t="b">
        <v>1</v>
      </c>
    </row>
    <row r="442" spans="1:21" ht="30">
      <c r="A442" s="7" t="s">
        <v>402</v>
      </c>
      <c r="B442" s="15">
        <v>46096</v>
      </c>
      <c r="C442" s="5" t="s">
        <v>404</v>
      </c>
      <c r="D442" s="14">
        <v>4</v>
      </c>
      <c r="E442" s="5" t="s">
        <v>1714</v>
      </c>
      <c r="F442" s="5" t="s">
        <v>1715</v>
      </c>
      <c r="G442" s="13">
        <v>13</v>
      </c>
      <c r="H442" s="13">
        <v>26</v>
      </c>
      <c r="I442" s="13">
        <v>1</v>
      </c>
      <c r="J442" s="13">
        <v>3</v>
      </c>
      <c r="K442" s="14">
        <f t="shared" si="12"/>
        <v>3</v>
      </c>
      <c r="L442" s="5" t="str">
        <f t="shared" si="13"/>
        <v>MEDIUM</v>
      </c>
      <c r="M442" s="4" t="s">
        <v>1716</v>
      </c>
      <c r="N442" s="8" t="b">
        <v>0</v>
      </c>
      <c r="O442" s="6" t="s">
        <v>1717</v>
      </c>
      <c r="P442" s="6" t="s">
        <v>1718</v>
      </c>
      <c r="Q442" s="6"/>
      <c r="R442" s="9" t="b">
        <v>1</v>
      </c>
      <c r="S442" s="6" t="s">
        <v>407</v>
      </c>
      <c r="T442" s="6" t="s">
        <v>2233</v>
      </c>
      <c r="U442" s="9" t="b">
        <v>1</v>
      </c>
    </row>
    <row r="443" spans="1:21" ht="30">
      <c r="A443" s="7" t="s">
        <v>402</v>
      </c>
      <c r="B443" s="15">
        <v>46096</v>
      </c>
      <c r="C443" s="5" t="s">
        <v>404</v>
      </c>
      <c r="D443" s="14">
        <v>5</v>
      </c>
      <c r="E443" s="5" t="s">
        <v>1714</v>
      </c>
      <c r="F443" s="5" t="s">
        <v>1771</v>
      </c>
      <c r="G443" s="13">
        <v>16</v>
      </c>
      <c r="H443" s="13">
        <v>2</v>
      </c>
      <c r="I443" s="13">
        <v>3</v>
      </c>
      <c r="J443" s="13">
        <v>1</v>
      </c>
      <c r="K443" s="14">
        <f t="shared" si="12"/>
        <v>3</v>
      </c>
      <c r="L443" s="5" t="str">
        <f t="shared" si="13"/>
        <v>MEDIUM</v>
      </c>
      <c r="M443" s="4" t="s">
        <v>1716</v>
      </c>
      <c r="N443" s="8" t="b">
        <v>0</v>
      </c>
      <c r="O443" s="6" t="s">
        <v>1717</v>
      </c>
      <c r="P443" s="6" t="s">
        <v>1772</v>
      </c>
      <c r="Q443" s="6"/>
      <c r="R443" s="9" t="b">
        <v>1</v>
      </c>
      <c r="S443" s="6" t="s">
        <v>407</v>
      </c>
      <c r="T443" s="6" t="s">
        <v>2234</v>
      </c>
      <c r="U443" s="9" t="b">
        <v>1</v>
      </c>
    </row>
    <row r="444" spans="1:21" ht="30">
      <c r="A444" s="7" t="s">
        <v>402</v>
      </c>
      <c r="B444" s="15">
        <v>46096</v>
      </c>
      <c r="C444" s="5" t="s">
        <v>404</v>
      </c>
      <c r="D444" s="14">
        <v>6</v>
      </c>
      <c r="E444" s="5" t="s">
        <v>1720</v>
      </c>
      <c r="F444" s="5" t="s">
        <v>1721</v>
      </c>
      <c r="G444" s="13">
        <v>19</v>
      </c>
      <c r="H444" s="13">
        <v>9</v>
      </c>
      <c r="I444" s="13">
        <v>2</v>
      </c>
      <c r="J444" s="13">
        <v>2</v>
      </c>
      <c r="K444" s="14">
        <f t="shared" si="12"/>
        <v>4</v>
      </c>
      <c r="L444" s="5" t="str">
        <f t="shared" si="13"/>
        <v>MEDIUM</v>
      </c>
      <c r="M444" s="4" t="s">
        <v>1722</v>
      </c>
      <c r="N444" s="8" t="b">
        <v>0</v>
      </c>
      <c r="O444" s="6" t="s">
        <v>1723</v>
      </c>
      <c r="P444" s="6" t="s">
        <v>1724</v>
      </c>
      <c r="Q444" s="6"/>
      <c r="R444" s="9" t="b">
        <v>1</v>
      </c>
      <c r="S444" s="6" t="s">
        <v>407</v>
      </c>
      <c r="T444" s="6" t="s">
        <v>2235</v>
      </c>
      <c r="U444" s="9" t="b">
        <v>1</v>
      </c>
    </row>
    <row r="445" spans="1:21" ht="30">
      <c r="A445" s="7" t="s">
        <v>402</v>
      </c>
      <c r="B445" s="15">
        <v>46096</v>
      </c>
      <c r="C445" s="5" t="s">
        <v>404</v>
      </c>
      <c r="D445" s="14">
        <v>7</v>
      </c>
      <c r="E445" s="5" t="s">
        <v>1720</v>
      </c>
      <c r="F445" s="5" t="s">
        <v>1726</v>
      </c>
      <c r="G445" s="13">
        <v>22</v>
      </c>
      <c r="H445" s="13">
        <v>16</v>
      </c>
      <c r="I445" s="13">
        <v>1</v>
      </c>
      <c r="J445" s="13">
        <v>3</v>
      </c>
      <c r="K445" s="14">
        <f t="shared" si="12"/>
        <v>3</v>
      </c>
      <c r="L445" s="5" t="str">
        <f t="shared" si="13"/>
        <v>MEDIUM</v>
      </c>
      <c r="M445" s="4" t="s">
        <v>1722</v>
      </c>
      <c r="N445" s="8" t="b">
        <v>0</v>
      </c>
      <c r="O445" s="6" t="s">
        <v>1723</v>
      </c>
      <c r="P445" s="6" t="s">
        <v>1727</v>
      </c>
      <c r="Q445" s="6"/>
      <c r="R445" s="9" t="b">
        <v>1</v>
      </c>
      <c r="S445" s="6" t="s">
        <v>407</v>
      </c>
      <c r="T445" s="6" t="s">
        <v>2236</v>
      </c>
      <c r="U445" s="9" t="b">
        <v>1</v>
      </c>
    </row>
    <row r="446" spans="1:21" ht="30">
      <c r="A446" s="7" t="s">
        <v>408</v>
      </c>
      <c r="B446" s="15">
        <v>46130</v>
      </c>
      <c r="C446" s="5" t="s">
        <v>410</v>
      </c>
      <c r="D446" s="14">
        <v>1</v>
      </c>
      <c r="E446" s="5" t="s">
        <v>1699</v>
      </c>
      <c r="F446" s="5" t="s">
        <v>1700</v>
      </c>
      <c r="G446" s="13">
        <v>33</v>
      </c>
      <c r="H446" s="13">
        <v>10</v>
      </c>
      <c r="I446" s="13">
        <v>3</v>
      </c>
      <c r="J446" s="13">
        <v>2</v>
      </c>
      <c r="K446" s="14">
        <f t="shared" si="12"/>
        <v>6</v>
      </c>
      <c r="L446" s="5" t="str">
        <f t="shared" si="13"/>
        <v>HIGH</v>
      </c>
      <c r="M446" s="4" t="s">
        <v>1701</v>
      </c>
      <c r="N446" s="8" t="b">
        <v>0</v>
      </c>
      <c r="O446" s="6" t="s">
        <v>1702</v>
      </c>
      <c r="P446" s="6" t="s">
        <v>1703</v>
      </c>
      <c r="Q446" s="6"/>
      <c r="R446" s="9" t="b">
        <v>1</v>
      </c>
      <c r="S446" s="6" t="s">
        <v>413</v>
      </c>
      <c r="T446" s="6" t="s">
        <v>2237</v>
      </c>
      <c r="U446" s="9" t="b">
        <v>1</v>
      </c>
    </row>
    <row r="447" spans="1:21" ht="30">
      <c r="A447" s="7" t="s">
        <v>408</v>
      </c>
      <c r="B447" s="15">
        <v>46130</v>
      </c>
      <c r="C447" s="5" t="s">
        <v>410</v>
      </c>
      <c r="D447" s="14">
        <v>2</v>
      </c>
      <c r="E447" s="5" t="s">
        <v>1699</v>
      </c>
      <c r="F447" s="5" t="s">
        <v>1705</v>
      </c>
      <c r="G447" s="13">
        <v>36</v>
      </c>
      <c r="H447" s="13">
        <v>17</v>
      </c>
      <c r="I447" s="13">
        <v>2</v>
      </c>
      <c r="J447" s="13">
        <v>3</v>
      </c>
      <c r="K447" s="14">
        <f t="shared" si="12"/>
        <v>6</v>
      </c>
      <c r="L447" s="5" t="str">
        <f t="shared" si="13"/>
        <v>HIGH</v>
      </c>
      <c r="M447" s="4" t="s">
        <v>1701</v>
      </c>
      <c r="N447" s="8" t="b">
        <v>0</v>
      </c>
      <c r="O447" s="6" t="s">
        <v>1702</v>
      </c>
      <c r="P447" s="6" t="s">
        <v>1706</v>
      </c>
      <c r="Q447" s="6"/>
      <c r="R447" s="9" t="b">
        <v>1</v>
      </c>
      <c r="S447" s="6" t="s">
        <v>413</v>
      </c>
      <c r="T447" s="6" t="s">
        <v>2238</v>
      </c>
      <c r="U447" s="9" t="b">
        <v>1</v>
      </c>
    </row>
    <row r="448" spans="1:21" ht="30">
      <c r="A448" s="7" t="s">
        <v>408</v>
      </c>
      <c r="B448" s="15">
        <v>46130</v>
      </c>
      <c r="C448" s="5" t="s">
        <v>410</v>
      </c>
      <c r="D448" s="14">
        <v>3</v>
      </c>
      <c r="E448" s="5" t="s">
        <v>1708</v>
      </c>
      <c r="F448" s="5" t="s">
        <v>1709</v>
      </c>
      <c r="G448" s="13">
        <v>39</v>
      </c>
      <c r="H448" s="13">
        <v>24</v>
      </c>
      <c r="I448" s="13">
        <v>3</v>
      </c>
      <c r="J448" s="13">
        <v>3</v>
      </c>
      <c r="K448" s="14">
        <f t="shared" si="12"/>
        <v>9</v>
      </c>
      <c r="L448" s="5" t="str">
        <f t="shared" si="13"/>
        <v>HIGH</v>
      </c>
      <c r="M448" s="4" t="s">
        <v>1710</v>
      </c>
      <c r="N448" s="8" t="b">
        <v>1</v>
      </c>
      <c r="O448" s="6" t="s">
        <v>1711</v>
      </c>
      <c r="P448" s="6" t="s">
        <v>1712</v>
      </c>
      <c r="Q448" s="6"/>
      <c r="R448" s="9" t="b">
        <v>1</v>
      </c>
      <c r="S448" s="6" t="s">
        <v>413</v>
      </c>
      <c r="T448" s="6" t="s">
        <v>2239</v>
      </c>
      <c r="U448" s="9" t="b">
        <v>1</v>
      </c>
    </row>
    <row r="449" spans="1:21" ht="30">
      <c r="A449" s="7" t="s">
        <v>408</v>
      </c>
      <c r="B449" s="15">
        <v>46130</v>
      </c>
      <c r="C449" s="5" t="s">
        <v>410</v>
      </c>
      <c r="D449" s="14">
        <v>4</v>
      </c>
      <c r="E449" s="5" t="s">
        <v>1714</v>
      </c>
      <c r="F449" s="5" t="s">
        <v>1715</v>
      </c>
      <c r="G449" s="13">
        <v>42</v>
      </c>
      <c r="H449" s="13">
        <v>0</v>
      </c>
      <c r="I449" s="13">
        <v>3</v>
      </c>
      <c r="J449" s="13">
        <v>2</v>
      </c>
      <c r="K449" s="14">
        <f t="shared" si="12"/>
        <v>6</v>
      </c>
      <c r="L449" s="5" t="str">
        <f t="shared" si="13"/>
        <v>HIGH</v>
      </c>
      <c r="M449" s="4" t="s">
        <v>1716</v>
      </c>
      <c r="N449" s="8" t="b">
        <v>0</v>
      </c>
      <c r="O449" s="6" t="s">
        <v>1717</v>
      </c>
      <c r="P449" s="6" t="s">
        <v>1718</v>
      </c>
      <c r="Q449" s="6"/>
      <c r="R449" s="9" t="b">
        <v>1</v>
      </c>
      <c r="S449" s="6" t="s">
        <v>413</v>
      </c>
      <c r="T449" s="6" t="s">
        <v>2240</v>
      </c>
      <c r="U449" s="9" t="b">
        <v>1</v>
      </c>
    </row>
    <row r="450" spans="1:21" ht="30">
      <c r="A450" s="7" t="s">
        <v>408</v>
      </c>
      <c r="B450" s="15">
        <v>46130</v>
      </c>
      <c r="C450" s="5" t="s">
        <v>410</v>
      </c>
      <c r="D450" s="14">
        <v>5</v>
      </c>
      <c r="E450" s="5" t="s">
        <v>1720</v>
      </c>
      <c r="F450" s="5" t="s">
        <v>1721</v>
      </c>
      <c r="G450" s="13">
        <v>45</v>
      </c>
      <c r="H450" s="13">
        <v>7</v>
      </c>
      <c r="I450" s="13">
        <v>2</v>
      </c>
      <c r="J450" s="13">
        <v>3</v>
      </c>
      <c r="K450" s="14">
        <f t="shared" si="12"/>
        <v>6</v>
      </c>
      <c r="L450" s="5" t="str">
        <f t="shared" si="13"/>
        <v>HIGH</v>
      </c>
      <c r="M450" s="4" t="s">
        <v>1722</v>
      </c>
      <c r="N450" s="8" t="b">
        <v>0</v>
      </c>
      <c r="O450" s="6" t="s">
        <v>1723</v>
      </c>
      <c r="P450" s="6" t="s">
        <v>1724</v>
      </c>
      <c r="Q450" s="6"/>
      <c r="R450" s="9" t="b">
        <v>1</v>
      </c>
      <c r="S450" s="6" t="s">
        <v>413</v>
      </c>
      <c r="T450" s="6" t="s">
        <v>2241</v>
      </c>
      <c r="U450" s="9" t="b">
        <v>1</v>
      </c>
    </row>
    <row r="451" spans="1:21" ht="30">
      <c r="A451" s="7" t="s">
        <v>408</v>
      </c>
      <c r="B451" s="15">
        <v>46130</v>
      </c>
      <c r="C451" s="5" t="s">
        <v>410</v>
      </c>
      <c r="D451" s="14">
        <v>6</v>
      </c>
      <c r="E451" s="5" t="s">
        <v>1720</v>
      </c>
      <c r="F451" s="5" t="s">
        <v>1726</v>
      </c>
      <c r="G451" s="13">
        <v>48</v>
      </c>
      <c r="H451" s="13">
        <v>14</v>
      </c>
      <c r="I451" s="13">
        <v>3</v>
      </c>
      <c r="J451" s="13">
        <v>3</v>
      </c>
      <c r="K451" s="14">
        <f t="shared" si="12"/>
        <v>9</v>
      </c>
      <c r="L451" s="5" t="str">
        <f t="shared" si="13"/>
        <v>HIGH</v>
      </c>
      <c r="M451" s="4" t="s">
        <v>1722</v>
      </c>
      <c r="N451" s="8" t="b">
        <v>1</v>
      </c>
      <c r="O451" s="6" t="s">
        <v>1723</v>
      </c>
      <c r="P451" s="6" t="s">
        <v>1727</v>
      </c>
      <c r="Q451" s="6"/>
      <c r="R451" s="9" t="b">
        <v>1</v>
      </c>
      <c r="S451" s="6" t="s">
        <v>413</v>
      </c>
      <c r="T451" s="6" t="s">
        <v>2242</v>
      </c>
      <c r="U451" s="9" t="b">
        <v>1</v>
      </c>
    </row>
    <row r="452" spans="1:21" ht="45">
      <c r="A452" s="7" t="s">
        <v>408</v>
      </c>
      <c r="B452" s="15">
        <v>46130</v>
      </c>
      <c r="C452" s="5" t="s">
        <v>410</v>
      </c>
      <c r="D452" s="14">
        <v>7</v>
      </c>
      <c r="E452" s="5" t="s">
        <v>1729</v>
      </c>
      <c r="F452" s="5" t="s">
        <v>1730</v>
      </c>
      <c r="G452" s="13">
        <v>3</v>
      </c>
      <c r="H452" s="13">
        <v>21</v>
      </c>
      <c r="I452" s="13">
        <v>3</v>
      </c>
      <c r="J452" s="13">
        <v>2</v>
      </c>
      <c r="K452" s="14">
        <f t="shared" ref="K452:K488" si="14">IF(AND(R452=TRUE,U452=TRUE,ISNUMBER(I452),I452=INT(I452),I452&gt;=1,I452&lt;=3,ISNUMBER(J452),J452=INT(J452),J452&gt;=1,J452&lt;=3),I452*J452,"")</f>
        <v>6</v>
      </c>
      <c r="L452" s="5" t="str">
        <f t="shared" ref="L452:L488" si="15">IF(K452="","",IF(K452&lt;=2,"LOW",IF(K452&lt;=4,"MEDIUM","HIGH")))</f>
        <v>HIGH</v>
      </c>
      <c r="M452" s="4" t="s">
        <v>1731</v>
      </c>
      <c r="N452" s="8" t="b">
        <v>0</v>
      </c>
      <c r="O452" s="6" t="s">
        <v>1732</v>
      </c>
      <c r="P452" s="6" t="s">
        <v>1733</v>
      </c>
      <c r="Q452" s="6"/>
      <c r="R452" s="9" t="b">
        <v>1</v>
      </c>
      <c r="S452" s="6" t="s">
        <v>413</v>
      </c>
      <c r="T452" s="6" t="s">
        <v>2243</v>
      </c>
      <c r="U452" s="9" t="b">
        <v>1</v>
      </c>
    </row>
    <row r="453" spans="1:21" ht="30">
      <c r="A453" s="7" t="s">
        <v>408</v>
      </c>
      <c r="B453" s="15">
        <v>46130</v>
      </c>
      <c r="C453" s="5" t="s">
        <v>410</v>
      </c>
      <c r="D453" s="14">
        <v>8</v>
      </c>
      <c r="E453" s="5" t="s">
        <v>1778</v>
      </c>
      <c r="F453" s="5" t="s">
        <v>1779</v>
      </c>
      <c r="G453" s="13">
        <v>6</v>
      </c>
      <c r="H453" s="13">
        <v>28</v>
      </c>
      <c r="I453" s="13">
        <v>2</v>
      </c>
      <c r="J453" s="13">
        <v>3</v>
      </c>
      <c r="K453" s="14">
        <f t="shared" si="14"/>
        <v>6</v>
      </c>
      <c r="L453" s="5" t="str">
        <f t="shared" si="15"/>
        <v>HIGH</v>
      </c>
      <c r="M453" s="4" t="s">
        <v>1780</v>
      </c>
      <c r="N453" s="8" t="b">
        <v>0</v>
      </c>
      <c r="O453" s="6" t="s">
        <v>1781</v>
      </c>
      <c r="P453" s="6" t="s">
        <v>1782</v>
      </c>
      <c r="Q453" s="6"/>
      <c r="R453" s="9" t="b">
        <v>1</v>
      </c>
      <c r="S453" s="6" t="s">
        <v>413</v>
      </c>
      <c r="T453" s="6" t="s">
        <v>2244</v>
      </c>
      <c r="U453" s="9" t="b">
        <v>1</v>
      </c>
    </row>
    <row r="454" spans="1:21" ht="30">
      <c r="A454" s="7" t="s">
        <v>414</v>
      </c>
      <c r="B454" s="15">
        <v>46163</v>
      </c>
      <c r="C454" s="5" t="s">
        <v>416</v>
      </c>
      <c r="D454" s="14">
        <v>1</v>
      </c>
      <c r="E454" s="5" t="s">
        <v>1699</v>
      </c>
      <c r="F454" s="5" t="s">
        <v>1700</v>
      </c>
      <c r="G454" s="13">
        <v>21</v>
      </c>
      <c r="H454" s="13">
        <v>15</v>
      </c>
      <c r="I454" s="13">
        <v>3</v>
      </c>
      <c r="J454" s="13">
        <v>3</v>
      </c>
      <c r="K454" s="14">
        <f t="shared" si="14"/>
        <v>9</v>
      </c>
      <c r="L454" s="5" t="str">
        <f t="shared" si="15"/>
        <v>HIGH</v>
      </c>
      <c r="M454" s="4" t="s">
        <v>1701</v>
      </c>
      <c r="N454" s="8" t="b">
        <v>0</v>
      </c>
      <c r="O454" s="6" t="s">
        <v>1702</v>
      </c>
      <c r="P454" s="6" t="s">
        <v>1703</v>
      </c>
      <c r="Q454" s="6"/>
      <c r="R454" s="9" t="b">
        <v>1</v>
      </c>
      <c r="S454" s="6" t="s">
        <v>419</v>
      </c>
      <c r="T454" s="6" t="s">
        <v>2245</v>
      </c>
      <c r="U454" s="9" t="b">
        <v>1</v>
      </c>
    </row>
    <row r="455" spans="1:21" ht="30">
      <c r="A455" s="7" t="s">
        <v>414</v>
      </c>
      <c r="B455" s="15">
        <v>46163</v>
      </c>
      <c r="C455" s="5" t="s">
        <v>416</v>
      </c>
      <c r="D455" s="14">
        <v>2</v>
      </c>
      <c r="E455" s="5" t="s">
        <v>1699</v>
      </c>
      <c r="F455" s="5" t="s">
        <v>1705</v>
      </c>
      <c r="G455" s="13">
        <v>24</v>
      </c>
      <c r="H455" s="13">
        <v>22</v>
      </c>
      <c r="I455" s="13">
        <v>3</v>
      </c>
      <c r="J455" s="13">
        <v>2</v>
      </c>
      <c r="K455" s="14">
        <f t="shared" si="14"/>
        <v>6</v>
      </c>
      <c r="L455" s="5" t="str">
        <f t="shared" si="15"/>
        <v>HIGH</v>
      </c>
      <c r="M455" s="4" t="s">
        <v>1701</v>
      </c>
      <c r="N455" s="8" t="b">
        <v>1</v>
      </c>
      <c r="O455" s="6" t="s">
        <v>1702</v>
      </c>
      <c r="P455" s="6" t="s">
        <v>1706</v>
      </c>
      <c r="Q455" s="6"/>
      <c r="R455" s="9" t="b">
        <v>1</v>
      </c>
      <c r="S455" s="6" t="s">
        <v>419</v>
      </c>
      <c r="T455" s="6" t="s">
        <v>2246</v>
      </c>
      <c r="U455" s="9" t="b">
        <v>1</v>
      </c>
    </row>
    <row r="456" spans="1:21" ht="30">
      <c r="A456" s="7" t="s">
        <v>414</v>
      </c>
      <c r="B456" s="15">
        <v>46163</v>
      </c>
      <c r="C456" s="5" t="s">
        <v>416</v>
      </c>
      <c r="D456" s="14">
        <v>3</v>
      </c>
      <c r="E456" s="5" t="s">
        <v>1708</v>
      </c>
      <c r="F456" s="5" t="s">
        <v>1709</v>
      </c>
      <c r="G456" s="13">
        <v>27</v>
      </c>
      <c r="H456" s="13">
        <v>29</v>
      </c>
      <c r="I456" s="13">
        <v>2</v>
      </c>
      <c r="J456" s="13">
        <v>3</v>
      </c>
      <c r="K456" s="14">
        <f t="shared" si="14"/>
        <v>6</v>
      </c>
      <c r="L456" s="5" t="str">
        <f t="shared" si="15"/>
        <v>HIGH</v>
      </c>
      <c r="M456" s="4" t="s">
        <v>1710</v>
      </c>
      <c r="N456" s="8" t="b">
        <v>0</v>
      </c>
      <c r="O456" s="6" t="s">
        <v>1711</v>
      </c>
      <c r="P456" s="6" t="s">
        <v>1712</v>
      </c>
      <c r="Q456" s="6"/>
      <c r="R456" s="9" t="b">
        <v>1</v>
      </c>
      <c r="S456" s="6" t="s">
        <v>419</v>
      </c>
      <c r="T456" s="6" t="s">
        <v>2247</v>
      </c>
      <c r="U456" s="9" t="b">
        <v>1</v>
      </c>
    </row>
    <row r="457" spans="1:21" ht="30">
      <c r="A457" s="7" t="s">
        <v>414</v>
      </c>
      <c r="B457" s="15">
        <v>46163</v>
      </c>
      <c r="C457" s="5" t="s">
        <v>416</v>
      </c>
      <c r="D457" s="14">
        <v>4</v>
      </c>
      <c r="E457" s="5" t="s">
        <v>1714</v>
      </c>
      <c r="F457" s="5" t="s">
        <v>1715</v>
      </c>
      <c r="G457" s="13">
        <v>30</v>
      </c>
      <c r="H457" s="13">
        <v>5</v>
      </c>
      <c r="I457" s="13">
        <v>3</v>
      </c>
      <c r="J457" s="13">
        <v>3</v>
      </c>
      <c r="K457" s="14">
        <f t="shared" si="14"/>
        <v>9</v>
      </c>
      <c r="L457" s="5" t="str">
        <f t="shared" si="15"/>
        <v>HIGH</v>
      </c>
      <c r="M457" s="4" t="s">
        <v>1716</v>
      </c>
      <c r="N457" s="8" t="b">
        <v>0</v>
      </c>
      <c r="O457" s="6" t="s">
        <v>1717</v>
      </c>
      <c r="P457" s="6" t="s">
        <v>1718</v>
      </c>
      <c r="Q457" s="6"/>
      <c r="R457" s="9" t="b">
        <v>1</v>
      </c>
      <c r="S457" s="6" t="s">
        <v>419</v>
      </c>
      <c r="T457" s="6" t="s">
        <v>2248</v>
      </c>
      <c r="U457" s="9" t="b">
        <v>1</v>
      </c>
    </row>
    <row r="458" spans="1:21" ht="30">
      <c r="A458" s="7" t="s">
        <v>414</v>
      </c>
      <c r="B458" s="15">
        <v>46163</v>
      </c>
      <c r="C458" s="5" t="s">
        <v>416</v>
      </c>
      <c r="D458" s="14">
        <v>5</v>
      </c>
      <c r="E458" s="5" t="s">
        <v>1720</v>
      </c>
      <c r="F458" s="5" t="s">
        <v>1721</v>
      </c>
      <c r="G458" s="13">
        <v>33</v>
      </c>
      <c r="H458" s="13">
        <v>12</v>
      </c>
      <c r="I458" s="13">
        <v>3</v>
      </c>
      <c r="J458" s="13">
        <v>2</v>
      </c>
      <c r="K458" s="14">
        <f t="shared" si="14"/>
        <v>6</v>
      </c>
      <c r="L458" s="5" t="str">
        <f t="shared" si="15"/>
        <v>HIGH</v>
      </c>
      <c r="M458" s="4" t="s">
        <v>1722</v>
      </c>
      <c r="N458" s="8" t="b">
        <v>1</v>
      </c>
      <c r="O458" s="6" t="s">
        <v>1723</v>
      </c>
      <c r="P458" s="6" t="s">
        <v>1724</v>
      </c>
      <c r="Q458" s="6"/>
      <c r="R458" s="9" t="b">
        <v>1</v>
      </c>
      <c r="S458" s="6" t="s">
        <v>419</v>
      </c>
      <c r="T458" s="6" t="s">
        <v>2249</v>
      </c>
      <c r="U458" s="9" t="b">
        <v>1</v>
      </c>
    </row>
    <row r="459" spans="1:21" ht="30">
      <c r="A459" s="7" t="s">
        <v>414</v>
      </c>
      <c r="B459" s="15">
        <v>46163</v>
      </c>
      <c r="C459" s="5" t="s">
        <v>416</v>
      </c>
      <c r="D459" s="14">
        <v>6</v>
      </c>
      <c r="E459" s="5" t="s">
        <v>1720</v>
      </c>
      <c r="F459" s="5" t="s">
        <v>1726</v>
      </c>
      <c r="G459" s="13">
        <v>36</v>
      </c>
      <c r="H459" s="13">
        <v>19</v>
      </c>
      <c r="I459" s="13">
        <v>2</v>
      </c>
      <c r="J459" s="13">
        <v>3</v>
      </c>
      <c r="K459" s="14">
        <f t="shared" si="14"/>
        <v>6</v>
      </c>
      <c r="L459" s="5" t="str">
        <f t="shared" si="15"/>
        <v>HIGH</v>
      </c>
      <c r="M459" s="4" t="s">
        <v>1722</v>
      </c>
      <c r="N459" s="8" t="b">
        <v>0</v>
      </c>
      <c r="O459" s="6" t="s">
        <v>1723</v>
      </c>
      <c r="P459" s="6" t="s">
        <v>1727</v>
      </c>
      <c r="Q459" s="6"/>
      <c r="R459" s="9" t="b">
        <v>1</v>
      </c>
      <c r="S459" s="6" t="s">
        <v>419</v>
      </c>
      <c r="T459" s="6" t="s">
        <v>2250</v>
      </c>
      <c r="U459" s="9" t="b">
        <v>1</v>
      </c>
    </row>
    <row r="460" spans="1:21" ht="45">
      <c r="A460" s="7" t="s">
        <v>414</v>
      </c>
      <c r="B460" s="15">
        <v>46163</v>
      </c>
      <c r="C460" s="5" t="s">
        <v>416</v>
      </c>
      <c r="D460" s="14">
        <v>7</v>
      </c>
      <c r="E460" s="5" t="s">
        <v>1729</v>
      </c>
      <c r="F460" s="5" t="s">
        <v>1730</v>
      </c>
      <c r="G460" s="13">
        <v>39</v>
      </c>
      <c r="H460" s="13">
        <v>26</v>
      </c>
      <c r="I460" s="13">
        <v>3</v>
      </c>
      <c r="J460" s="13">
        <v>3</v>
      </c>
      <c r="K460" s="14">
        <f t="shared" si="14"/>
        <v>9</v>
      </c>
      <c r="L460" s="5" t="str">
        <f t="shared" si="15"/>
        <v>HIGH</v>
      </c>
      <c r="M460" s="4" t="s">
        <v>1731</v>
      </c>
      <c r="N460" s="8" t="b">
        <v>0</v>
      </c>
      <c r="O460" s="6" t="s">
        <v>1732</v>
      </c>
      <c r="P460" s="6" t="s">
        <v>1733</v>
      </c>
      <c r="Q460" s="6"/>
      <c r="R460" s="9" t="b">
        <v>1</v>
      </c>
      <c r="S460" s="6" t="s">
        <v>419</v>
      </c>
      <c r="T460" s="6" t="s">
        <v>2251</v>
      </c>
      <c r="U460" s="9" t="b">
        <v>1</v>
      </c>
    </row>
    <row r="461" spans="1:21" ht="30">
      <c r="A461" s="7" t="s">
        <v>420</v>
      </c>
      <c r="B461" s="15">
        <v>46197</v>
      </c>
      <c r="C461" s="5" t="s">
        <v>422</v>
      </c>
      <c r="D461" s="14">
        <v>1</v>
      </c>
      <c r="E461" s="5" t="s">
        <v>1699</v>
      </c>
      <c r="F461" s="5" t="s">
        <v>1700</v>
      </c>
      <c r="G461" s="13">
        <v>9</v>
      </c>
      <c r="H461" s="13">
        <v>20</v>
      </c>
      <c r="I461" s="13">
        <v>2</v>
      </c>
      <c r="J461" s="13">
        <v>3</v>
      </c>
      <c r="K461" s="14">
        <f t="shared" si="14"/>
        <v>6</v>
      </c>
      <c r="L461" s="5" t="str">
        <f t="shared" si="15"/>
        <v>HIGH</v>
      </c>
      <c r="M461" s="4" t="s">
        <v>1701</v>
      </c>
      <c r="N461" s="8" t="b">
        <v>1</v>
      </c>
      <c r="O461" s="6" t="s">
        <v>1702</v>
      </c>
      <c r="P461" s="6" t="s">
        <v>1703</v>
      </c>
      <c r="Q461" s="6"/>
      <c r="R461" s="9" t="b">
        <v>1</v>
      </c>
      <c r="S461" s="6" t="s">
        <v>425</v>
      </c>
      <c r="T461" s="6" t="s">
        <v>2252</v>
      </c>
      <c r="U461" s="9" t="b">
        <v>1</v>
      </c>
    </row>
    <row r="462" spans="1:21" ht="30">
      <c r="A462" s="7" t="s">
        <v>420</v>
      </c>
      <c r="B462" s="15">
        <v>46197</v>
      </c>
      <c r="C462" s="5" t="s">
        <v>422</v>
      </c>
      <c r="D462" s="14">
        <v>2</v>
      </c>
      <c r="E462" s="5" t="s">
        <v>1699</v>
      </c>
      <c r="F462" s="5" t="s">
        <v>1705</v>
      </c>
      <c r="G462" s="13">
        <v>12</v>
      </c>
      <c r="H462" s="13">
        <v>27</v>
      </c>
      <c r="I462" s="13">
        <v>3</v>
      </c>
      <c r="J462" s="13">
        <v>3</v>
      </c>
      <c r="K462" s="14">
        <f t="shared" si="14"/>
        <v>9</v>
      </c>
      <c r="L462" s="5" t="str">
        <f t="shared" si="15"/>
        <v>HIGH</v>
      </c>
      <c r="M462" s="4" t="s">
        <v>1701</v>
      </c>
      <c r="N462" s="8" t="b">
        <v>0</v>
      </c>
      <c r="O462" s="6" t="s">
        <v>1702</v>
      </c>
      <c r="P462" s="6" t="s">
        <v>1706</v>
      </c>
      <c r="Q462" s="6"/>
      <c r="R462" s="9" t="b">
        <v>1</v>
      </c>
      <c r="S462" s="6" t="s">
        <v>425</v>
      </c>
      <c r="T462" s="6" t="s">
        <v>2253</v>
      </c>
      <c r="U462" s="9" t="b">
        <v>1</v>
      </c>
    </row>
    <row r="463" spans="1:21" ht="30">
      <c r="A463" s="7" t="s">
        <v>420</v>
      </c>
      <c r="B463" s="15">
        <v>46197</v>
      </c>
      <c r="C463" s="5" t="s">
        <v>422</v>
      </c>
      <c r="D463" s="14">
        <v>3</v>
      </c>
      <c r="E463" s="5" t="s">
        <v>1708</v>
      </c>
      <c r="F463" s="5" t="s">
        <v>1709</v>
      </c>
      <c r="G463" s="13">
        <v>15</v>
      </c>
      <c r="H463" s="13">
        <v>3</v>
      </c>
      <c r="I463" s="13">
        <v>3</v>
      </c>
      <c r="J463" s="13">
        <v>2</v>
      </c>
      <c r="K463" s="14">
        <f t="shared" si="14"/>
        <v>6</v>
      </c>
      <c r="L463" s="5" t="str">
        <f t="shared" si="15"/>
        <v>HIGH</v>
      </c>
      <c r="M463" s="4" t="s">
        <v>1710</v>
      </c>
      <c r="N463" s="8" t="b">
        <v>0</v>
      </c>
      <c r="O463" s="6" t="s">
        <v>1711</v>
      </c>
      <c r="P463" s="6" t="s">
        <v>1712</v>
      </c>
      <c r="Q463" s="6"/>
      <c r="R463" s="9" t="b">
        <v>1</v>
      </c>
      <c r="S463" s="6" t="s">
        <v>425</v>
      </c>
      <c r="T463" s="6" t="s">
        <v>2254</v>
      </c>
      <c r="U463" s="9" t="b">
        <v>1</v>
      </c>
    </row>
    <row r="464" spans="1:21" ht="30">
      <c r="A464" s="7" t="s">
        <v>420</v>
      </c>
      <c r="B464" s="15">
        <v>46197</v>
      </c>
      <c r="C464" s="5" t="s">
        <v>422</v>
      </c>
      <c r="D464" s="14">
        <v>4</v>
      </c>
      <c r="E464" s="5" t="s">
        <v>1714</v>
      </c>
      <c r="F464" s="5" t="s">
        <v>1715</v>
      </c>
      <c r="G464" s="13">
        <v>18</v>
      </c>
      <c r="H464" s="13">
        <v>10</v>
      </c>
      <c r="I464" s="13">
        <v>2</v>
      </c>
      <c r="J464" s="13">
        <v>3</v>
      </c>
      <c r="K464" s="14">
        <f t="shared" si="14"/>
        <v>6</v>
      </c>
      <c r="L464" s="5" t="str">
        <f t="shared" si="15"/>
        <v>HIGH</v>
      </c>
      <c r="M464" s="4" t="s">
        <v>1716</v>
      </c>
      <c r="N464" s="8" t="b">
        <v>1</v>
      </c>
      <c r="O464" s="6" t="s">
        <v>1717</v>
      </c>
      <c r="P464" s="6" t="s">
        <v>1718</v>
      </c>
      <c r="Q464" s="6"/>
      <c r="R464" s="9" t="b">
        <v>1</v>
      </c>
      <c r="S464" s="6" t="s">
        <v>425</v>
      </c>
      <c r="T464" s="6" t="s">
        <v>2255</v>
      </c>
      <c r="U464" s="9" t="b">
        <v>1</v>
      </c>
    </row>
    <row r="465" spans="1:21" ht="30">
      <c r="A465" s="7" t="s">
        <v>420</v>
      </c>
      <c r="B465" s="15">
        <v>46197</v>
      </c>
      <c r="C465" s="5" t="s">
        <v>422</v>
      </c>
      <c r="D465" s="14">
        <v>5</v>
      </c>
      <c r="E465" s="5" t="s">
        <v>1720</v>
      </c>
      <c r="F465" s="5" t="s">
        <v>1721</v>
      </c>
      <c r="G465" s="13">
        <v>21</v>
      </c>
      <c r="H465" s="13">
        <v>17</v>
      </c>
      <c r="I465" s="13">
        <v>3</v>
      </c>
      <c r="J465" s="13">
        <v>3</v>
      </c>
      <c r="K465" s="14">
        <f t="shared" si="14"/>
        <v>9</v>
      </c>
      <c r="L465" s="5" t="str">
        <f t="shared" si="15"/>
        <v>HIGH</v>
      </c>
      <c r="M465" s="4" t="s">
        <v>1722</v>
      </c>
      <c r="N465" s="8" t="b">
        <v>0</v>
      </c>
      <c r="O465" s="6" t="s">
        <v>1723</v>
      </c>
      <c r="P465" s="6" t="s">
        <v>1724</v>
      </c>
      <c r="Q465" s="6"/>
      <c r="R465" s="9" t="b">
        <v>1</v>
      </c>
      <c r="S465" s="6" t="s">
        <v>425</v>
      </c>
      <c r="T465" s="6" t="s">
        <v>2256</v>
      </c>
      <c r="U465" s="9" t="b">
        <v>1</v>
      </c>
    </row>
    <row r="466" spans="1:21" ht="30">
      <c r="A466" s="7" t="s">
        <v>420</v>
      </c>
      <c r="B466" s="15">
        <v>46197</v>
      </c>
      <c r="C466" s="5" t="s">
        <v>422</v>
      </c>
      <c r="D466" s="14">
        <v>6</v>
      </c>
      <c r="E466" s="5" t="s">
        <v>1720</v>
      </c>
      <c r="F466" s="5" t="s">
        <v>1726</v>
      </c>
      <c r="G466" s="13">
        <v>24</v>
      </c>
      <c r="H466" s="13">
        <v>24</v>
      </c>
      <c r="I466" s="13">
        <v>3</v>
      </c>
      <c r="J466" s="13">
        <v>2</v>
      </c>
      <c r="K466" s="14">
        <f t="shared" si="14"/>
        <v>6</v>
      </c>
      <c r="L466" s="5" t="str">
        <f t="shared" si="15"/>
        <v>HIGH</v>
      </c>
      <c r="M466" s="4" t="s">
        <v>1722</v>
      </c>
      <c r="N466" s="8" t="b">
        <v>0</v>
      </c>
      <c r="O466" s="6" t="s">
        <v>1723</v>
      </c>
      <c r="P466" s="6" t="s">
        <v>1727</v>
      </c>
      <c r="Q466" s="6"/>
      <c r="R466" s="9" t="b">
        <v>1</v>
      </c>
      <c r="S466" s="6" t="s">
        <v>425</v>
      </c>
      <c r="T466" s="6" t="s">
        <v>2257</v>
      </c>
      <c r="U466" s="9" t="b">
        <v>1</v>
      </c>
    </row>
    <row r="467" spans="1:21" ht="45">
      <c r="A467" s="7" t="s">
        <v>420</v>
      </c>
      <c r="B467" s="15">
        <v>46197</v>
      </c>
      <c r="C467" s="5" t="s">
        <v>422</v>
      </c>
      <c r="D467" s="14">
        <v>7</v>
      </c>
      <c r="E467" s="5" t="s">
        <v>1729</v>
      </c>
      <c r="F467" s="5" t="s">
        <v>1730</v>
      </c>
      <c r="G467" s="13">
        <v>27</v>
      </c>
      <c r="H467" s="13">
        <v>0</v>
      </c>
      <c r="I467" s="13">
        <v>2</v>
      </c>
      <c r="J467" s="13">
        <v>3</v>
      </c>
      <c r="K467" s="14">
        <f t="shared" si="14"/>
        <v>6</v>
      </c>
      <c r="L467" s="5" t="str">
        <f t="shared" si="15"/>
        <v>HIGH</v>
      </c>
      <c r="M467" s="4" t="s">
        <v>1731</v>
      </c>
      <c r="N467" s="8" t="b">
        <v>1</v>
      </c>
      <c r="O467" s="6" t="s">
        <v>1732</v>
      </c>
      <c r="P467" s="6" t="s">
        <v>1733</v>
      </c>
      <c r="Q467" s="6"/>
      <c r="R467" s="9" t="b">
        <v>1</v>
      </c>
      <c r="S467" s="6" t="s">
        <v>425</v>
      </c>
      <c r="T467" s="6" t="s">
        <v>2258</v>
      </c>
      <c r="U467" s="9" t="b">
        <v>1</v>
      </c>
    </row>
    <row r="468" spans="1:21" ht="30">
      <c r="A468" s="7" t="s">
        <v>420</v>
      </c>
      <c r="B468" s="15">
        <v>46197</v>
      </c>
      <c r="C468" s="5" t="s">
        <v>422</v>
      </c>
      <c r="D468" s="14">
        <v>8</v>
      </c>
      <c r="E468" s="5" t="s">
        <v>1778</v>
      </c>
      <c r="F468" s="5" t="s">
        <v>1804</v>
      </c>
      <c r="G468" s="13">
        <v>30</v>
      </c>
      <c r="H468" s="13">
        <v>7</v>
      </c>
      <c r="I468" s="13">
        <v>3</v>
      </c>
      <c r="J468" s="13">
        <v>3</v>
      </c>
      <c r="K468" s="14">
        <f t="shared" si="14"/>
        <v>9</v>
      </c>
      <c r="L468" s="5" t="str">
        <f t="shared" si="15"/>
        <v>HIGH</v>
      </c>
      <c r="M468" s="4" t="s">
        <v>1780</v>
      </c>
      <c r="N468" s="8" t="b">
        <v>0</v>
      </c>
      <c r="O468" s="6" t="s">
        <v>1781</v>
      </c>
      <c r="P468" s="6" t="s">
        <v>1805</v>
      </c>
      <c r="Q468" s="6"/>
      <c r="R468" s="9" t="b">
        <v>1</v>
      </c>
      <c r="S468" s="6" t="s">
        <v>425</v>
      </c>
      <c r="T468" s="6" t="s">
        <v>2259</v>
      </c>
      <c r="U468" s="9" t="b">
        <v>1</v>
      </c>
    </row>
    <row r="469" spans="1:21" ht="30">
      <c r="A469" s="7" t="s">
        <v>426</v>
      </c>
      <c r="B469" s="15">
        <v>46024</v>
      </c>
      <c r="C469" s="5" t="s">
        <v>428</v>
      </c>
      <c r="D469" s="14">
        <v>1</v>
      </c>
      <c r="E469" s="5" t="s">
        <v>1699</v>
      </c>
      <c r="F469" s="5" t="s">
        <v>1700</v>
      </c>
      <c r="G469" s="13">
        <v>3</v>
      </c>
      <c r="H469" s="13">
        <v>25</v>
      </c>
      <c r="I469" s="13">
        <v>3</v>
      </c>
      <c r="J469" s="13">
        <v>2</v>
      </c>
      <c r="K469" s="14">
        <f t="shared" si="14"/>
        <v>6</v>
      </c>
      <c r="L469" s="5" t="str">
        <f t="shared" si="15"/>
        <v>HIGH</v>
      </c>
      <c r="M469" s="4" t="s">
        <v>1701</v>
      </c>
      <c r="N469" s="8" t="b">
        <v>0</v>
      </c>
      <c r="O469" s="6" t="s">
        <v>1702</v>
      </c>
      <c r="P469" s="6" t="s">
        <v>1703</v>
      </c>
      <c r="Q469" s="6"/>
      <c r="R469" s="9" t="b">
        <v>1</v>
      </c>
      <c r="S469" s="6" t="s">
        <v>431</v>
      </c>
      <c r="T469" s="6" t="s">
        <v>2260</v>
      </c>
      <c r="U469" s="9" t="b">
        <v>1</v>
      </c>
    </row>
    <row r="470" spans="1:21" ht="30">
      <c r="A470" s="7" t="s">
        <v>426</v>
      </c>
      <c r="B470" s="15">
        <v>46024</v>
      </c>
      <c r="C470" s="5" t="s">
        <v>428</v>
      </c>
      <c r="D470" s="14">
        <v>2</v>
      </c>
      <c r="E470" s="5" t="s">
        <v>1699</v>
      </c>
      <c r="F470" s="5" t="s">
        <v>1705</v>
      </c>
      <c r="G470" s="13">
        <v>6</v>
      </c>
      <c r="H470" s="13">
        <v>1</v>
      </c>
      <c r="I470" s="13">
        <v>2</v>
      </c>
      <c r="J470" s="13">
        <v>3</v>
      </c>
      <c r="K470" s="14">
        <f t="shared" si="14"/>
        <v>6</v>
      </c>
      <c r="L470" s="5" t="str">
        <f t="shared" si="15"/>
        <v>HIGH</v>
      </c>
      <c r="M470" s="4" t="s">
        <v>1701</v>
      </c>
      <c r="N470" s="8" t="b">
        <v>0</v>
      </c>
      <c r="O470" s="6" t="s">
        <v>1702</v>
      </c>
      <c r="P470" s="6" t="s">
        <v>1706</v>
      </c>
      <c r="Q470" s="6"/>
      <c r="R470" s="9" t="b">
        <v>1</v>
      </c>
      <c r="S470" s="6" t="s">
        <v>431</v>
      </c>
      <c r="T470" s="6" t="s">
        <v>2261</v>
      </c>
      <c r="U470" s="9" t="b">
        <v>1</v>
      </c>
    </row>
    <row r="471" spans="1:21" ht="30">
      <c r="A471" s="7" t="s">
        <v>426</v>
      </c>
      <c r="B471" s="15">
        <v>46024</v>
      </c>
      <c r="C471" s="5" t="s">
        <v>428</v>
      </c>
      <c r="D471" s="14">
        <v>3</v>
      </c>
      <c r="E471" s="5" t="s">
        <v>1708</v>
      </c>
      <c r="F471" s="5" t="s">
        <v>1709</v>
      </c>
      <c r="G471" s="13">
        <v>9</v>
      </c>
      <c r="H471" s="13">
        <v>8</v>
      </c>
      <c r="I471" s="13">
        <v>3</v>
      </c>
      <c r="J471" s="13">
        <v>3</v>
      </c>
      <c r="K471" s="14">
        <f t="shared" si="14"/>
        <v>9</v>
      </c>
      <c r="L471" s="5" t="str">
        <f t="shared" si="15"/>
        <v>HIGH</v>
      </c>
      <c r="M471" s="4" t="s">
        <v>1710</v>
      </c>
      <c r="N471" s="8" t="b">
        <v>1</v>
      </c>
      <c r="O471" s="6" t="s">
        <v>1711</v>
      </c>
      <c r="P471" s="6" t="s">
        <v>1712</v>
      </c>
      <c r="Q471" s="6"/>
      <c r="R471" s="9" t="b">
        <v>1</v>
      </c>
      <c r="S471" s="6" t="s">
        <v>431</v>
      </c>
      <c r="T471" s="6" t="s">
        <v>2262</v>
      </c>
      <c r="U471" s="9" t="b">
        <v>1</v>
      </c>
    </row>
    <row r="472" spans="1:21" ht="30">
      <c r="A472" s="7" t="s">
        <v>426</v>
      </c>
      <c r="B472" s="15">
        <v>46024</v>
      </c>
      <c r="C472" s="5" t="s">
        <v>428</v>
      </c>
      <c r="D472" s="14">
        <v>4</v>
      </c>
      <c r="E472" s="5" t="s">
        <v>1714</v>
      </c>
      <c r="F472" s="5" t="s">
        <v>1715</v>
      </c>
      <c r="G472" s="13">
        <v>1</v>
      </c>
      <c r="H472" s="13">
        <v>15</v>
      </c>
      <c r="I472" s="13">
        <v>3</v>
      </c>
      <c r="J472" s="13">
        <v>2</v>
      </c>
      <c r="K472" s="14">
        <f t="shared" si="14"/>
        <v>6</v>
      </c>
      <c r="L472" s="5" t="str">
        <f t="shared" si="15"/>
        <v>HIGH</v>
      </c>
      <c r="M472" s="4" t="s">
        <v>1716</v>
      </c>
      <c r="N472" s="8" t="b">
        <v>0</v>
      </c>
      <c r="O472" s="6" t="s">
        <v>1717</v>
      </c>
      <c r="P472" s="6" t="s">
        <v>1718</v>
      </c>
      <c r="Q472" s="6"/>
      <c r="R472" s="9" t="b">
        <v>1</v>
      </c>
      <c r="S472" s="6" t="s">
        <v>431</v>
      </c>
      <c r="T472" s="6" t="s">
        <v>2263</v>
      </c>
      <c r="U472" s="9" t="b">
        <v>1</v>
      </c>
    </row>
    <row r="473" spans="1:21" ht="30">
      <c r="A473" s="7" t="s">
        <v>426</v>
      </c>
      <c r="B473" s="15">
        <v>46024</v>
      </c>
      <c r="C473" s="5" t="s">
        <v>428</v>
      </c>
      <c r="D473" s="14">
        <v>5</v>
      </c>
      <c r="E473" s="5" t="s">
        <v>1714</v>
      </c>
      <c r="F473" s="5" t="s">
        <v>1771</v>
      </c>
      <c r="G473" s="13">
        <v>4</v>
      </c>
      <c r="H473" s="13">
        <v>22</v>
      </c>
      <c r="I473" s="13">
        <v>2</v>
      </c>
      <c r="J473" s="13">
        <v>3</v>
      </c>
      <c r="K473" s="14">
        <f t="shared" si="14"/>
        <v>6</v>
      </c>
      <c r="L473" s="5" t="str">
        <f t="shared" si="15"/>
        <v>HIGH</v>
      </c>
      <c r="M473" s="4" t="s">
        <v>1716</v>
      </c>
      <c r="N473" s="8" t="b">
        <v>0</v>
      </c>
      <c r="O473" s="6" t="s">
        <v>1717</v>
      </c>
      <c r="P473" s="6" t="s">
        <v>1772</v>
      </c>
      <c r="Q473" s="6"/>
      <c r="R473" s="9" t="b">
        <v>1</v>
      </c>
      <c r="S473" s="6" t="s">
        <v>431</v>
      </c>
      <c r="T473" s="6" t="s">
        <v>2264</v>
      </c>
      <c r="U473" s="9" t="b">
        <v>1</v>
      </c>
    </row>
    <row r="474" spans="1:21" ht="30">
      <c r="A474" s="7" t="s">
        <v>426</v>
      </c>
      <c r="B474" s="15">
        <v>46024</v>
      </c>
      <c r="C474" s="5" t="s">
        <v>428</v>
      </c>
      <c r="D474" s="14">
        <v>6</v>
      </c>
      <c r="E474" s="5" t="s">
        <v>1720</v>
      </c>
      <c r="F474" s="5" t="s">
        <v>1721</v>
      </c>
      <c r="G474" s="13">
        <v>7</v>
      </c>
      <c r="H474" s="13">
        <v>29</v>
      </c>
      <c r="I474" s="13">
        <v>3</v>
      </c>
      <c r="J474" s="13">
        <v>3</v>
      </c>
      <c r="K474" s="14">
        <f t="shared" si="14"/>
        <v>9</v>
      </c>
      <c r="L474" s="5" t="str">
        <f t="shared" si="15"/>
        <v>HIGH</v>
      </c>
      <c r="M474" s="4" t="s">
        <v>1722</v>
      </c>
      <c r="N474" s="8" t="b">
        <v>1</v>
      </c>
      <c r="O474" s="6" t="s">
        <v>1723</v>
      </c>
      <c r="P474" s="6" t="s">
        <v>1724</v>
      </c>
      <c r="Q474" s="6"/>
      <c r="R474" s="9" t="b">
        <v>1</v>
      </c>
      <c r="S474" s="6" t="s">
        <v>431</v>
      </c>
      <c r="T474" s="6" t="s">
        <v>2265</v>
      </c>
      <c r="U474" s="9" t="b">
        <v>1</v>
      </c>
    </row>
    <row r="475" spans="1:21" ht="30">
      <c r="A475" s="7" t="s">
        <v>426</v>
      </c>
      <c r="B475" s="15">
        <v>46024</v>
      </c>
      <c r="C475" s="5" t="s">
        <v>428</v>
      </c>
      <c r="D475" s="14">
        <v>7</v>
      </c>
      <c r="E475" s="5" t="s">
        <v>1708</v>
      </c>
      <c r="F475" s="5" t="s">
        <v>1735</v>
      </c>
      <c r="G475" s="13">
        <v>10</v>
      </c>
      <c r="H475" s="13">
        <v>5</v>
      </c>
      <c r="I475" s="13">
        <v>3</v>
      </c>
      <c r="J475" s="13">
        <v>2</v>
      </c>
      <c r="K475" s="14">
        <f t="shared" si="14"/>
        <v>6</v>
      </c>
      <c r="L475" s="5" t="str">
        <f t="shared" si="15"/>
        <v>HIGH</v>
      </c>
      <c r="M475" s="4" t="s">
        <v>1710</v>
      </c>
      <c r="N475" s="8" t="b">
        <v>0</v>
      </c>
      <c r="O475" s="6" t="s">
        <v>1711</v>
      </c>
      <c r="P475" s="6" t="s">
        <v>1736</v>
      </c>
      <c r="Q475" s="6"/>
      <c r="R475" s="9" t="b">
        <v>1</v>
      </c>
      <c r="S475" s="6" t="s">
        <v>431</v>
      </c>
      <c r="T475" s="6" t="s">
        <v>2266</v>
      </c>
      <c r="U475" s="9" t="b">
        <v>1</v>
      </c>
    </row>
    <row r="476" spans="1:21" ht="30">
      <c r="A476" s="7" t="s">
        <v>432</v>
      </c>
      <c r="B476" s="15">
        <v>46089</v>
      </c>
      <c r="C476" s="5" t="s">
        <v>434</v>
      </c>
      <c r="D476" s="14">
        <v>1</v>
      </c>
      <c r="E476" s="5" t="s">
        <v>1699</v>
      </c>
      <c r="F476" s="5" t="s">
        <v>1700</v>
      </c>
      <c r="G476" s="13">
        <v>14</v>
      </c>
      <c r="H476" s="13">
        <v>4</v>
      </c>
      <c r="I476" s="13">
        <v>1</v>
      </c>
      <c r="J476" s="13">
        <v>3</v>
      </c>
      <c r="K476" s="14">
        <f t="shared" si="14"/>
        <v>3</v>
      </c>
      <c r="L476" s="5" t="str">
        <f t="shared" si="15"/>
        <v>MEDIUM</v>
      </c>
      <c r="M476" s="4" t="s">
        <v>1701</v>
      </c>
      <c r="N476" s="8" t="b">
        <v>0</v>
      </c>
      <c r="O476" s="6" t="s">
        <v>1702</v>
      </c>
      <c r="P476" s="6" t="s">
        <v>1703</v>
      </c>
      <c r="Q476" s="6"/>
      <c r="R476" s="9" t="b">
        <v>1</v>
      </c>
      <c r="S476" s="6" t="s">
        <v>437</v>
      </c>
      <c r="T476" s="6" t="s">
        <v>2267</v>
      </c>
      <c r="U476" s="9" t="b">
        <v>1</v>
      </c>
    </row>
    <row r="477" spans="1:21" ht="30">
      <c r="A477" s="7" t="s">
        <v>432</v>
      </c>
      <c r="B477" s="15">
        <v>46089</v>
      </c>
      <c r="C477" s="5" t="s">
        <v>434</v>
      </c>
      <c r="D477" s="14">
        <v>2</v>
      </c>
      <c r="E477" s="5" t="s">
        <v>1778</v>
      </c>
      <c r="F477" s="5" t="s">
        <v>1839</v>
      </c>
      <c r="G477" s="13">
        <v>17</v>
      </c>
      <c r="H477" s="13">
        <v>11</v>
      </c>
      <c r="I477" s="13">
        <v>3</v>
      </c>
      <c r="J477" s="13">
        <v>1</v>
      </c>
      <c r="K477" s="14">
        <f t="shared" si="14"/>
        <v>3</v>
      </c>
      <c r="L477" s="5" t="str">
        <f t="shared" si="15"/>
        <v>MEDIUM</v>
      </c>
      <c r="M477" s="4" t="s">
        <v>1780</v>
      </c>
      <c r="N477" s="8" t="b">
        <v>0</v>
      </c>
      <c r="O477" s="6" t="s">
        <v>1781</v>
      </c>
      <c r="P477" s="6" t="s">
        <v>1840</v>
      </c>
      <c r="Q477" s="6"/>
      <c r="R477" s="9" t="b">
        <v>1</v>
      </c>
      <c r="S477" s="6" t="s">
        <v>437</v>
      </c>
      <c r="T477" s="6" t="s">
        <v>2268</v>
      </c>
      <c r="U477" s="9" t="b">
        <v>1</v>
      </c>
    </row>
    <row r="478" spans="1:21" ht="30">
      <c r="A478" s="7" t="s">
        <v>432</v>
      </c>
      <c r="B478" s="15">
        <v>46089</v>
      </c>
      <c r="C478" s="5" t="s">
        <v>434</v>
      </c>
      <c r="D478" s="14">
        <v>3</v>
      </c>
      <c r="E478" s="5" t="s">
        <v>1714</v>
      </c>
      <c r="F478" s="5" t="s">
        <v>1774</v>
      </c>
      <c r="G478" s="13">
        <v>20</v>
      </c>
      <c r="H478" s="13">
        <v>18</v>
      </c>
      <c r="I478" s="13">
        <v>2</v>
      </c>
      <c r="J478" s="13">
        <v>2</v>
      </c>
      <c r="K478" s="14">
        <f t="shared" si="14"/>
        <v>4</v>
      </c>
      <c r="L478" s="5" t="str">
        <f t="shared" si="15"/>
        <v>MEDIUM</v>
      </c>
      <c r="M478" s="4" t="s">
        <v>1716</v>
      </c>
      <c r="N478" s="8" t="b">
        <v>0</v>
      </c>
      <c r="O478" s="6" t="s">
        <v>1717</v>
      </c>
      <c r="P478" s="6" t="s">
        <v>1775</v>
      </c>
      <c r="Q478" s="6"/>
      <c r="R478" s="9" t="b">
        <v>1</v>
      </c>
      <c r="S478" s="6" t="s">
        <v>437</v>
      </c>
      <c r="T478" s="6" t="s">
        <v>2269</v>
      </c>
      <c r="U478" s="9" t="b">
        <v>1</v>
      </c>
    </row>
    <row r="479" spans="1:21" ht="30">
      <c r="A479" s="7" t="s">
        <v>432</v>
      </c>
      <c r="B479" s="15">
        <v>46089</v>
      </c>
      <c r="C479" s="5" t="s">
        <v>434</v>
      </c>
      <c r="D479" s="14">
        <v>4</v>
      </c>
      <c r="E479" s="5" t="s">
        <v>1720</v>
      </c>
      <c r="F479" s="5" t="s">
        <v>1753</v>
      </c>
      <c r="G479" s="13">
        <v>23</v>
      </c>
      <c r="H479" s="13">
        <v>25</v>
      </c>
      <c r="I479" s="13">
        <v>1</v>
      </c>
      <c r="J479" s="13">
        <v>3</v>
      </c>
      <c r="K479" s="14">
        <f t="shared" si="14"/>
        <v>3</v>
      </c>
      <c r="L479" s="5" t="str">
        <f t="shared" si="15"/>
        <v>MEDIUM</v>
      </c>
      <c r="M479" s="4" t="s">
        <v>1722</v>
      </c>
      <c r="N479" s="8" t="b">
        <v>0</v>
      </c>
      <c r="O479" s="6" t="s">
        <v>1723</v>
      </c>
      <c r="P479" s="6" t="s">
        <v>1754</v>
      </c>
      <c r="Q479" s="6"/>
      <c r="R479" s="9" t="b">
        <v>1</v>
      </c>
      <c r="S479" s="6" t="s">
        <v>437</v>
      </c>
      <c r="T479" s="6" t="s">
        <v>2270</v>
      </c>
      <c r="U479" s="9" t="b">
        <v>1</v>
      </c>
    </row>
    <row r="480" spans="1:21" ht="30">
      <c r="A480" s="7" t="s">
        <v>432</v>
      </c>
      <c r="B480" s="15">
        <v>46089</v>
      </c>
      <c r="C480" s="5" t="s">
        <v>434</v>
      </c>
      <c r="D480" s="14">
        <v>5</v>
      </c>
      <c r="E480" s="5" t="s">
        <v>1720</v>
      </c>
      <c r="F480" s="5" t="s">
        <v>1721</v>
      </c>
      <c r="G480" s="13">
        <v>1</v>
      </c>
      <c r="H480" s="13">
        <v>1</v>
      </c>
      <c r="I480" s="13">
        <v>3</v>
      </c>
      <c r="J480" s="13">
        <v>1</v>
      </c>
      <c r="K480" s="14">
        <f t="shared" si="14"/>
        <v>3</v>
      </c>
      <c r="L480" s="5" t="str">
        <f t="shared" si="15"/>
        <v>MEDIUM</v>
      </c>
      <c r="M480" s="4" t="s">
        <v>1722</v>
      </c>
      <c r="N480" s="8" t="b">
        <v>0</v>
      </c>
      <c r="O480" s="6" t="s">
        <v>1723</v>
      </c>
      <c r="P480" s="6" t="s">
        <v>1724</v>
      </c>
      <c r="Q480" s="6"/>
      <c r="R480" s="9" t="b">
        <v>1</v>
      </c>
      <c r="S480" s="6" t="s">
        <v>437</v>
      </c>
      <c r="T480" s="6" t="s">
        <v>2271</v>
      </c>
      <c r="U480" s="9" t="b">
        <v>1</v>
      </c>
    </row>
    <row r="481" spans="1:21" ht="30">
      <c r="A481" s="7" t="s">
        <v>432</v>
      </c>
      <c r="B481" s="15">
        <v>46089</v>
      </c>
      <c r="C481" s="5" t="s">
        <v>434</v>
      </c>
      <c r="D481" s="14">
        <v>6</v>
      </c>
      <c r="E481" s="5" t="s">
        <v>1720</v>
      </c>
      <c r="F481" s="5" t="s">
        <v>1726</v>
      </c>
      <c r="G481" s="13">
        <v>4</v>
      </c>
      <c r="H481" s="13">
        <v>8</v>
      </c>
      <c r="I481" s="13">
        <v>2</v>
      </c>
      <c r="J481" s="13">
        <v>2</v>
      </c>
      <c r="K481" s="14">
        <f t="shared" si="14"/>
        <v>4</v>
      </c>
      <c r="L481" s="5" t="str">
        <f t="shared" si="15"/>
        <v>MEDIUM</v>
      </c>
      <c r="M481" s="4" t="s">
        <v>1722</v>
      </c>
      <c r="N481" s="8" t="b">
        <v>0</v>
      </c>
      <c r="O481" s="6" t="s">
        <v>1723</v>
      </c>
      <c r="P481" s="6" t="s">
        <v>1727</v>
      </c>
      <c r="Q481" s="6"/>
      <c r="R481" s="9" t="b">
        <v>1</v>
      </c>
      <c r="S481" s="6" t="s">
        <v>437</v>
      </c>
      <c r="T481" s="6" t="s">
        <v>2272</v>
      </c>
      <c r="U481" s="9" t="b">
        <v>1</v>
      </c>
    </row>
    <row r="482" spans="1:21" ht="30">
      <c r="A482" s="7" t="s">
        <v>438</v>
      </c>
      <c r="B482" s="15">
        <v>46123</v>
      </c>
      <c r="C482" s="5" t="s">
        <v>440</v>
      </c>
      <c r="D482" s="14">
        <v>1</v>
      </c>
      <c r="E482" s="5" t="s">
        <v>1699</v>
      </c>
      <c r="F482" s="5" t="s">
        <v>1700</v>
      </c>
      <c r="G482" s="13">
        <v>13</v>
      </c>
      <c r="H482" s="13">
        <v>9</v>
      </c>
      <c r="I482" s="13">
        <v>2</v>
      </c>
      <c r="J482" s="13">
        <v>2</v>
      </c>
      <c r="K482" s="14">
        <f t="shared" si="14"/>
        <v>4</v>
      </c>
      <c r="L482" s="5" t="str">
        <f t="shared" si="15"/>
        <v>MEDIUM</v>
      </c>
      <c r="M482" s="4" t="s">
        <v>1701</v>
      </c>
      <c r="N482" s="8" t="b">
        <v>0</v>
      </c>
      <c r="O482" s="6" t="s">
        <v>1702</v>
      </c>
      <c r="P482" s="6" t="s">
        <v>1703</v>
      </c>
      <c r="Q482" s="6"/>
      <c r="R482" s="9" t="b">
        <v>1</v>
      </c>
      <c r="S482" s="6" t="s">
        <v>443</v>
      </c>
      <c r="T482" s="6" t="s">
        <v>2273</v>
      </c>
      <c r="U482" s="9" t="b">
        <v>1</v>
      </c>
    </row>
    <row r="483" spans="1:21" ht="30">
      <c r="A483" s="7" t="s">
        <v>438</v>
      </c>
      <c r="B483" s="15">
        <v>46123</v>
      </c>
      <c r="C483" s="5" t="s">
        <v>440</v>
      </c>
      <c r="D483" s="14">
        <v>2</v>
      </c>
      <c r="E483" s="5" t="s">
        <v>1778</v>
      </c>
      <c r="F483" s="5" t="s">
        <v>1839</v>
      </c>
      <c r="G483" s="13">
        <v>16</v>
      </c>
      <c r="H483" s="13">
        <v>16</v>
      </c>
      <c r="I483" s="13">
        <v>1</v>
      </c>
      <c r="J483" s="13">
        <v>3</v>
      </c>
      <c r="K483" s="14">
        <f t="shared" si="14"/>
        <v>3</v>
      </c>
      <c r="L483" s="5" t="str">
        <f t="shared" si="15"/>
        <v>MEDIUM</v>
      </c>
      <c r="M483" s="4" t="s">
        <v>1780</v>
      </c>
      <c r="N483" s="8" t="b">
        <v>0</v>
      </c>
      <c r="O483" s="6" t="s">
        <v>1781</v>
      </c>
      <c r="P483" s="6" t="s">
        <v>1840</v>
      </c>
      <c r="Q483" s="6"/>
      <c r="R483" s="9" t="b">
        <v>1</v>
      </c>
      <c r="S483" s="6" t="s">
        <v>443</v>
      </c>
      <c r="T483" s="6" t="s">
        <v>2274</v>
      </c>
      <c r="U483" s="9" t="b">
        <v>1</v>
      </c>
    </row>
    <row r="484" spans="1:21" ht="30">
      <c r="A484" s="7" t="s">
        <v>438</v>
      </c>
      <c r="B484" s="15">
        <v>46123</v>
      </c>
      <c r="C484" s="5" t="s">
        <v>440</v>
      </c>
      <c r="D484" s="14">
        <v>3</v>
      </c>
      <c r="E484" s="5" t="s">
        <v>1714</v>
      </c>
      <c r="F484" s="5" t="s">
        <v>1774</v>
      </c>
      <c r="G484" s="13">
        <v>19</v>
      </c>
      <c r="H484" s="13">
        <v>23</v>
      </c>
      <c r="I484" s="13">
        <v>3</v>
      </c>
      <c r="J484" s="13">
        <v>1</v>
      </c>
      <c r="K484" s="14">
        <f t="shared" si="14"/>
        <v>3</v>
      </c>
      <c r="L484" s="5" t="str">
        <f t="shared" si="15"/>
        <v>MEDIUM</v>
      </c>
      <c r="M484" s="4" t="s">
        <v>1716</v>
      </c>
      <c r="N484" s="8" t="b">
        <v>0</v>
      </c>
      <c r="O484" s="6" t="s">
        <v>1717</v>
      </c>
      <c r="P484" s="6" t="s">
        <v>1775</v>
      </c>
      <c r="Q484" s="6"/>
      <c r="R484" s="9" t="b">
        <v>1</v>
      </c>
      <c r="S484" s="6" t="s">
        <v>443</v>
      </c>
      <c r="T484" s="6" t="s">
        <v>2275</v>
      </c>
      <c r="U484" s="9" t="b">
        <v>1</v>
      </c>
    </row>
    <row r="485" spans="1:21" ht="30">
      <c r="A485" s="7" t="s">
        <v>438</v>
      </c>
      <c r="B485" s="15">
        <v>46123</v>
      </c>
      <c r="C485" s="5" t="s">
        <v>440</v>
      </c>
      <c r="D485" s="14">
        <v>4</v>
      </c>
      <c r="E485" s="5" t="s">
        <v>1720</v>
      </c>
      <c r="F485" s="5" t="s">
        <v>1753</v>
      </c>
      <c r="G485" s="13">
        <v>22</v>
      </c>
      <c r="H485" s="13">
        <v>30</v>
      </c>
      <c r="I485" s="13">
        <v>2</v>
      </c>
      <c r="J485" s="13">
        <v>2</v>
      </c>
      <c r="K485" s="14">
        <f t="shared" si="14"/>
        <v>4</v>
      </c>
      <c r="L485" s="5" t="str">
        <f t="shared" si="15"/>
        <v>MEDIUM</v>
      </c>
      <c r="M485" s="4" t="s">
        <v>1722</v>
      </c>
      <c r="N485" s="8" t="b">
        <v>0</v>
      </c>
      <c r="O485" s="6" t="s">
        <v>1723</v>
      </c>
      <c r="P485" s="6" t="s">
        <v>1754</v>
      </c>
      <c r="Q485" s="6"/>
      <c r="R485" s="9" t="b">
        <v>1</v>
      </c>
      <c r="S485" s="6" t="s">
        <v>443</v>
      </c>
      <c r="T485" s="6" t="s">
        <v>2276</v>
      </c>
      <c r="U485" s="9" t="b">
        <v>1</v>
      </c>
    </row>
    <row r="486" spans="1:21" ht="30">
      <c r="A486" s="7" t="s">
        <v>438</v>
      </c>
      <c r="B486" s="15">
        <v>46123</v>
      </c>
      <c r="C486" s="5" t="s">
        <v>440</v>
      </c>
      <c r="D486" s="14">
        <v>5</v>
      </c>
      <c r="E486" s="5" t="s">
        <v>1720</v>
      </c>
      <c r="F486" s="5" t="s">
        <v>1721</v>
      </c>
      <c r="G486" s="13">
        <v>25</v>
      </c>
      <c r="H486" s="13">
        <v>6</v>
      </c>
      <c r="I486" s="13">
        <v>1</v>
      </c>
      <c r="J486" s="13">
        <v>3</v>
      </c>
      <c r="K486" s="14">
        <f t="shared" si="14"/>
        <v>3</v>
      </c>
      <c r="L486" s="5" t="str">
        <f t="shared" si="15"/>
        <v>MEDIUM</v>
      </c>
      <c r="M486" s="4" t="s">
        <v>1722</v>
      </c>
      <c r="N486" s="8" t="b">
        <v>0</v>
      </c>
      <c r="O486" s="6" t="s">
        <v>1723</v>
      </c>
      <c r="P486" s="6" t="s">
        <v>1724</v>
      </c>
      <c r="Q486" s="6"/>
      <c r="R486" s="9" t="b">
        <v>1</v>
      </c>
      <c r="S486" s="6" t="s">
        <v>443</v>
      </c>
      <c r="T486" s="6" t="s">
        <v>2277</v>
      </c>
      <c r="U486" s="9" t="b">
        <v>1</v>
      </c>
    </row>
    <row r="487" spans="1:21" ht="30">
      <c r="A487" s="7" t="s">
        <v>438</v>
      </c>
      <c r="B487" s="15">
        <v>46123</v>
      </c>
      <c r="C487" s="5" t="s">
        <v>440</v>
      </c>
      <c r="D487" s="14">
        <v>6</v>
      </c>
      <c r="E487" s="5" t="s">
        <v>1778</v>
      </c>
      <c r="F487" s="5" t="s">
        <v>1779</v>
      </c>
      <c r="G487" s="13">
        <v>28</v>
      </c>
      <c r="H487" s="13">
        <v>13</v>
      </c>
      <c r="I487" s="13">
        <v>3</v>
      </c>
      <c r="J487" s="13">
        <v>1</v>
      </c>
      <c r="K487" s="14">
        <f t="shared" si="14"/>
        <v>3</v>
      </c>
      <c r="L487" s="5" t="str">
        <f t="shared" si="15"/>
        <v>MEDIUM</v>
      </c>
      <c r="M487" s="4" t="s">
        <v>1780</v>
      </c>
      <c r="N487" s="8" t="b">
        <v>0</v>
      </c>
      <c r="O487" s="6" t="s">
        <v>1781</v>
      </c>
      <c r="P487" s="6" t="s">
        <v>1782</v>
      </c>
      <c r="Q487" s="6"/>
      <c r="R487" s="9" t="b">
        <v>1</v>
      </c>
      <c r="S487" s="6" t="s">
        <v>443</v>
      </c>
      <c r="T487" s="6" t="s">
        <v>2278</v>
      </c>
      <c r="U487" s="9" t="b">
        <v>1</v>
      </c>
    </row>
    <row r="488" spans="1:21" ht="30">
      <c r="A488" s="7" t="s">
        <v>438</v>
      </c>
      <c r="B488" s="15">
        <v>46123</v>
      </c>
      <c r="C488" s="5" t="s">
        <v>440</v>
      </c>
      <c r="D488" s="14">
        <v>7</v>
      </c>
      <c r="E488" s="5" t="s">
        <v>1708</v>
      </c>
      <c r="F488" s="5" t="s">
        <v>1835</v>
      </c>
      <c r="G488" s="13">
        <v>31</v>
      </c>
      <c r="H488" s="13">
        <v>20</v>
      </c>
      <c r="I488" s="13">
        <v>2</v>
      </c>
      <c r="J488" s="13">
        <v>2</v>
      </c>
      <c r="K488" s="14">
        <f t="shared" si="14"/>
        <v>4</v>
      </c>
      <c r="L488" s="5" t="str">
        <f t="shared" si="15"/>
        <v>MEDIUM</v>
      </c>
      <c r="M488" s="4" t="s">
        <v>1710</v>
      </c>
      <c r="N488" s="8" t="b">
        <v>0</v>
      </c>
      <c r="O488" s="6" t="s">
        <v>1711</v>
      </c>
      <c r="P488" s="6" t="s">
        <v>1836</v>
      </c>
      <c r="Q488" s="6" t="s">
        <v>1835</v>
      </c>
      <c r="R488" s="9" t="b">
        <v>1</v>
      </c>
      <c r="S488" s="6" t="s">
        <v>443</v>
      </c>
      <c r="T488" s="6" t="s">
        <v>2279</v>
      </c>
      <c r="U488" s="9" t="b">
        <v>1</v>
      </c>
    </row>
  </sheetData>
  <mergeCells count="2">
    <mergeCell ref="A1:U1"/>
    <mergeCell ref="A2:U2"/>
  </mergeCells>
  <conditionalFormatting sqref="L4:L1048576">
    <cfRule type="expression" dxfId="6" priority="1">
      <formula>$L4="LOW"</formula>
    </cfRule>
    <cfRule type="expression" dxfId="5" priority="2">
      <formula>$L4="MEDIUM"</formula>
    </cfRule>
    <cfRule type="expression" dxfId="4" priority="3">
      <formula>$L4="HIGH"</formula>
    </cfRule>
  </conditionalFormatting>
  <dataValidations count="5">
    <dataValidation type="whole" operator="greaterThanOrEqual" sqref="D4:D1048576" xr:uid="{00000000-0002-0000-0300-000000000000}">
      <formula1>1</formula1>
    </dataValidation>
    <dataValidation type="list" sqref="R4:R1048576 N4:N1048576 U4:U1048576" xr:uid="{00000000-0002-0000-0300-000001000000}">
      <formula1>"true,false"</formula1>
    </dataValidation>
    <dataValidation type="whole" operator="greaterThanOrEqual" sqref="G4:H1048576" xr:uid="{00000000-0002-0000-0300-000003000000}">
      <formula1>0</formula1>
    </dataValidation>
    <dataValidation type="whole" sqref="I4:J1048576" xr:uid="{00000000-0002-0000-0300-000004000000}">
      <formula1>1</formula1>
      <formula2>3</formula2>
    </dataValidation>
    <dataValidation type="custom" sqref="Q4:Q1048576" xr:uid="{00000000-0002-0000-0300-000005000000}">
      <formula1>OR(AND($P4="OTHER",$Q4&lt;&gt;""),AND($P4&lt;&gt;"OTHER",$Q4=""))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89"/>
  <sheetViews>
    <sheetView showGridLines="0" zoomScale="193" zoomScaleNormal="100" workbookViewId="0">
      <pane xSplit="1" ySplit="3" topLeftCell="B4" activePane="bottomRight" state="frozen"/>
      <selection pane="topRight"/>
      <selection pane="bottomLeft"/>
      <selection pane="bottomRight" activeCell="A3" sqref="A3"/>
    </sheetView>
  </sheetViews>
  <sheetFormatPr baseColWidth="10" defaultColWidth="8.83203125" defaultRowHeight="15"/>
  <cols>
    <col min="1" max="1" width="32" customWidth="1"/>
    <col min="2" max="2" width="16" customWidth="1"/>
    <col min="3" max="3" width="19" customWidth="1"/>
    <col min="4" max="4" width="36" customWidth="1"/>
    <col min="5" max="5" width="24" customWidth="1"/>
    <col min="6" max="6" width="16" customWidth="1"/>
    <col min="7" max="7" width="21" customWidth="1"/>
    <col min="8" max="8" width="38" customWidth="1"/>
    <col min="9" max="9" width="21" customWidth="1"/>
    <col min="10" max="10" width="24" customWidth="1"/>
    <col min="11" max="11" width="20" customWidth="1"/>
    <col min="12" max="12" width="24" customWidth="1"/>
    <col min="13" max="13" width="22" customWidth="1"/>
  </cols>
  <sheetData>
    <row r="1" spans="1:13" ht="28" customHeight="1">
      <c r="A1" s="38" t="s">
        <v>2280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</row>
    <row r="2" spans="1:13" ht="32" customHeight="1">
      <c r="A2" s="30" t="s">
        <v>3097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</row>
    <row r="3" spans="1:13" ht="34" customHeight="1">
      <c r="A3" s="1" t="s">
        <v>1</v>
      </c>
      <c r="B3" s="2" t="s">
        <v>2</v>
      </c>
      <c r="C3" s="2" t="s">
        <v>9</v>
      </c>
      <c r="D3" s="2" t="s">
        <v>2281</v>
      </c>
      <c r="E3" s="2" t="s">
        <v>2282</v>
      </c>
      <c r="F3" s="2" t="s">
        <v>2283</v>
      </c>
      <c r="G3" s="2" t="s">
        <v>2284</v>
      </c>
      <c r="H3" s="2" t="s">
        <v>2285</v>
      </c>
      <c r="I3" s="2" t="s">
        <v>2286</v>
      </c>
      <c r="J3" s="2" t="s">
        <v>2287</v>
      </c>
      <c r="K3" s="2" t="s">
        <v>13</v>
      </c>
      <c r="L3" s="2" t="s">
        <v>1697</v>
      </c>
      <c r="M3" s="3" t="s">
        <v>2288</v>
      </c>
    </row>
    <row r="4" spans="1:13" ht="30">
      <c r="A4" s="7" t="s">
        <v>16</v>
      </c>
      <c r="B4" s="15">
        <v>46026</v>
      </c>
      <c r="C4" s="5" t="s">
        <v>19</v>
      </c>
      <c r="D4" s="4" t="s">
        <v>2289</v>
      </c>
      <c r="E4" s="4" t="s">
        <v>2290</v>
      </c>
      <c r="F4" s="13">
        <v>149372</v>
      </c>
      <c r="G4" s="16">
        <v>46027.088194444441</v>
      </c>
      <c r="H4" s="4" t="s">
        <v>2291</v>
      </c>
      <c r="I4" s="16">
        <v>46027.09652777778</v>
      </c>
      <c r="J4" s="6" t="s">
        <v>2292</v>
      </c>
      <c r="K4" s="6" t="s">
        <v>22</v>
      </c>
      <c r="L4" s="6" t="s">
        <v>1728</v>
      </c>
      <c r="M4" s="6" t="s">
        <v>2293</v>
      </c>
    </row>
    <row r="5" spans="1:13" ht="30">
      <c r="A5" s="7" t="s">
        <v>16</v>
      </c>
      <c r="B5" s="15">
        <v>46026</v>
      </c>
      <c r="C5" s="5" t="s">
        <v>19</v>
      </c>
      <c r="D5" s="4" t="s">
        <v>2294</v>
      </c>
      <c r="E5" s="4" t="s">
        <v>2290</v>
      </c>
      <c r="F5" s="13">
        <v>113339</v>
      </c>
      <c r="G5" s="16">
        <v>46027.088194444441</v>
      </c>
      <c r="H5" s="4" t="s">
        <v>2295</v>
      </c>
      <c r="I5" s="16">
        <v>46027.09652777778</v>
      </c>
      <c r="J5" s="6" t="s">
        <v>2296</v>
      </c>
      <c r="K5" s="6" t="s">
        <v>22</v>
      </c>
      <c r="L5" s="6" t="s">
        <v>1713</v>
      </c>
      <c r="M5" s="6" t="s">
        <v>2297</v>
      </c>
    </row>
    <row r="6" spans="1:13" ht="30">
      <c r="A6" s="7" t="s">
        <v>25</v>
      </c>
      <c r="B6" s="15">
        <v>46060</v>
      </c>
      <c r="C6" s="5" t="s">
        <v>28</v>
      </c>
      <c r="D6" s="4" t="s">
        <v>2298</v>
      </c>
      <c r="E6" s="4" t="s">
        <v>2290</v>
      </c>
      <c r="F6" s="13">
        <v>105645</v>
      </c>
      <c r="G6" s="16">
        <v>46061.134722222225</v>
      </c>
      <c r="H6" s="4" t="s">
        <v>2299</v>
      </c>
      <c r="I6" s="16">
        <v>46061.143055555556</v>
      </c>
      <c r="J6" s="6" t="s">
        <v>2300</v>
      </c>
      <c r="K6" s="6" t="s">
        <v>31</v>
      </c>
      <c r="L6" s="6" t="s">
        <v>1739</v>
      </c>
      <c r="M6" s="6" t="s">
        <v>2301</v>
      </c>
    </row>
    <row r="7" spans="1:13" ht="30">
      <c r="A7" s="7" t="s">
        <v>25</v>
      </c>
      <c r="B7" s="15">
        <v>46060</v>
      </c>
      <c r="C7" s="5" t="s">
        <v>28</v>
      </c>
      <c r="D7" s="4" t="s">
        <v>2302</v>
      </c>
      <c r="E7" s="4" t="s">
        <v>2290</v>
      </c>
      <c r="F7" s="13">
        <v>177711</v>
      </c>
      <c r="G7" s="16">
        <v>46061.134722222225</v>
      </c>
      <c r="H7" s="4" t="s">
        <v>2303</v>
      </c>
      <c r="I7" s="16">
        <v>46061.143055555556</v>
      </c>
      <c r="J7" s="6" t="s">
        <v>2304</v>
      </c>
      <c r="K7" s="6" t="s">
        <v>31</v>
      </c>
      <c r="L7" s="6" t="s">
        <v>1750</v>
      </c>
      <c r="M7" s="6" t="s">
        <v>2305</v>
      </c>
    </row>
    <row r="8" spans="1:13" ht="30">
      <c r="A8" s="7" t="s">
        <v>25</v>
      </c>
      <c r="B8" s="15">
        <v>46060</v>
      </c>
      <c r="C8" s="5" t="s">
        <v>28</v>
      </c>
      <c r="D8" s="4" t="s">
        <v>2306</v>
      </c>
      <c r="E8" s="4" t="s">
        <v>2290</v>
      </c>
      <c r="F8" s="13">
        <v>141678</v>
      </c>
      <c r="G8" s="16">
        <v>46061.134722222225</v>
      </c>
      <c r="H8" s="4" t="s">
        <v>2307</v>
      </c>
      <c r="I8" s="16">
        <v>46061.143055555556</v>
      </c>
      <c r="J8" s="6" t="s">
        <v>2308</v>
      </c>
      <c r="K8" s="6" t="s">
        <v>31</v>
      </c>
      <c r="L8" s="6" t="s">
        <v>1742</v>
      </c>
      <c r="M8" s="6" t="s">
        <v>2309</v>
      </c>
    </row>
    <row r="9" spans="1:13" ht="30">
      <c r="A9" s="7" t="s">
        <v>32</v>
      </c>
      <c r="B9" s="15">
        <v>46091</v>
      </c>
      <c r="C9" s="5" t="s">
        <v>36</v>
      </c>
      <c r="D9" s="4" t="s">
        <v>2310</v>
      </c>
      <c r="E9" s="4" t="s">
        <v>2290</v>
      </c>
      <c r="F9" s="13">
        <v>133984</v>
      </c>
      <c r="G9" s="16">
        <v>46092.181250000001</v>
      </c>
      <c r="H9" s="4" t="s">
        <v>2311</v>
      </c>
      <c r="I9" s="16">
        <v>46092.189583333333</v>
      </c>
      <c r="J9" s="6" t="s">
        <v>2312</v>
      </c>
      <c r="K9" s="6" t="s">
        <v>39</v>
      </c>
      <c r="L9" s="6" t="s">
        <v>1756</v>
      </c>
      <c r="M9" s="6" t="s">
        <v>2313</v>
      </c>
    </row>
    <row r="10" spans="1:13" ht="30">
      <c r="A10" s="7" t="s">
        <v>32</v>
      </c>
      <c r="B10" s="15">
        <v>46091</v>
      </c>
      <c r="C10" s="5" t="s">
        <v>36</v>
      </c>
      <c r="D10" s="4" t="s">
        <v>2314</v>
      </c>
      <c r="E10" s="4" t="s">
        <v>2290</v>
      </c>
      <c r="F10" s="13">
        <v>170017</v>
      </c>
      <c r="G10" s="16">
        <v>46092.181250000001</v>
      </c>
      <c r="H10" s="4" t="s">
        <v>2315</v>
      </c>
      <c r="I10" s="16">
        <v>46092.189583333333</v>
      </c>
      <c r="J10" s="6" t="s">
        <v>2316</v>
      </c>
      <c r="K10" s="6" t="s">
        <v>39</v>
      </c>
      <c r="L10" s="6" t="s">
        <v>1761</v>
      </c>
      <c r="M10" s="6" t="s">
        <v>2317</v>
      </c>
    </row>
    <row r="11" spans="1:13" ht="30">
      <c r="A11" s="7" t="s">
        <v>32</v>
      </c>
      <c r="B11" s="15">
        <v>46091</v>
      </c>
      <c r="C11" s="5" t="s">
        <v>36</v>
      </c>
      <c r="D11" s="4" t="s">
        <v>2318</v>
      </c>
      <c r="E11" s="4" t="s">
        <v>2290</v>
      </c>
      <c r="F11" s="13">
        <v>97951</v>
      </c>
      <c r="G11" s="16">
        <v>46092.181250000001</v>
      </c>
      <c r="H11" s="4" t="s">
        <v>2319</v>
      </c>
      <c r="I11" s="16">
        <v>46092.189583333333</v>
      </c>
      <c r="J11" s="6" t="s">
        <v>2320</v>
      </c>
      <c r="K11" s="6" t="s">
        <v>39</v>
      </c>
      <c r="L11" s="6" t="s">
        <v>1751</v>
      </c>
      <c r="M11" s="6" t="s">
        <v>2321</v>
      </c>
    </row>
    <row r="12" spans="1:13" ht="30">
      <c r="A12" s="7" t="s">
        <v>40</v>
      </c>
      <c r="B12" s="15">
        <v>46125</v>
      </c>
      <c r="C12" s="5" t="s">
        <v>43</v>
      </c>
      <c r="D12" s="4" t="s">
        <v>2322</v>
      </c>
      <c r="E12" s="4" t="s">
        <v>2290</v>
      </c>
      <c r="F12" s="13">
        <v>162323</v>
      </c>
      <c r="G12" s="16">
        <v>46126.227777777778</v>
      </c>
      <c r="H12" s="4" t="s">
        <v>2323</v>
      </c>
      <c r="I12" s="16">
        <v>46126.236111111109</v>
      </c>
      <c r="J12" s="6" t="s">
        <v>2324</v>
      </c>
      <c r="K12" s="6" t="s">
        <v>46</v>
      </c>
      <c r="L12" s="6" t="s">
        <v>1776</v>
      </c>
      <c r="M12" s="6" t="s">
        <v>2325</v>
      </c>
    </row>
    <row r="13" spans="1:13" ht="30">
      <c r="A13" s="7" t="s">
        <v>40</v>
      </c>
      <c r="B13" s="15">
        <v>46125</v>
      </c>
      <c r="C13" s="5" t="s">
        <v>43</v>
      </c>
      <c r="D13" s="4" t="s">
        <v>2326</v>
      </c>
      <c r="E13" s="4" t="s">
        <v>2290</v>
      </c>
      <c r="F13" s="13">
        <v>126290</v>
      </c>
      <c r="G13" s="16">
        <v>46126.227777777778</v>
      </c>
      <c r="H13" s="4" t="s">
        <v>2327</v>
      </c>
      <c r="I13" s="16">
        <v>46126.236111111109</v>
      </c>
      <c r="J13" s="6" t="s">
        <v>2328</v>
      </c>
      <c r="K13" s="6" t="s">
        <v>46</v>
      </c>
      <c r="L13" s="6" t="s">
        <v>1764</v>
      </c>
      <c r="M13" s="6" t="s">
        <v>2329</v>
      </c>
    </row>
    <row r="14" spans="1:13" ht="30">
      <c r="A14" s="7" t="s">
        <v>47</v>
      </c>
      <c r="B14" s="15">
        <v>46158</v>
      </c>
      <c r="C14" s="5" t="s">
        <v>50</v>
      </c>
      <c r="D14" s="4" t="s">
        <v>2330</v>
      </c>
      <c r="E14" s="4" t="s">
        <v>2290</v>
      </c>
      <c r="F14" s="13">
        <v>154629</v>
      </c>
      <c r="G14" s="16">
        <v>46159.274305555555</v>
      </c>
      <c r="H14" s="4" t="s">
        <v>2331</v>
      </c>
      <c r="I14" s="16">
        <v>46159.282638888886</v>
      </c>
      <c r="J14" s="6" t="s">
        <v>2332</v>
      </c>
      <c r="K14" s="6" t="s">
        <v>53</v>
      </c>
      <c r="L14" s="6" t="s">
        <v>1790</v>
      </c>
      <c r="M14" s="6" t="s">
        <v>2333</v>
      </c>
    </row>
    <row r="15" spans="1:13" ht="30">
      <c r="A15" s="7" t="s">
        <v>47</v>
      </c>
      <c r="B15" s="15">
        <v>46158</v>
      </c>
      <c r="C15" s="5" t="s">
        <v>50</v>
      </c>
      <c r="D15" s="4" t="s">
        <v>2334</v>
      </c>
      <c r="E15" s="4" t="s">
        <v>2290</v>
      </c>
      <c r="F15" s="13">
        <v>118596</v>
      </c>
      <c r="G15" s="16">
        <v>46159.274305555555</v>
      </c>
      <c r="H15" s="4" t="s">
        <v>2335</v>
      </c>
      <c r="I15" s="16">
        <v>46159.282638888886</v>
      </c>
      <c r="J15" s="6" t="s">
        <v>2336</v>
      </c>
      <c r="K15" s="6" t="s">
        <v>53</v>
      </c>
      <c r="L15" s="6" t="s">
        <v>1785</v>
      </c>
      <c r="M15" s="6" t="s">
        <v>2337</v>
      </c>
    </row>
    <row r="16" spans="1:13" ht="30">
      <c r="A16" s="7" t="s">
        <v>54</v>
      </c>
      <c r="B16" s="15">
        <v>46192</v>
      </c>
      <c r="C16" s="5" t="s">
        <v>56</v>
      </c>
      <c r="D16" s="4" t="s">
        <v>2338</v>
      </c>
      <c r="E16" s="4" t="s">
        <v>2290</v>
      </c>
      <c r="F16" s="13">
        <v>146935</v>
      </c>
      <c r="G16" s="16">
        <v>46193.320833333331</v>
      </c>
      <c r="H16" s="4" t="s">
        <v>2339</v>
      </c>
      <c r="I16" s="16">
        <v>46193.32916666667</v>
      </c>
      <c r="J16" s="6" t="s">
        <v>2340</v>
      </c>
      <c r="K16" s="6" t="s">
        <v>59</v>
      </c>
      <c r="L16" s="6" t="s">
        <v>1800</v>
      </c>
      <c r="M16" s="6" t="s">
        <v>2341</v>
      </c>
    </row>
    <row r="17" spans="1:13" ht="30">
      <c r="A17" s="7" t="s">
        <v>54</v>
      </c>
      <c r="B17" s="15">
        <v>46192</v>
      </c>
      <c r="C17" s="5" t="s">
        <v>56</v>
      </c>
      <c r="D17" s="4" t="s">
        <v>2342</v>
      </c>
      <c r="E17" s="4" t="s">
        <v>2290</v>
      </c>
      <c r="F17" s="13">
        <v>110902</v>
      </c>
      <c r="G17" s="16">
        <v>46193.320833333331</v>
      </c>
      <c r="H17" s="4" t="s">
        <v>2343</v>
      </c>
      <c r="I17" s="16">
        <v>46193.32916666667</v>
      </c>
      <c r="J17" s="6" t="s">
        <v>2344</v>
      </c>
      <c r="K17" s="6" t="s">
        <v>59</v>
      </c>
      <c r="L17" s="6" t="s">
        <v>1797</v>
      </c>
      <c r="M17" s="6" t="s">
        <v>2345</v>
      </c>
    </row>
    <row r="18" spans="1:13" ht="30">
      <c r="A18" s="7" t="s">
        <v>54</v>
      </c>
      <c r="B18" s="15">
        <v>46192</v>
      </c>
      <c r="C18" s="5" t="s">
        <v>56</v>
      </c>
      <c r="D18" s="4" t="s">
        <v>2346</v>
      </c>
      <c r="E18" s="4" t="s">
        <v>2290</v>
      </c>
      <c r="F18" s="13">
        <v>182968</v>
      </c>
      <c r="G18" s="16">
        <v>46193.320833333331</v>
      </c>
      <c r="H18" s="4" t="s">
        <v>2347</v>
      </c>
      <c r="I18" s="16">
        <v>46193.32916666667</v>
      </c>
      <c r="J18" s="6" t="s">
        <v>2348</v>
      </c>
      <c r="K18" s="6" t="s">
        <v>59</v>
      </c>
      <c r="L18" s="6" t="s">
        <v>1803</v>
      </c>
      <c r="M18" s="6" t="s">
        <v>2349</v>
      </c>
    </row>
    <row r="19" spans="1:13" ht="30">
      <c r="A19" s="7" t="s">
        <v>66</v>
      </c>
      <c r="B19" s="15">
        <v>46078</v>
      </c>
      <c r="C19" s="5" t="s">
        <v>68</v>
      </c>
      <c r="D19" s="4" t="s">
        <v>2350</v>
      </c>
      <c r="E19" s="4" t="s">
        <v>2290</v>
      </c>
      <c r="F19" s="13">
        <v>131547</v>
      </c>
      <c r="G19" s="16">
        <v>46079.080555555556</v>
      </c>
      <c r="H19" s="4" t="s">
        <v>2351</v>
      </c>
      <c r="I19" s="16">
        <v>46079.088888888888</v>
      </c>
      <c r="J19" s="6" t="s">
        <v>2352</v>
      </c>
      <c r="K19" s="6" t="s">
        <v>71</v>
      </c>
      <c r="L19" s="6" t="s">
        <v>1815</v>
      </c>
      <c r="M19" s="6" t="s">
        <v>2353</v>
      </c>
    </row>
    <row r="20" spans="1:13" ht="30">
      <c r="A20" s="7" t="s">
        <v>66</v>
      </c>
      <c r="B20" s="15">
        <v>46078</v>
      </c>
      <c r="C20" s="5" t="s">
        <v>68</v>
      </c>
      <c r="D20" s="4" t="s">
        <v>2354</v>
      </c>
      <c r="E20" s="4" t="s">
        <v>2290</v>
      </c>
      <c r="F20" s="13">
        <v>167580</v>
      </c>
      <c r="G20" s="16">
        <v>46079.080555555556</v>
      </c>
      <c r="H20" s="4" t="s">
        <v>2355</v>
      </c>
      <c r="I20" s="16">
        <v>46079.088888888888</v>
      </c>
      <c r="J20" s="6" t="s">
        <v>2356</v>
      </c>
      <c r="K20" s="6" t="s">
        <v>71</v>
      </c>
      <c r="L20" s="6" t="s">
        <v>1818</v>
      </c>
      <c r="M20" s="6" t="s">
        <v>2357</v>
      </c>
    </row>
    <row r="21" spans="1:13" ht="30">
      <c r="A21" s="7" t="s">
        <v>72</v>
      </c>
      <c r="B21" s="15">
        <v>46084</v>
      </c>
      <c r="C21" s="5" t="s">
        <v>74</v>
      </c>
      <c r="D21" s="4" t="s">
        <v>2358</v>
      </c>
      <c r="E21" s="4" t="s">
        <v>2290</v>
      </c>
      <c r="F21" s="13">
        <v>159886</v>
      </c>
      <c r="G21" s="16">
        <v>46085.085416666669</v>
      </c>
      <c r="H21" s="4" t="s">
        <v>2359</v>
      </c>
      <c r="I21" s="16">
        <v>46085.09375</v>
      </c>
      <c r="J21" s="6" t="s">
        <v>2360</v>
      </c>
      <c r="K21" s="6" t="s">
        <v>77</v>
      </c>
      <c r="L21" s="6" t="s">
        <v>1824</v>
      </c>
      <c r="M21" s="6" t="s">
        <v>2361</v>
      </c>
    </row>
    <row r="22" spans="1:13" ht="30">
      <c r="A22" s="7" t="s">
        <v>72</v>
      </c>
      <c r="B22" s="15">
        <v>46084</v>
      </c>
      <c r="C22" s="5" t="s">
        <v>74</v>
      </c>
      <c r="D22" s="4" t="s">
        <v>2362</v>
      </c>
      <c r="E22" s="4" t="s">
        <v>2290</v>
      </c>
      <c r="F22" s="13">
        <v>195919</v>
      </c>
      <c r="G22" s="16">
        <v>46085.085416666669</v>
      </c>
      <c r="H22" s="4" t="s">
        <v>2363</v>
      </c>
      <c r="I22" s="16">
        <v>46085.09375</v>
      </c>
      <c r="J22" s="6" t="s">
        <v>2364</v>
      </c>
      <c r="K22" s="6" t="s">
        <v>77</v>
      </c>
      <c r="L22" s="6" t="s">
        <v>1827</v>
      </c>
      <c r="M22" s="6" t="s">
        <v>2365</v>
      </c>
    </row>
    <row r="23" spans="1:13" ht="30">
      <c r="A23" s="7" t="s">
        <v>72</v>
      </c>
      <c r="B23" s="15">
        <v>46084</v>
      </c>
      <c r="C23" s="5" t="s">
        <v>74</v>
      </c>
      <c r="D23" s="4" t="s">
        <v>2366</v>
      </c>
      <c r="E23" s="4" t="s">
        <v>2290</v>
      </c>
      <c r="F23" s="13">
        <v>123853</v>
      </c>
      <c r="G23" s="16">
        <v>46085.085416666669</v>
      </c>
      <c r="H23" s="4" t="s">
        <v>2367</v>
      </c>
      <c r="I23" s="16">
        <v>46085.09375</v>
      </c>
      <c r="J23" s="6" t="s">
        <v>2368</v>
      </c>
      <c r="K23" s="6" t="s">
        <v>77</v>
      </c>
      <c r="L23" s="6" t="s">
        <v>1821</v>
      </c>
      <c r="M23" s="6" t="s">
        <v>2369</v>
      </c>
    </row>
    <row r="24" spans="1:13" ht="30">
      <c r="A24" s="7" t="s">
        <v>78</v>
      </c>
      <c r="B24" s="15">
        <v>46118</v>
      </c>
      <c r="C24" s="5" t="s">
        <v>80</v>
      </c>
      <c r="D24" s="4" t="s">
        <v>2370</v>
      </c>
      <c r="E24" s="4" t="s">
        <v>2290</v>
      </c>
      <c r="F24" s="13">
        <v>152192</v>
      </c>
      <c r="G24" s="16">
        <v>46119.131944444445</v>
      </c>
      <c r="H24" s="4" t="s">
        <v>2371</v>
      </c>
      <c r="I24" s="16">
        <v>46119.140277777777</v>
      </c>
      <c r="J24" s="6" t="s">
        <v>2372</v>
      </c>
      <c r="K24" s="6" t="s">
        <v>83</v>
      </c>
      <c r="L24" s="6" t="s">
        <v>1830</v>
      </c>
      <c r="M24" s="6" t="s">
        <v>2373</v>
      </c>
    </row>
    <row r="25" spans="1:13" ht="30">
      <c r="A25" s="7" t="s">
        <v>78</v>
      </c>
      <c r="B25" s="15">
        <v>46118</v>
      </c>
      <c r="C25" s="5" t="s">
        <v>80</v>
      </c>
      <c r="D25" s="4" t="s">
        <v>2374</v>
      </c>
      <c r="E25" s="4" t="s">
        <v>2290</v>
      </c>
      <c r="F25" s="13">
        <v>188225</v>
      </c>
      <c r="G25" s="16">
        <v>46119.131944444445</v>
      </c>
      <c r="H25" s="4" t="s">
        <v>2375</v>
      </c>
      <c r="I25" s="16">
        <v>46119.140277777777</v>
      </c>
      <c r="J25" s="6" t="s">
        <v>2376</v>
      </c>
      <c r="K25" s="6" t="s">
        <v>83</v>
      </c>
      <c r="L25" s="6" t="s">
        <v>1833</v>
      </c>
      <c r="M25" s="6" t="s">
        <v>2377</v>
      </c>
    </row>
    <row r="26" spans="1:13" ht="30">
      <c r="A26" s="7" t="s">
        <v>90</v>
      </c>
      <c r="B26" s="15">
        <v>46185</v>
      </c>
      <c r="C26" s="5" t="s">
        <v>92</v>
      </c>
      <c r="D26" s="4" t="s">
        <v>2378</v>
      </c>
      <c r="E26" s="4" t="s">
        <v>2290</v>
      </c>
      <c r="F26" s="13">
        <v>172837</v>
      </c>
      <c r="G26" s="16">
        <v>46186.224999999999</v>
      </c>
      <c r="H26" s="4" t="s">
        <v>2379</v>
      </c>
      <c r="I26" s="16">
        <v>46186.23333333333</v>
      </c>
      <c r="J26" s="6" t="s">
        <v>2380</v>
      </c>
      <c r="K26" s="6" t="s">
        <v>95</v>
      </c>
      <c r="L26" s="6" t="s">
        <v>1851</v>
      </c>
      <c r="M26" s="6" t="s">
        <v>2381</v>
      </c>
    </row>
    <row r="27" spans="1:13" ht="30">
      <c r="A27" s="7" t="s">
        <v>90</v>
      </c>
      <c r="B27" s="15">
        <v>46185</v>
      </c>
      <c r="C27" s="5" t="s">
        <v>92</v>
      </c>
      <c r="D27" s="4" t="s">
        <v>2382</v>
      </c>
      <c r="E27" s="4" t="s">
        <v>2290</v>
      </c>
      <c r="F27" s="13">
        <v>136804</v>
      </c>
      <c r="G27" s="16">
        <v>46186.224999999999</v>
      </c>
      <c r="H27" s="4" t="s">
        <v>2383</v>
      </c>
      <c r="I27" s="16">
        <v>46186.23333333333</v>
      </c>
      <c r="J27" s="6" t="s">
        <v>2384</v>
      </c>
      <c r="K27" s="6" t="s">
        <v>95</v>
      </c>
      <c r="L27" s="6" t="s">
        <v>1846</v>
      </c>
      <c r="M27" s="6" t="s">
        <v>2385</v>
      </c>
    </row>
    <row r="28" spans="1:13" ht="30">
      <c r="A28" s="7" t="s">
        <v>114</v>
      </c>
      <c r="B28" s="15">
        <v>46136</v>
      </c>
      <c r="C28" s="5" t="s">
        <v>116</v>
      </c>
      <c r="D28" s="4" t="s">
        <v>2386</v>
      </c>
      <c r="E28" s="4" t="s">
        <v>2290</v>
      </c>
      <c r="F28" s="13">
        <v>214127</v>
      </c>
      <c r="G28" s="16">
        <v>46137.077777777777</v>
      </c>
      <c r="H28" s="4" t="s">
        <v>2387</v>
      </c>
      <c r="I28" s="16">
        <v>46137.086111111108</v>
      </c>
      <c r="J28" s="6" t="s">
        <v>2388</v>
      </c>
      <c r="K28" s="6" t="s">
        <v>119</v>
      </c>
      <c r="L28" s="6" t="s">
        <v>1883</v>
      </c>
      <c r="M28" s="6" t="s">
        <v>2389</v>
      </c>
    </row>
    <row r="29" spans="1:13" ht="30">
      <c r="A29" s="7" t="s">
        <v>114</v>
      </c>
      <c r="B29" s="15">
        <v>46136</v>
      </c>
      <c r="C29" s="5" t="s">
        <v>116</v>
      </c>
      <c r="D29" s="4" t="s">
        <v>2390</v>
      </c>
      <c r="E29" s="4" t="s">
        <v>2290</v>
      </c>
      <c r="F29" s="13">
        <v>178094</v>
      </c>
      <c r="G29" s="16">
        <v>46137.077777777777</v>
      </c>
      <c r="H29" s="4" t="s">
        <v>2391</v>
      </c>
      <c r="I29" s="16">
        <v>46137.086111111108</v>
      </c>
      <c r="J29" s="6" t="s">
        <v>2392</v>
      </c>
      <c r="K29" s="6" t="s">
        <v>119</v>
      </c>
      <c r="L29" s="6" t="s">
        <v>1880</v>
      </c>
      <c r="M29" s="6" t="s">
        <v>2393</v>
      </c>
    </row>
    <row r="30" spans="1:13" ht="30">
      <c r="A30" s="7" t="s">
        <v>126</v>
      </c>
      <c r="B30" s="15">
        <v>46178</v>
      </c>
      <c r="C30" s="5" t="s">
        <v>128</v>
      </c>
      <c r="D30" s="4" t="s">
        <v>2394</v>
      </c>
      <c r="E30" s="4" t="s">
        <v>2290</v>
      </c>
      <c r="F30" s="13">
        <v>198739</v>
      </c>
      <c r="G30" s="16">
        <v>46179.129166666666</v>
      </c>
      <c r="H30" s="4" t="s">
        <v>2395</v>
      </c>
      <c r="I30" s="16">
        <v>46179.137499999997</v>
      </c>
      <c r="J30" s="6" t="s">
        <v>2396</v>
      </c>
      <c r="K30" s="6" t="s">
        <v>131</v>
      </c>
      <c r="L30" s="6" t="s">
        <v>1893</v>
      </c>
      <c r="M30" s="6" t="s">
        <v>2397</v>
      </c>
    </row>
    <row r="31" spans="1:13" ht="30">
      <c r="A31" s="7" t="s">
        <v>126</v>
      </c>
      <c r="B31" s="15">
        <v>46178</v>
      </c>
      <c r="C31" s="5" t="s">
        <v>128</v>
      </c>
      <c r="D31" s="4" t="s">
        <v>2398</v>
      </c>
      <c r="E31" s="4" t="s">
        <v>2290</v>
      </c>
      <c r="F31" s="13">
        <v>234772</v>
      </c>
      <c r="G31" s="16">
        <v>46179.129166666666</v>
      </c>
      <c r="H31" s="4" t="s">
        <v>2399</v>
      </c>
      <c r="I31" s="16">
        <v>46179.137499999997</v>
      </c>
      <c r="J31" s="6" t="s">
        <v>2400</v>
      </c>
      <c r="K31" s="6" t="s">
        <v>131</v>
      </c>
      <c r="L31" s="6" t="s">
        <v>1896</v>
      </c>
      <c r="M31" s="6" t="s">
        <v>2401</v>
      </c>
    </row>
    <row r="32" spans="1:13" ht="30">
      <c r="A32" s="7" t="s">
        <v>126</v>
      </c>
      <c r="B32" s="15">
        <v>46178</v>
      </c>
      <c r="C32" s="5" t="s">
        <v>128</v>
      </c>
      <c r="D32" s="4" t="s">
        <v>2402</v>
      </c>
      <c r="E32" s="4" t="s">
        <v>2290</v>
      </c>
      <c r="F32" s="13">
        <v>162706</v>
      </c>
      <c r="G32" s="16">
        <v>46179.129166666666</v>
      </c>
      <c r="H32" s="4" t="s">
        <v>2403</v>
      </c>
      <c r="I32" s="16">
        <v>46179.137499999997</v>
      </c>
      <c r="J32" s="6" t="s">
        <v>2404</v>
      </c>
      <c r="K32" s="6" t="s">
        <v>131</v>
      </c>
      <c r="L32" s="6" t="s">
        <v>1890</v>
      </c>
      <c r="M32" s="6" t="s">
        <v>2405</v>
      </c>
    </row>
    <row r="33" spans="1:13" ht="30">
      <c r="A33" s="7" t="s">
        <v>138</v>
      </c>
      <c r="B33" s="15">
        <v>46064</v>
      </c>
      <c r="C33" s="5" t="s">
        <v>140</v>
      </c>
      <c r="D33" s="4" t="s">
        <v>2406</v>
      </c>
      <c r="E33" s="4" t="s">
        <v>2290</v>
      </c>
      <c r="F33" s="13">
        <v>183351</v>
      </c>
      <c r="G33" s="16">
        <v>46065.222222222219</v>
      </c>
      <c r="H33" s="4" t="s">
        <v>2407</v>
      </c>
      <c r="I33" s="16">
        <v>46065.230555555558</v>
      </c>
      <c r="J33" s="6" t="s">
        <v>2408</v>
      </c>
      <c r="K33" s="6" t="s">
        <v>143</v>
      </c>
      <c r="L33" s="6" t="s">
        <v>1904</v>
      </c>
      <c r="M33" s="6" t="s">
        <v>2409</v>
      </c>
    </row>
    <row r="34" spans="1:13" ht="30">
      <c r="A34" s="7" t="s">
        <v>138</v>
      </c>
      <c r="B34" s="15">
        <v>46064</v>
      </c>
      <c r="C34" s="5" t="s">
        <v>140</v>
      </c>
      <c r="D34" s="4" t="s">
        <v>2410</v>
      </c>
      <c r="E34" s="4" t="s">
        <v>2290</v>
      </c>
      <c r="F34" s="13">
        <v>255417</v>
      </c>
      <c r="G34" s="16">
        <v>46065.222222222219</v>
      </c>
      <c r="H34" s="4" t="s">
        <v>2411</v>
      </c>
      <c r="I34" s="16">
        <v>46065.230555555558</v>
      </c>
      <c r="J34" s="6" t="s">
        <v>2412</v>
      </c>
      <c r="K34" s="6" t="s">
        <v>143</v>
      </c>
      <c r="L34" s="6" t="s">
        <v>1910</v>
      </c>
      <c r="M34" s="6" t="s">
        <v>2413</v>
      </c>
    </row>
    <row r="35" spans="1:13" ht="30">
      <c r="A35" s="7" t="s">
        <v>138</v>
      </c>
      <c r="B35" s="15">
        <v>46064</v>
      </c>
      <c r="C35" s="5" t="s">
        <v>140</v>
      </c>
      <c r="D35" s="4" t="s">
        <v>2414</v>
      </c>
      <c r="E35" s="4" t="s">
        <v>2290</v>
      </c>
      <c r="F35" s="13">
        <v>219384</v>
      </c>
      <c r="G35" s="16">
        <v>46065.222222222219</v>
      </c>
      <c r="H35" s="4" t="s">
        <v>2415</v>
      </c>
      <c r="I35" s="16">
        <v>46065.230555555558</v>
      </c>
      <c r="J35" s="6" t="s">
        <v>2416</v>
      </c>
      <c r="K35" s="6" t="s">
        <v>143</v>
      </c>
      <c r="L35" s="6" t="s">
        <v>1907</v>
      </c>
      <c r="M35" s="6" t="s">
        <v>2417</v>
      </c>
    </row>
    <row r="36" spans="1:13" ht="30">
      <c r="A36" s="7" t="s">
        <v>150</v>
      </c>
      <c r="B36" s="15">
        <v>46129</v>
      </c>
      <c r="C36" s="5" t="s">
        <v>152</v>
      </c>
      <c r="D36" s="4" t="s">
        <v>2418</v>
      </c>
      <c r="E36" s="4" t="s">
        <v>2290</v>
      </c>
      <c r="F36" s="13">
        <v>240029</v>
      </c>
      <c r="G36" s="16">
        <v>46130.31527777778</v>
      </c>
      <c r="H36" s="4" t="s">
        <v>2419</v>
      </c>
      <c r="I36" s="16">
        <v>46130.323611111111</v>
      </c>
      <c r="J36" s="6" t="s">
        <v>2420</v>
      </c>
      <c r="K36" s="6" t="s">
        <v>155</v>
      </c>
      <c r="L36" s="6" t="s">
        <v>1924</v>
      </c>
      <c r="M36" s="6" t="s">
        <v>2421</v>
      </c>
    </row>
    <row r="37" spans="1:13" ht="30">
      <c r="A37" s="7" t="s">
        <v>150</v>
      </c>
      <c r="B37" s="15">
        <v>46129</v>
      </c>
      <c r="C37" s="5" t="s">
        <v>152</v>
      </c>
      <c r="D37" s="4" t="s">
        <v>2422</v>
      </c>
      <c r="E37" s="4" t="s">
        <v>2290</v>
      </c>
      <c r="F37" s="13">
        <v>203996</v>
      </c>
      <c r="G37" s="16">
        <v>46130.31527777778</v>
      </c>
      <c r="H37" s="4" t="s">
        <v>2423</v>
      </c>
      <c r="I37" s="16">
        <v>46130.323611111111</v>
      </c>
      <c r="J37" s="6" t="s">
        <v>2424</v>
      </c>
      <c r="K37" s="6" t="s">
        <v>155</v>
      </c>
      <c r="L37" s="6" t="s">
        <v>1921</v>
      </c>
      <c r="M37" s="6" t="s">
        <v>2425</v>
      </c>
    </row>
    <row r="38" spans="1:13" ht="30">
      <c r="A38" s="7" t="s">
        <v>162</v>
      </c>
      <c r="B38" s="15">
        <v>46196</v>
      </c>
      <c r="C38" s="5" t="s">
        <v>164</v>
      </c>
      <c r="D38" s="4" t="s">
        <v>2426</v>
      </c>
      <c r="E38" s="4" t="s">
        <v>2290</v>
      </c>
      <c r="F38" s="13">
        <v>224641</v>
      </c>
      <c r="G38" s="16">
        <v>46197.074999999997</v>
      </c>
      <c r="H38" s="4" t="s">
        <v>2427</v>
      </c>
      <c r="I38" s="16">
        <v>46197.083333333336</v>
      </c>
      <c r="J38" s="6" t="s">
        <v>2428</v>
      </c>
      <c r="K38" s="6" t="s">
        <v>167</v>
      </c>
      <c r="L38" s="6" t="s">
        <v>1938</v>
      </c>
      <c r="M38" s="6" t="s">
        <v>2429</v>
      </c>
    </row>
    <row r="39" spans="1:13" ht="30">
      <c r="A39" s="7" t="s">
        <v>162</v>
      </c>
      <c r="B39" s="15">
        <v>46196</v>
      </c>
      <c r="C39" s="5" t="s">
        <v>164</v>
      </c>
      <c r="D39" s="4" t="s">
        <v>2430</v>
      </c>
      <c r="E39" s="4" t="s">
        <v>2290</v>
      </c>
      <c r="F39" s="13">
        <v>188608</v>
      </c>
      <c r="G39" s="16">
        <v>46197.074999999997</v>
      </c>
      <c r="H39" s="4" t="s">
        <v>2431</v>
      </c>
      <c r="I39" s="16">
        <v>46197.083333333336</v>
      </c>
      <c r="J39" s="6" t="s">
        <v>2432</v>
      </c>
      <c r="K39" s="6" t="s">
        <v>167</v>
      </c>
      <c r="L39" s="6" t="s">
        <v>1935</v>
      </c>
      <c r="M39" s="6" t="s">
        <v>2433</v>
      </c>
    </row>
    <row r="40" spans="1:13" ht="30">
      <c r="A40" s="7" t="s">
        <v>174</v>
      </c>
      <c r="B40" s="15">
        <v>46057</v>
      </c>
      <c r="C40" s="5" t="s">
        <v>176</v>
      </c>
      <c r="D40" s="4" t="s">
        <v>2434</v>
      </c>
      <c r="E40" s="4" t="s">
        <v>2290</v>
      </c>
      <c r="F40" s="13">
        <v>209253</v>
      </c>
      <c r="G40" s="16">
        <v>46058.126388888886</v>
      </c>
      <c r="H40" s="4" t="s">
        <v>2435</v>
      </c>
      <c r="I40" s="16">
        <v>46058.134722222225</v>
      </c>
      <c r="J40" s="6" t="s">
        <v>2436</v>
      </c>
      <c r="K40" s="6" t="s">
        <v>179</v>
      </c>
      <c r="L40" s="6" t="s">
        <v>1948</v>
      </c>
      <c r="M40" s="6" t="s">
        <v>2437</v>
      </c>
    </row>
    <row r="41" spans="1:13" ht="30">
      <c r="A41" s="7" t="s">
        <v>174</v>
      </c>
      <c r="B41" s="15">
        <v>46057</v>
      </c>
      <c r="C41" s="5" t="s">
        <v>176</v>
      </c>
      <c r="D41" s="4" t="s">
        <v>2438</v>
      </c>
      <c r="E41" s="4" t="s">
        <v>2290</v>
      </c>
      <c r="F41" s="13">
        <v>281319</v>
      </c>
      <c r="G41" s="16">
        <v>46058.126388888886</v>
      </c>
      <c r="H41" s="4" t="s">
        <v>2439</v>
      </c>
      <c r="I41" s="16">
        <v>46058.134722222225</v>
      </c>
      <c r="J41" s="6" t="s">
        <v>2440</v>
      </c>
      <c r="K41" s="6" t="s">
        <v>179</v>
      </c>
      <c r="L41" s="6" t="s">
        <v>1954</v>
      </c>
      <c r="M41" s="6" t="s">
        <v>2441</v>
      </c>
    </row>
    <row r="42" spans="1:13" ht="30">
      <c r="A42" s="7" t="s">
        <v>174</v>
      </c>
      <c r="B42" s="15">
        <v>46057</v>
      </c>
      <c r="C42" s="5" t="s">
        <v>176</v>
      </c>
      <c r="D42" s="4" t="s">
        <v>2442</v>
      </c>
      <c r="E42" s="4" t="s">
        <v>2290</v>
      </c>
      <c r="F42" s="13">
        <v>245286</v>
      </c>
      <c r="G42" s="16">
        <v>46058.126388888886</v>
      </c>
      <c r="H42" s="4" t="s">
        <v>2443</v>
      </c>
      <c r="I42" s="16">
        <v>46058.134722222225</v>
      </c>
      <c r="J42" s="6" t="s">
        <v>2444</v>
      </c>
      <c r="K42" s="6" t="s">
        <v>179</v>
      </c>
      <c r="L42" s="6" t="s">
        <v>1951</v>
      </c>
      <c r="M42" s="6" t="s">
        <v>2445</v>
      </c>
    </row>
    <row r="43" spans="1:13" ht="30">
      <c r="A43" s="7" t="s">
        <v>180</v>
      </c>
      <c r="B43" s="15">
        <v>46088</v>
      </c>
      <c r="C43" s="5" t="s">
        <v>182</v>
      </c>
      <c r="D43" s="4" t="s">
        <v>2446</v>
      </c>
      <c r="E43" s="4" t="s">
        <v>2290</v>
      </c>
      <c r="F43" s="13">
        <v>273625</v>
      </c>
      <c r="G43" s="16">
        <v>46089.17291666667</v>
      </c>
      <c r="H43" s="4" t="s">
        <v>2447</v>
      </c>
      <c r="I43" s="16">
        <v>46089.181250000001</v>
      </c>
      <c r="J43" s="6" t="s">
        <v>2448</v>
      </c>
      <c r="K43" s="6" t="s">
        <v>185</v>
      </c>
      <c r="L43" s="6" t="s">
        <v>1967</v>
      </c>
      <c r="M43" s="6" t="s">
        <v>2449</v>
      </c>
    </row>
    <row r="44" spans="1:13" ht="30">
      <c r="A44" s="7" t="s">
        <v>180</v>
      </c>
      <c r="B44" s="15">
        <v>46088</v>
      </c>
      <c r="C44" s="5" t="s">
        <v>182</v>
      </c>
      <c r="D44" s="4" t="s">
        <v>2450</v>
      </c>
      <c r="E44" s="4" t="s">
        <v>2290</v>
      </c>
      <c r="F44" s="13">
        <v>201559</v>
      </c>
      <c r="G44" s="16">
        <v>46089.17291666667</v>
      </c>
      <c r="H44" s="4" t="s">
        <v>2451</v>
      </c>
      <c r="I44" s="16">
        <v>46089.181250000001</v>
      </c>
      <c r="J44" s="6" t="s">
        <v>2452</v>
      </c>
      <c r="K44" s="6" t="s">
        <v>185</v>
      </c>
      <c r="L44" s="6" t="s">
        <v>1955</v>
      </c>
      <c r="M44" s="6" t="s">
        <v>2453</v>
      </c>
    </row>
    <row r="45" spans="1:13" ht="30">
      <c r="A45" s="7" t="s">
        <v>180</v>
      </c>
      <c r="B45" s="15">
        <v>46088</v>
      </c>
      <c r="C45" s="5" t="s">
        <v>182</v>
      </c>
      <c r="D45" s="4" t="s">
        <v>2454</v>
      </c>
      <c r="E45" s="4" t="s">
        <v>2290</v>
      </c>
      <c r="F45" s="13">
        <v>237592</v>
      </c>
      <c r="G45" s="16">
        <v>46089.17291666667</v>
      </c>
      <c r="H45" s="4" t="s">
        <v>2455</v>
      </c>
      <c r="I45" s="16">
        <v>46089.181250000001</v>
      </c>
      <c r="J45" s="6" t="s">
        <v>2456</v>
      </c>
      <c r="K45" s="6" t="s">
        <v>185</v>
      </c>
      <c r="L45" s="6" t="s">
        <v>1960</v>
      </c>
      <c r="M45" s="6" t="s">
        <v>2457</v>
      </c>
    </row>
    <row r="46" spans="1:13" ht="30">
      <c r="A46" s="7" t="s">
        <v>186</v>
      </c>
      <c r="B46" s="15">
        <v>46122</v>
      </c>
      <c r="C46" s="5" t="s">
        <v>188</v>
      </c>
      <c r="D46" s="4" t="s">
        <v>2458</v>
      </c>
      <c r="E46" s="4" t="s">
        <v>2290</v>
      </c>
      <c r="F46" s="13">
        <v>265931</v>
      </c>
      <c r="G46" s="16">
        <v>46123.219444444447</v>
      </c>
      <c r="H46" s="4" t="s">
        <v>2459</v>
      </c>
      <c r="I46" s="16">
        <v>46123.227777777778</v>
      </c>
      <c r="J46" s="6" t="s">
        <v>2460</v>
      </c>
      <c r="K46" s="6" t="s">
        <v>191</v>
      </c>
      <c r="L46" s="6" t="s">
        <v>1976</v>
      </c>
      <c r="M46" s="6" t="s">
        <v>2461</v>
      </c>
    </row>
    <row r="47" spans="1:13" ht="30">
      <c r="A47" s="7" t="s">
        <v>186</v>
      </c>
      <c r="B47" s="15">
        <v>46122</v>
      </c>
      <c r="C47" s="5" t="s">
        <v>188</v>
      </c>
      <c r="D47" s="4" t="s">
        <v>2462</v>
      </c>
      <c r="E47" s="4" t="s">
        <v>2290</v>
      </c>
      <c r="F47" s="13">
        <v>229898</v>
      </c>
      <c r="G47" s="16">
        <v>46123.219444444447</v>
      </c>
      <c r="H47" s="4" t="s">
        <v>2463</v>
      </c>
      <c r="I47" s="16">
        <v>46123.227777777778</v>
      </c>
      <c r="J47" s="6" t="s">
        <v>2464</v>
      </c>
      <c r="K47" s="6" t="s">
        <v>191</v>
      </c>
      <c r="L47" s="6" t="s">
        <v>1971</v>
      </c>
      <c r="M47" s="6" t="s">
        <v>2465</v>
      </c>
    </row>
    <row r="48" spans="1:13" ht="30">
      <c r="A48" s="7" t="s">
        <v>234</v>
      </c>
      <c r="B48" s="15">
        <v>46182</v>
      </c>
      <c r="C48" s="5" t="s">
        <v>236</v>
      </c>
      <c r="D48" s="4" t="s">
        <v>2466</v>
      </c>
      <c r="E48" s="4" t="s">
        <v>2290</v>
      </c>
      <c r="F48" s="13">
        <v>240412</v>
      </c>
      <c r="G48" s="16">
        <v>46183.216666666667</v>
      </c>
      <c r="H48" s="4" t="s">
        <v>2467</v>
      </c>
      <c r="I48" s="16">
        <v>46183.224999999999</v>
      </c>
      <c r="J48" s="6" t="s">
        <v>2468</v>
      </c>
      <c r="K48" s="6" t="s">
        <v>239</v>
      </c>
      <c r="L48" s="6" t="s">
        <v>2023</v>
      </c>
      <c r="M48" s="6" t="s">
        <v>2469</v>
      </c>
    </row>
    <row r="49" spans="1:13" ht="30">
      <c r="A49" s="7" t="s">
        <v>234</v>
      </c>
      <c r="B49" s="15">
        <v>46182</v>
      </c>
      <c r="C49" s="5" t="s">
        <v>236</v>
      </c>
      <c r="D49" s="4" t="s">
        <v>2470</v>
      </c>
      <c r="E49" s="4" t="s">
        <v>2290</v>
      </c>
      <c r="F49" s="13">
        <v>312478</v>
      </c>
      <c r="G49" s="16">
        <v>46183.216666666667</v>
      </c>
      <c r="H49" s="4" t="s">
        <v>2471</v>
      </c>
      <c r="I49" s="16">
        <v>46183.224999999999</v>
      </c>
      <c r="J49" s="6" t="s">
        <v>2472</v>
      </c>
      <c r="K49" s="6" t="s">
        <v>239</v>
      </c>
      <c r="L49" s="6" t="s">
        <v>2035</v>
      </c>
      <c r="M49" s="6" t="s">
        <v>2473</v>
      </c>
    </row>
    <row r="50" spans="1:13" ht="30">
      <c r="A50" s="7" t="s">
        <v>234</v>
      </c>
      <c r="B50" s="15">
        <v>46182</v>
      </c>
      <c r="C50" s="5" t="s">
        <v>236</v>
      </c>
      <c r="D50" s="4" t="s">
        <v>2474</v>
      </c>
      <c r="E50" s="4" t="s">
        <v>2290</v>
      </c>
      <c r="F50" s="13">
        <v>276445</v>
      </c>
      <c r="G50" s="16">
        <v>46183.216666666667</v>
      </c>
      <c r="H50" s="4" t="s">
        <v>2475</v>
      </c>
      <c r="I50" s="16">
        <v>46183.224999999999</v>
      </c>
      <c r="J50" s="6" t="s">
        <v>2476</v>
      </c>
      <c r="K50" s="6" t="s">
        <v>239</v>
      </c>
      <c r="L50" s="6" t="s">
        <v>2026</v>
      </c>
      <c r="M50" s="6" t="s">
        <v>2477</v>
      </c>
    </row>
    <row r="51" spans="1:13" ht="30">
      <c r="A51" s="7" t="s">
        <v>240</v>
      </c>
      <c r="B51" s="15">
        <v>46034</v>
      </c>
      <c r="C51" s="5" t="s">
        <v>242</v>
      </c>
      <c r="D51" s="4" t="s">
        <v>2478</v>
      </c>
      <c r="E51" s="4" t="s">
        <v>2290</v>
      </c>
      <c r="F51" s="13">
        <v>304784</v>
      </c>
      <c r="G51" s="16">
        <v>46035.263194444444</v>
      </c>
      <c r="H51" s="4" t="s">
        <v>2479</v>
      </c>
      <c r="I51" s="16">
        <v>46035.271527777775</v>
      </c>
      <c r="J51" s="6" t="s">
        <v>2480</v>
      </c>
      <c r="K51" s="6" t="s">
        <v>245</v>
      </c>
      <c r="L51" s="6" t="s">
        <v>2044</v>
      </c>
      <c r="M51" s="6" t="s">
        <v>2481</v>
      </c>
    </row>
    <row r="52" spans="1:13" ht="30">
      <c r="A52" s="7" t="s">
        <v>240</v>
      </c>
      <c r="B52" s="15">
        <v>46034</v>
      </c>
      <c r="C52" s="5" t="s">
        <v>242</v>
      </c>
      <c r="D52" s="4" t="s">
        <v>2482</v>
      </c>
      <c r="E52" s="4" t="s">
        <v>2290</v>
      </c>
      <c r="F52" s="13">
        <v>268751</v>
      </c>
      <c r="G52" s="16">
        <v>46035.263194444444</v>
      </c>
      <c r="H52" s="4" t="s">
        <v>2483</v>
      </c>
      <c r="I52" s="16">
        <v>46035.271527777775</v>
      </c>
      <c r="J52" s="6" t="s">
        <v>2484</v>
      </c>
      <c r="K52" s="6" t="s">
        <v>245</v>
      </c>
      <c r="L52" s="6" t="s">
        <v>2041</v>
      </c>
      <c r="M52" s="6" t="s">
        <v>2485</v>
      </c>
    </row>
    <row r="53" spans="1:13" ht="30">
      <c r="A53" s="7" t="s">
        <v>246</v>
      </c>
      <c r="B53" s="15">
        <v>46068</v>
      </c>
      <c r="C53" s="5" t="s">
        <v>248</v>
      </c>
      <c r="D53" s="4" t="s">
        <v>2486</v>
      </c>
      <c r="E53" s="4" t="s">
        <v>2290</v>
      </c>
      <c r="F53" s="13">
        <v>297090</v>
      </c>
      <c r="G53" s="16">
        <v>46069.30972222222</v>
      </c>
      <c r="H53" s="4" t="s">
        <v>2487</v>
      </c>
      <c r="I53" s="16">
        <v>46069.318055555559</v>
      </c>
      <c r="J53" s="6" t="s">
        <v>2488</v>
      </c>
      <c r="K53" s="6" t="s">
        <v>251</v>
      </c>
      <c r="L53" s="6" t="s">
        <v>2051</v>
      </c>
      <c r="M53" s="6" t="s">
        <v>2489</v>
      </c>
    </row>
    <row r="54" spans="1:13" ht="30">
      <c r="A54" s="7" t="s">
        <v>246</v>
      </c>
      <c r="B54" s="15">
        <v>46068</v>
      </c>
      <c r="C54" s="5" t="s">
        <v>248</v>
      </c>
      <c r="D54" s="4" t="s">
        <v>2490</v>
      </c>
      <c r="E54" s="4" t="s">
        <v>2290</v>
      </c>
      <c r="F54" s="13">
        <v>333123</v>
      </c>
      <c r="G54" s="16">
        <v>46069.30972222222</v>
      </c>
      <c r="H54" s="4" t="s">
        <v>2491</v>
      </c>
      <c r="I54" s="16">
        <v>46069.318055555559</v>
      </c>
      <c r="J54" s="6" t="s">
        <v>2492</v>
      </c>
      <c r="K54" s="6" t="s">
        <v>251</v>
      </c>
      <c r="L54" s="6" t="s">
        <v>2054</v>
      </c>
      <c r="M54" s="6" t="s">
        <v>2493</v>
      </c>
    </row>
    <row r="55" spans="1:13" ht="30">
      <c r="A55" s="7" t="s">
        <v>246</v>
      </c>
      <c r="B55" s="15">
        <v>46068</v>
      </c>
      <c r="C55" s="5" t="s">
        <v>248</v>
      </c>
      <c r="D55" s="4" t="s">
        <v>2494</v>
      </c>
      <c r="E55" s="4" t="s">
        <v>2290</v>
      </c>
      <c r="F55" s="13">
        <v>261057</v>
      </c>
      <c r="G55" s="16">
        <v>46069.30972222222</v>
      </c>
      <c r="H55" s="4" t="s">
        <v>2495</v>
      </c>
      <c r="I55" s="16">
        <v>46069.318055555559</v>
      </c>
      <c r="J55" s="6" t="s">
        <v>2496</v>
      </c>
      <c r="K55" s="6" t="s">
        <v>251</v>
      </c>
      <c r="L55" s="6" t="s">
        <v>2048</v>
      </c>
      <c r="M55" s="6" t="s">
        <v>2497</v>
      </c>
    </row>
    <row r="56" spans="1:13" ht="30">
      <c r="A56" s="7" t="s">
        <v>252</v>
      </c>
      <c r="B56" s="15">
        <v>46099</v>
      </c>
      <c r="C56" s="5" t="s">
        <v>254</v>
      </c>
      <c r="D56" s="4" t="s">
        <v>2498</v>
      </c>
      <c r="E56" s="4" t="s">
        <v>2290</v>
      </c>
      <c r="F56" s="13">
        <v>253363</v>
      </c>
      <c r="G56" s="16">
        <v>46100.356249999997</v>
      </c>
      <c r="H56" s="4" t="s">
        <v>2499</v>
      </c>
      <c r="I56" s="16">
        <v>46100.364583333336</v>
      </c>
      <c r="J56" s="6" t="s">
        <v>2500</v>
      </c>
      <c r="K56" s="6" t="s">
        <v>257</v>
      </c>
      <c r="L56" s="6" t="s">
        <v>2055</v>
      </c>
      <c r="M56" s="6" t="s">
        <v>2501</v>
      </c>
    </row>
    <row r="57" spans="1:13" ht="30">
      <c r="A57" s="7" t="s">
        <v>252</v>
      </c>
      <c r="B57" s="15">
        <v>46099</v>
      </c>
      <c r="C57" s="5" t="s">
        <v>254</v>
      </c>
      <c r="D57" s="4" t="s">
        <v>2502</v>
      </c>
      <c r="E57" s="4" t="s">
        <v>2290</v>
      </c>
      <c r="F57" s="13">
        <v>325429</v>
      </c>
      <c r="G57" s="16">
        <v>46100.356249999997</v>
      </c>
      <c r="H57" s="4" t="s">
        <v>2503</v>
      </c>
      <c r="I57" s="16">
        <v>46100.364583333336</v>
      </c>
      <c r="J57" s="6" t="s">
        <v>2504</v>
      </c>
      <c r="K57" s="6" t="s">
        <v>257</v>
      </c>
      <c r="L57" s="6" t="s">
        <v>2061</v>
      </c>
      <c r="M57" s="6" t="s">
        <v>2505</v>
      </c>
    </row>
    <row r="58" spans="1:13" ht="30">
      <c r="A58" s="7" t="s">
        <v>252</v>
      </c>
      <c r="B58" s="15">
        <v>46099</v>
      </c>
      <c r="C58" s="5" t="s">
        <v>254</v>
      </c>
      <c r="D58" s="4" t="s">
        <v>2506</v>
      </c>
      <c r="E58" s="4" t="s">
        <v>2290</v>
      </c>
      <c r="F58" s="13">
        <v>289396</v>
      </c>
      <c r="G58" s="16">
        <v>46100.356249999997</v>
      </c>
      <c r="H58" s="4" t="s">
        <v>2507</v>
      </c>
      <c r="I58" s="16">
        <v>46100.364583333336</v>
      </c>
      <c r="J58" s="6" t="s">
        <v>2508</v>
      </c>
      <c r="K58" s="6" t="s">
        <v>257</v>
      </c>
      <c r="L58" s="6" t="s">
        <v>2058</v>
      </c>
      <c r="M58" s="6" t="s">
        <v>2509</v>
      </c>
    </row>
    <row r="59" spans="1:13" ht="30">
      <c r="A59" s="7" t="s">
        <v>258</v>
      </c>
      <c r="B59" s="15">
        <v>46133</v>
      </c>
      <c r="C59" s="5" t="s">
        <v>260</v>
      </c>
      <c r="D59" s="4" t="s">
        <v>2510</v>
      </c>
      <c r="E59" s="4" t="s">
        <v>2290</v>
      </c>
      <c r="F59" s="13">
        <v>281702</v>
      </c>
      <c r="G59" s="16">
        <v>46134.069444444445</v>
      </c>
      <c r="H59" s="4" t="s">
        <v>2511</v>
      </c>
      <c r="I59" s="16">
        <v>46134.077777777777</v>
      </c>
      <c r="J59" s="6" t="s">
        <v>2512</v>
      </c>
      <c r="K59" s="6" t="s">
        <v>263</v>
      </c>
      <c r="L59" s="6" t="s">
        <v>2067</v>
      </c>
      <c r="M59" s="6" t="s">
        <v>2513</v>
      </c>
    </row>
    <row r="60" spans="1:13" ht="30">
      <c r="A60" s="7" t="s">
        <v>258</v>
      </c>
      <c r="B60" s="15">
        <v>46133</v>
      </c>
      <c r="C60" s="5" t="s">
        <v>260</v>
      </c>
      <c r="D60" s="4" t="s">
        <v>2514</v>
      </c>
      <c r="E60" s="4" t="s">
        <v>2290</v>
      </c>
      <c r="F60" s="13">
        <v>317735</v>
      </c>
      <c r="G60" s="16">
        <v>46134.069444444445</v>
      </c>
      <c r="H60" s="4" t="s">
        <v>2515</v>
      </c>
      <c r="I60" s="16">
        <v>46134.077777777777</v>
      </c>
      <c r="J60" s="6" t="s">
        <v>2516</v>
      </c>
      <c r="K60" s="6" t="s">
        <v>263</v>
      </c>
      <c r="L60" s="6" t="s">
        <v>2070</v>
      </c>
      <c r="M60" s="6" t="s">
        <v>2517</v>
      </c>
    </row>
    <row r="61" spans="1:13" ht="30">
      <c r="A61" s="7" t="s">
        <v>264</v>
      </c>
      <c r="B61" s="15">
        <v>46166</v>
      </c>
      <c r="C61" s="5" t="s">
        <v>266</v>
      </c>
      <c r="D61" s="4" t="s">
        <v>2518</v>
      </c>
      <c r="E61" s="4" t="s">
        <v>2290</v>
      </c>
      <c r="F61" s="13">
        <v>274008</v>
      </c>
      <c r="G61" s="16">
        <v>46167.115972222222</v>
      </c>
      <c r="H61" s="4" t="s">
        <v>2519</v>
      </c>
      <c r="I61" s="16">
        <v>46167.124305555553</v>
      </c>
      <c r="J61" s="6" t="s">
        <v>2520</v>
      </c>
      <c r="K61" s="6" t="s">
        <v>269</v>
      </c>
      <c r="L61" s="6" t="s">
        <v>2074</v>
      </c>
      <c r="M61" s="6" t="s">
        <v>2521</v>
      </c>
    </row>
    <row r="62" spans="1:13" ht="30">
      <c r="A62" s="7" t="s">
        <v>264</v>
      </c>
      <c r="B62" s="15">
        <v>46166</v>
      </c>
      <c r="C62" s="5" t="s">
        <v>266</v>
      </c>
      <c r="D62" s="4" t="s">
        <v>2522</v>
      </c>
      <c r="E62" s="4" t="s">
        <v>2290</v>
      </c>
      <c r="F62" s="13">
        <v>310041</v>
      </c>
      <c r="G62" s="16">
        <v>46167.115972222222</v>
      </c>
      <c r="H62" s="4" t="s">
        <v>2523</v>
      </c>
      <c r="I62" s="16">
        <v>46167.124305555553</v>
      </c>
      <c r="J62" s="6" t="s">
        <v>2524</v>
      </c>
      <c r="K62" s="6" t="s">
        <v>269</v>
      </c>
      <c r="L62" s="6" t="s">
        <v>2077</v>
      </c>
      <c r="M62" s="6" t="s">
        <v>2525</v>
      </c>
    </row>
    <row r="63" spans="1:13" ht="30">
      <c r="A63" s="7" t="s">
        <v>276</v>
      </c>
      <c r="B63" s="15">
        <v>46027</v>
      </c>
      <c r="C63" s="5" t="s">
        <v>278</v>
      </c>
      <c r="D63" s="4" t="s">
        <v>2526</v>
      </c>
      <c r="E63" s="4" t="s">
        <v>2290</v>
      </c>
      <c r="F63" s="13">
        <v>294653</v>
      </c>
      <c r="G63" s="16">
        <v>46028.167361111111</v>
      </c>
      <c r="H63" s="4" t="s">
        <v>2527</v>
      </c>
      <c r="I63" s="16">
        <v>46028.175694444442</v>
      </c>
      <c r="J63" s="6" t="s">
        <v>2528</v>
      </c>
      <c r="K63" s="6" t="s">
        <v>281</v>
      </c>
      <c r="L63" s="6" t="s">
        <v>2092</v>
      </c>
      <c r="M63" s="6" t="s">
        <v>2529</v>
      </c>
    </row>
    <row r="64" spans="1:13" ht="30">
      <c r="A64" s="7" t="s">
        <v>276</v>
      </c>
      <c r="B64" s="15">
        <v>46027</v>
      </c>
      <c r="C64" s="5" t="s">
        <v>278</v>
      </c>
      <c r="D64" s="4" t="s">
        <v>2530</v>
      </c>
      <c r="E64" s="4" t="s">
        <v>2290</v>
      </c>
      <c r="F64" s="13">
        <v>330686</v>
      </c>
      <c r="G64" s="16">
        <v>46028.167361111111</v>
      </c>
      <c r="H64" s="4" t="s">
        <v>2531</v>
      </c>
      <c r="I64" s="16">
        <v>46028.175694444442</v>
      </c>
      <c r="J64" s="6" t="s">
        <v>2532</v>
      </c>
      <c r="K64" s="6" t="s">
        <v>281</v>
      </c>
      <c r="L64" s="6" t="s">
        <v>2095</v>
      </c>
      <c r="M64" s="6" t="s">
        <v>2533</v>
      </c>
    </row>
    <row r="65" spans="1:13" ht="30">
      <c r="A65" s="7" t="s">
        <v>366</v>
      </c>
      <c r="B65" s="15">
        <v>46137</v>
      </c>
      <c r="C65" s="5" t="s">
        <v>368</v>
      </c>
      <c r="D65" s="4" t="s">
        <v>2534</v>
      </c>
      <c r="E65" s="4" t="s">
        <v>2290</v>
      </c>
      <c r="F65" s="13">
        <v>395441</v>
      </c>
      <c r="G65" s="16">
        <v>46138.156944444447</v>
      </c>
      <c r="H65" s="4" t="s">
        <v>2535</v>
      </c>
      <c r="I65" s="16">
        <v>46138.165277777778</v>
      </c>
      <c r="J65" s="6" t="s">
        <v>2536</v>
      </c>
      <c r="K65" s="6" t="s">
        <v>371</v>
      </c>
      <c r="L65" s="6" t="s">
        <v>2186</v>
      </c>
      <c r="M65" s="6" t="s">
        <v>2537</v>
      </c>
    </row>
    <row r="66" spans="1:13" ht="30">
      <c r="A66" s="7" t="s">
        <v>366</v>
      </c>
      <c r="B66" s="15">
        <v>46137</v>
      </c>
      <c r="C66" s="5" t="s">
        <v>368</v>
      </c>
      <c r="D66" s="4" t="s">
        <v>2538</v>
      </c>
      <c r="E66" s="4" t="s">
        <v>2290</v>
      </c>
      <c r="F66" s="13">
        <v>359408</v>
      </c>
      <c r="G66" s="16">
        <v>46138.156944444447</v>
      </c>
      <c r="H66" s="4" t="s">
        <v>2539</v>
      </c>
      <c r="I66" s="16">
        <v>46138.165277777778</v>
      </c>
      <c r="J66" s="6" t="s">
        <v>2540</v>
      </c>
      <c r="K66" s="6" t="s">
        <v>371</v>
      </c>
      <c r="L66" s="6" t="s">
        <v>2183</v>
      </c>
      <c r="M66" s="6" t="s">
        <v>2541</v>
      </c>
    </row>
    <row r="67" spans="1:13" ht="30">
      <c r="A67" s="7" t="s">
        <v>366</v>
      </c>
      <c r="B67" s="15">
        <v>46137</v>
      </c>
      <c r="C67" s="5" t="s">
        <v>368</v>
      </c>
      <c r="D67" s="4" t="s">
        <v>2542</v>
      </c>
      <c r="E67" s="4" t="s">
        <v>2290</v>
      </c>
      <c r="F67" s="13">
        <v>431474</v>
      </c>
      <c r="G67" s="16">
        <v>46138.156944444447</v>
      </c>
      <c r="H67" s="4" t="s">
        <v>2543</v>
      </c>
      <c r="I67" s="16">
        <v>46138.165277777778</v>
      </c>
      <c r="J67" s="6" t="s">
        <v>2544</v>
      </c>
      <c r="K67" s="6" t="s">
        <v>371</v>
      </c>
      <c r="L67" s="6" t="s">
        <v>2189</v>
      </c>
      <c r="M67" s="6" t="s">
        <v>2545</v>
      </c>
    </row>
    <row r="68" spans="1:13" ht="30">
      <c r="A68" s="7" t="s">
        <v>372</v>
      </c>
      <c r="B68" s="15">
        <v>46145</v>
      </c>
      <c r="C68" s="5" t="s">
        <v>374</v>
      </c>
      <c r="D68" s="4" t="s">
        <v>2546</v>
      </c>
      <c r="E68" s="4" t="s">
        <v>2290</v>
      </c>
      <c r="F68" s="13">
        <v>423780</v>
      </c>
      <c r="G68" s="16">
        <v>46146.203472222223</v>
      </c>
      <c r="H68" s="4" t="s">
        <v>2547</v>
      </c>
      <c r="I68" s="16">
        <v>46146.211805555555</v>
      </c>
      <c r="J68" s="6" t="s">
        <v>2548</v>
      </c>
      <c r="K68" s="6" t="s">
        <v>377</v>
      </c>
      <c r="L68" s="6" t="s">
        <v>2197</v>
      </c>
      <c r="M68" s="6" t="s">
        <v>2549</v>
      </c>
    </row>
    <row r="69" spans="1:13" ht="30">
      <c r="A69" s="7" t="s">
        <v>372</v>
      </c>
      <c r="B69" s="15">
        <v>46145</v>
      </c>
      <c r="C69" s="5" t="s">
        <v>374</v>
      </c>
      <c r="D69" s="4" t="s">
        <v>2550</v>
      </c>
      <c r="E69" s="4" t="s">
        <v>2290</v>
      </c>
      <c r="F69" s="13">
        <v>351714</v>
      </c>
      <c r="G69" s="16">
        <v>46146.203472222223</v>
      </c>
      <c r="H69" s="4" t="s">
        <v>2551</v>
      </c>
      <c r="I69" s="16">
        <v>46146.211805555555</v>
      </c>
      <c r="J69" s="6" t="s">
        <v>2552</v>
      </c>
      <c r="K69" s="6" t="s">
        <v>377</v>
      </c>
      <c r="L69" s="6" t="s">
        <v>2191</v>
      </c>
      <c r="M69" s="6" t="s">
        <v>2553</v>
      </c>
    </row>
    <row r="70" spans="1:13" ht="30">
      <c r="A70" s="7" t="s">
        <v>372</v>
      </c>
      <c r="B70" s="15">
        <v>46145</v>
      </c>
      <c r="C70" s="5" t="s">
        <v>374</v>
      </c>
      <c r="D70" s="4" t="s">
        <v>2554</v>
      </c>
      <c r="E70" s="4" t="s">
        <v>2290</v>
      </c>
      <c r="F70" s="13">
        <v>387747</v>
      </c>
      <c r="G70" s="16">
        <v>46146.203472222223</v>
      </c>
      <c r="H70" s="4" t="s">
        <v>2555</v>
      </c>
      <c r="I70" s="16">
        <v>46146.211805555555</v>
      </c>
      <c r="J70" s="6" t="s">
        <v>2556</v>
      </c>
      <c r="K70" s="6" t="s">
        <v>377</v>
      </c>
      <c r="L70" s="6" t="s">
        <v>2194</v>
      </c>
      <c r="M70" s="6" t="s">
        <v>2557</v>
      </c>
    </row>
    <row r="71" spans="1:13" ht="30">
      <c r="A71" s="7" t="s">
        <v>378</v>
      </c>
      <c r="B71" s="15">
        <v>46058</v>
      </c>
      <c r="C71" s="5" t="s">
        <v>380</v>
      </c>
      <c r="D71" s="4" t="s">
        <v>2558</v>
      </c>
      <c r="E71" s="4" t="s">
        <v>2290</v>
      </c>
      <c r="F71" s="13">
        <v>390567</v>
      </c>
      <c r="G71" s="16">
        <v>46059.24722222222</v>
      </c>
      <c r="H71" s="4" t="s">
        <v>2559</v>
      </c>
      <c r="I71" s="16">
        <v>46059.255555555559</v>
      </c>
      <c r="J71" s="6" t="s">
        <v>2560</v>
      </c>
      <c r="K71" s="6" t="s">
        <v>383</v>
      </c>
      <c r="L71" s="6" t="s">
        <v>2200</v>
      </c>
      <c r="M71" s="6" t="s">
        <v>2561</v>
      </c>
    </row>
    <row r="72" spans="1:13" ht="30">
      <c r="A72" s="7" t="s">
        <v>378</v>
      </c>
      <c r="B72" s="15">
        <v>46058</v>
      </c>
      <c r="C72" s="5" t="s">
        <v>380</v>
      </c>
      <c r="D72" s="4" t="s">
        <v>2562</v>
      </c>
      <c r="E72" s="4" t="s">
        <v>2290</v>
      </c>
      <c r="F72" s="13">
        <v>426600</v>
      </c>
      <c r="G72" s="16">
        <v>46059.24722222222</v>
      </c>
      <c r="H72" s="4" t="s">
        <v>2563</v>
      </c>
      <c r="I72" s="16">
        <v>46059.255555555559</v>
      </c>
      <c r="J72" s="6" t="s">
        <v>2564</v>
      </c>
      <c r="K72" s="6" t="s">
        <v>383</v>
      </c>
      <c r="L72" s="6" t="s">
        <v>2203</v>
      </c>
      <c r="M72" s="6" t="s">
        <v>2565</v>
      </c>
    </row>
    <row r="73" spans="1:13" ht="30">
      <c r="A73" s="7" t="s">
        <v>384</v>
      </c>
      <c r="B73" s="15">
        <v>46179</v>
      </c>
      <c r="C73" s="5" t="s">
        <v>386</v>
      </c>
      <c r="D73" s="4" t="s">
        <v>2566</v>
      </c>
      <c r="E73" s="4" t="s">
        <v>2290</v>
      </c>
      <c r="F73" s="13">
        <v>416086</v>
      </c>
      <c r="G73" s="16">
        <v>46180.208333333336</v>
      </c>
      <c r="H73" s="4" t="s">
        <v>2567</v>
      </c>
      <c r="I73" s="16">
        <v>46180.216666666667</v>
      </c>
      <c r="J73" s="6" t="s">
        <v>2568</v>
      </c>
      <c r="K73" s="6" t="s">
        <v>389</v>
      </c>
      <c r="L73" s="6" t="s">
        <v>2212</v>
      </c>
      <c r="M73" s="6" t="s">
        <v>2569</v>
      </c>
    </row>
    <row r="74" spans="1:13" ht="30">
      <c r="A74" s="7" t="s">
        <v>384</v>
      </c>
      <c r="B74" s="15">
        <v>46179</v>
      </c>
      <c r="C74" s="5" t="s">
        <v>386</v>
      </c>
      <c r="D74" s="4" t="s">
        <v>2570</v>
      </c>
      <c r="E74" s="4" t="s">
        <v>2290</v>
      </c>
      <c r="F74" s="13">
        <v>344020</v>
      </c>
      <c r="G74" s="16">
        <v>46180.208333333336</v>
      </c>
      <c r="H74" s="4" t="s">
        <v>2571</v>
      </c>
      <c r="I74" s="16">
        <v>46180.216666666667</v>
      </c>
      <c r="J74" s="6" t="s">
        <v>2572</v>
      </c>
      <c r="K74" s="6" t="s">
        <v>389</v>
      </c>
      <c r="L74" s="6" t="s">
        <v>2206</v>
      </c>
      <c r="M74" s="6" t="s">
        <v>2573</v>
      </c>
    </row>
    <row r="75" spans="1:13" ht="30">
      <c r="A75" s="7" t="s">
        <v>384</v>
      </c>
      <c r="B75" s="15">
        <v>46179</v>
      </c>
      <c r="C75" s="5" t="s">
        <v>386</v>
      </c>
      <c r="D75" s="4" t="s">
        <v>2574</v>
      </c>
      <c r="E75" s="4" t="s">
        <v>2290</v>
      </c>
      <c r="F75" s="13">
        <v>380053</v>
      </c>
      <c r="G75" s="16">
        <v>46180.208333333336</v>
      </c>
      <c r="H75" s="4" t="s">
        <v>2575</v>
      </c>
      <c r="I75" s="16">
        <v>46180.216666666667</v>
      </c>
      <c r="J75" s="6" t="s">
        <v>2576</v>
      </c>
      <c r="K75" s="6" t="s">
        <v>389</v>
      </c>
      <c r="L75" s="6" t="s">
        <v>2209</v>
      </c>
      <c r="M75" s="6" t="s">
        <v>2577</v>
      </c>
    </row>
    <row r="76" spans="1:13" ht="30">
      <c r="A76" s="7" t="s">
        <v>390</v>
      </c>
      <c r="B76" s="15">
        <v>46031</v>
      </c>
      <c r="C76" s="5" t="s">
        <v>392</v>
      </c>
      <c r="D76" s="4" t="s">
        <v>2578</v>
      </c>
      <c r="E76" s="4" t="s">
        <v>2290</v>
      </c>
      <c r="F76" s="13">
        <v>372359</v>
      </c>
      <c r="G76" s="16">
        <v>46032.254861111112</v>
      </c>
      <c r="H76" s="4" t="s">
        <v>2579</v>
      </c>
      <c r="I76" s="16">
        <v>46032.263194444444</v>
      </c>
      <c r="J76" s="6" t="s">
        <v>2580</v>
      </c>
      <c r="K76" s="6" t="s">
        <v>395</v>
      </c>
      <c r="L76" s="6" t="s">
        <v>2217</v>
      </c>
      <c r="M76" s="6" t="s">
        <v>2581</v>
      </c>
    </row>
    <row r="77" spans="1:13" ht="30">
      <c r="A77" s="7" t="s">
        <v>390</v>
      </c>
      <c r="B77" s="15">
        <v>46031</v>
      </c>
      <c r="C77" s="5" t="s">
        <v>392</v>
      </c>
      <c r="D77" s="4" t="s">
        <v>2582</v>
      </c>
      <c r="E77" s="4" t="s">
        <v>2290</v>
      </c>
      <c r="F77" s="13">
        <v>408392</v>
      </c>
      <c r="G77" s="16">
        <v>46032.254861111112</v>
      </c>
      <c r="H77" s="4" t="s">
        <v>2583</v>
      </c>
      <c r="I77" s="16">
        <v>46032.263194444444</v>
      </c>
      <c r="J77" s="6" t="s">
        <v>2584</v>
      </c>
      <c r="K77" s="6" t="s">
        <v>395</v>
      </c>
      <c r="L77" s="6" t="s">
        <v>2220</v>
      </c>
      <c r="M77" s="6" t="s">
        <v>2585</v>
      </c>
    </row>
    <row r="78" spans="1:13" ht="30">
      <c r="A78" s="7" t="s">
        <v>396</v>
      </c>
      <c r="B78" s="15">
        <v>46065</v>
      </c>
      <c r="C78" s="5" t="s">
        <v>398</v>
      </c>
      <c r="D78" s="4" t="s">
        <v>2586</v>
      </c>
      <c r="E78" s="4" t="s">
        <v>2290</v>
      </c>
      <c r="F78" s="13">
        <v>364665</v>
      </c>
      <c r="G78" s="16">
        <v>46066.301388888889</v>
      </c>
      <c r="H78" s="4" t="s">
        <v>2587</v>
      </c>
      <c r="I78" s="16">
        <v>46066.30972222222</v>
      </c>
      <c r="J78" s="6" t="s">
        <v>2588</v>
      </c>
      <c r="K78" s="6" t="s">
        <v>401</v>
      </c>
      <c r="L78" s="6" t="s">
        <v>2223</v>
      </c>
      <c r="M78" s="6" t="s">
        <v>2589</v>
      </c>
    </row>
    <row r="79" spans="1:13" ht="30">
      <c r="A79" s="7" t="s">
        <v>396</v>
      </c>
      <c r="B79" s="15">
        <v>46065</v>
      </c>
      <c r="C79" s="5" t="s">
        <v>398</v>
      </c>
      <c r="D79" s="4" t="s">
        <v>2590</v>
      </c>
      <c r="E79" s="4" t="s">
        <v>2290</v>
      </c>
      <c r="F79" s="13">
        <v>436731</v>
      </c>
      <c r="G79" s="16">
        <v>46066.301388888889</v>
      </c>
      <c r="H79" s="4" t="s">
        <v>2591</v>
      </c>
      <c r="I79" s="16">
        <v>46066.30972222222</v>
      </c>
      <c r="J79" s="6" t="s">
        <v>2592</v>
      </c>
      <c r="K79" s="6" t="s">
        <v>401</v>
      </c>
      <c r="L79" s="6" t="s">
        <v>2229</v>
      </c>
      <c r="M79" s="6" t="s">
        <v>2593</v>
      </c>
    </row>
    <row r="80" spans="1:13" ht="30">
      <c r="A80" s="7" t="s">
        <v>396</v>
      </c>
      <c r="B80" s="15">
        <v>46065</v>
      </c>
      <c r="C80" s="5" t="s">
        <v>398</v>
      </c>
      <c r="D80" s="4" t="s">
        <v>2594</v>
      </c>
      <c r="E80" s="4" t="s">
        <v>2290</v>
      </c>
      <c r="F80" s="13">
        <v>400698</v>
      </c>
      <c r="G80" s="16">
        <v>46066.301388888889</v>
      </c>
      <c r="H80" s="4" t="s">
        <v>2595</v>
      </c>
      <c r="I80" s="16">
        <v>46066.30972222222</v>
      </c>
      <c r="J80" s="6" t="s">
        <v>2596</v>
      </c>
      <c r="K80" s="6" t="s">
        <v>401</v>
      </c>
      <c r="L80" s="6" t="s">
        <v>2226</v>
      </c>
      <c r="M80" s="6" t="s">
        <v>2597</v>
      </c>
    </row>
    <row r="81" spans="1:13" ht="30">
      <c r="A81" s="7" t="s">
        <v>408</v>
      </c>
      <c r="B81" s="15">
        <v>46130</v>
      </c>
      <c r="C81" s="5" t="s">
        <v>410</v>
      </c>
      <c r="D81" s="4" t="s">
        <v>2598</v>
      </c>
      <c r="E81" s="4" t="s">
        <v>2290</v>
      </c>
      <c r="F81" s="13">
        <v>421343</v>
      </c>
      <c r="G81" s="16">
        <v>46131.061111111114</v>
      </c>
      <c r="H81" s="4" t="s">
        <v>2599</v>
      </c>
      <c r="I81" s="16">
        <v>46131.069444444445</v>
      </c>
      <c r="J81" s="6" t="s">
        <v>2600</v>
      </c>
      <c r="K81" s="6" t="s">
        <v>413</v>
      </c>
      <c r="L81" s="6" t="s">
        <v>2242</v>
      </c>
      <c r="M81" s="6" t="s">
        <v>2601</v>
      </c>
    </row>
    <row r="82" spans="1:13" ht="30">
      <c r="A82" s="7" t="s">
        <v>408</v>
      </c>
      <c r="B82" s="15">
        <v>46130</v>
      </c>
      <c r="C82" s="5" t="s">
        <v>410</v>
      </c>
      <c r="D82" s="4" t="s">
        <v>2602</v>
      </c>
      <c r="E82" s="4" t="s">
        <v>2290</v>
      </c>
      <c r="F82" s="13">
        <v>385310</v>
      </c>
      <c r="G82" s="16">
        <v>46131.061111111114</v>
      </c>
      <c r="H82" s="4" t="s">
        <v>2603</v>
      </c>
      <c r="I82" s="16">
        <v>46131.069444444445</v>
      </c>
      <c r="J82" s="6" t="s">
        <v>2604</v>
      </c>
      <c r="K82" s="6" t="s">
        <v>413</v>
      </c>
      <c r="L82" s="6" t="s">
        <v>2239</v>
      </c>
      <c r="M82" s="6" t="s">
        <v>2605</v>
      </c>
    </row>
    <row r="83" spans="1:13" ht="30">
      <c r="A83" s="7" t="s">
        <v>414</v>
      </c>
      <c r="B83" s="15">
        <v>46163</v>
      </c>
      <c r="C83" s="5" t="s">
        <v>416</v>
      </c>
      <c r="D83" s="4" t="s">
        <v>2606</v>
      </c>
      <c r="E83" s="4" t="s">
        <v>2290</v>
      </c>
      <c r="F83" s="13">
        <v>377616</v>
      </c>
      <c r="G83" s="16">
        <v>46164.107638888891</v>
      </c>
      <c r="H83" s="4" t="s">
        <v>2607</v>
      </c>
      <c r="I83" s="16">
        <v>46164.115972222222</v>
      </c>
      <c r="J83" s="6" t="s">
        <v>2608</v>
      </c>
      <c r="K83" s="6" t="s">
        <v>419</v>
      </c>
      <c r="L83" s="6" t="s">
        <v>2246</v>
      </c>
      <c r="M83" s="6" t="s">
        <v>2609</v>
      </c>
    </row>
    <row r="84" spans="1:13" ht="30">
      <c r="A84" s="7" t="s">
        <v>414</v>
      </c>
      <c r="B84" s="15">
        <v>46163</v>
      </c>
      <c r="C84" s="5" t="s">
        <v>416</v>
      </c>
      <c r="D84" s="4" t="s">
        <v>2610</v>
      </c>
      <c r="E84" s="4" t="s">
        <v>2290</v>
      </c>
      <c r="F84" s="13">
        <v>413649</v>
      </c>
      <c r="G84" s="16">
        <v>46164.107638888891</v>
      </c>
      <c r="H84" s="4" t="s">
        <v>2611</v>
      </c>
      <c r="I84" s="16">
        <v>46164.115972222222</v>
      </c>
      <c r="J84" s="6" t="s">
        <v>2612</v>
      </c>
      <c r="K84" s="6" t="s">
        <v>419</v>
      </c>
      <c r="L84" s="6" t="s">
        <v>2249</v>
      </c>
      <c r="M84" s="6" t="s">
        <v>2613</v>
      </c>
    </row>
    <row r="85" spans="1:13" ht="30">
      <c r="A85" s="7" t="s">
        <v>420</v>
      </c>
      <c r="B85" s="15">
        <v>46197</v>
      </c>
      <c r="C85" s="5" t="s">
        <v>422</v>
      </c>
      <c r="D85" s="4" t="s">
        <v>2614</v>
      </c>
      <c r="E85" s="4" t="s">
        <v>2290</v>
      </c>
      <c r="F85" s="13">
        <v>441988</v>
      </c>
      <c r="G85" s="16">
        <v>46198.154166666667</v>
      </c>
      <c r="H85" s="4" t="s">
        <v>2615</v>
      </c>
      <c r="I85" s="16">
        <v>46198.162499999999</v>
      </c>
      <c r="J85" s="6" t="s">
        <v>2616</v>
      </c>
      <c r="K85" s="6" t="s">
        <v>425</v>
      </c>
      <c r="L85" s="6" t="s">
        <v>2258</v>
      </c>
      <c r="M85" s="6" t="s">
        <v>2617</v>
      </c>
    </row>
    <row r="86" spans="1:13" ht="30">
      <c r="A86" s="7" t="s">
        <v>420</v>
      </c>
      <c r="B86" s="15">
        <v>46197</v>
      </c>
      <c r="C86" s="5" t="s">
        <v>422</v>
      </c>
      <c r="D86" s="4" t="s">
        <v>2618</v>
      </c>
      <c r="E86" s="4" t="s">
        <v>2290</v>
      </c>
      <c r="F86" s="13">
        <v>405955</v>
      </c>
      <c r="G86" s="16">
        <v>46198.154166666667</v>
      </c>
      <c r="H86" s="4" t="s">
        <v>2619</v>
      </c>
      <c r="I86" s="16">
        <v>46198.162499999999</v>
      </c>
      <c r="J86" s="6" t="s">
        <v>2620</v>
      </c>
      <c r="K86" s="6" t="s">
        <v>425</v>
      </c>
      <c r="L86" s="6" t="s">
        <v>2255</v>
      </c>
      <c r="M86" s="6" t="s">
        <v>2621</v>
      </c>
    </row>
    <row r="87" spans="1:13" ht="30">
      <c r="A87" s="7" t="s">
        <v>420</v>
      </c>
      <c r="B87" s="15">
        <v>46197</v>
      </c>
      <c r="C87" s="5" t="s">
        <v>422</v>
      </c>
      <c r="D87" s="4" t="s">
        <v>2622</v>
      </c>
      <c r="E87" s="4" t="s">
        <v>2290</v>
      </c>
      <c r="F87" s="13">
        <v>369922</v>
      </c>
      <c r="G87" s="16">
        <v>46198.154166666667</v>
      </c>
      <c r="H87" s="4" t="s">
        <v>2623</v>
      </c>
      <c r="I87" s="16">
        <v>46198.162499999999</v>
      </c>
      <c r="J87" s="6" t="s">
        <v>2624</v>
      </c>
      <c r="K87" s="6" t="s">
        <v>425</v>
      </c>
      <c r="L87" s="6" t="s">
        <v>2252</v>
      </c>
      <c r="M87" s="6" t="s">
        <v>2625</v>
      </c>
    </row>
    <row r="88" spans="1:13" ht="30">
      <c r="A88" s="7" t="s">
        <v>426</v>
      </c>
      <c r="B88" s="15">
        <v>46024</v>
      </c>
      <c r="C88" s="5" t="s">
        <v>428</v>
      </c>
      <c r="D88" s="4" t="s">
        <v>2626</v>
      </c>
      <c r="E88" s="4" t="s">
        <v>2290</v>
      </c>
      <c r="F88" s="13">
        <v>398261</v>
      </c>
      <c r="G88" s="16">
        <v>46025.200694444444</v>
      </c>
      <c r="H88" s="4" t="s">
        <v>2627</v>
      </c>
      <c r="I88" s="16">
        <v>46025.209027777775</v>
      </c>
      <c r="J88" s="6" t="s">
        <v>2628</v>
      </c>
      <c r="K88" s="6" t="s">
        <v>431</v>
      </c>
      <c r="L88" s="6" t="s">
        <v>2262</v>
      </c>
      <c r="M88" s="6" t="s">
        <v>2629</v>
      </c>
    </row>
    <row r="89" spans="1:13" ht="30">
      <c r="A89" s="7" t="s">
        <v>426</v>
      </c>
      <c r="B89" s="15">
        <v>46024</v>
      </c>
      <c r="C89" s="5" t="s">
        <v>428</v>
      </c>
      <c r="D89" s="4" t="s">
        <v>2630</v>
      </c>
      <c r="E89" s="4" t="s">
        <v>2290</v>
      </c>
      <c r="F89" s="13">
        <v>434294</v>
      </c>
      <c r="G89" s="16">
        <v>46025.200694444444</v>
      </c>
      <c r="H89" s="4" t="s">
        <v>2631</v>
      </c>
      <c r="I89" s="16">
        <v>46025.209027777775</v>
      </c>
      <c r="J89" s="6" t="s">
        <v>2632</v>
      </c>
      <c r="K89" s="6" t="s">
        <v>431</v>
      </c>
      <c r="L89" s="6" t="s">
        <v>2265</v>
      </c>
      <c r="M89" s="6" t="s">
        <v>2633</v>
      </c>
    </row>
  </sheetData>
  <mergeCells count="2">
    <mergeCell ref="A1:M1"/>
    <mergeCell ref="A2:M2"/>
  </mergeCells>
  <dataValidations count="1">
    <dataValidation type="whole" operator="greaterThanOrEqual" sqref="F4:F1048576" xr:uid="{00000000-0002-0000-0400-000000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71"/>
  <sheetViews>
    <sheetView showGridLines="0" zoomScale="150" zoomScaleNormal="100" workbookViewId="0">
      <pane xSplit="1" ySplit="3" topLeftCell="B4" activePane="bottomRight" state="frozen"/>
      <selection pane="topRight"/>
      <selection pane="bottomLeft"/>
      <selection pane="bottomRight" activeCell="A2" sqref="A2:I2"/>
    </sheetView>
  </sheetViews>
  <sheetFormatPr baseColWidth="10" defaultColWidth="8.83203125" defaultRowHeight="15"/>
  <cols>
    <col min="1" max="1" width="32" customWidth="1"/>
    <col min="2" max="2" width="16" customWidth="1"/>
    <col min="3" max="3" width="19" customWidth="1"/>
    <col min="4" max="4" width="21" customWidth="1"/>
    <col min="5" max="5" width="20" customWidth="1"/>
    <col min="6" max="6" width="28" customWidth="1"/>
    <col min="7" max="7" width="54" customWidth="1"/>
    <col min="8" max="9" width="20" customWidth="1"/>
  </cols>
  <sheetData>
    <row r="1" spans="1:9" ht="28" customHeight="1">
      <c r="A1" s="38" t="s">
        <v>2634</v>
      </c>
      <c r="B1" s="38"/>
      <c r="C1" s="38"/>
      <c r="D1" s="38"/>
      <c r="E1" s="38"/>
      <c r="F1" s="38"/>
      <c r="G1" s="38"/>
      <c r="H1" s="38"/>
      <c r="I1" s="38"/>
    </row>
    <row r="2" spans="1:9" ht="32" customHeight="1">
      <c r="A2" s="30" t="s">
        <v>3098</v>
      </c>
      <c r="B2" s="40"/>
      <c r="C2" s="40"/>
      <c r="D2" s="40"/>
      <c r="E2" s="40"/>
      <c r="F2" s="40"/>
      <c r="G2" s="40"/>
      <c r="H2" s="40"/>
      <c r="I2" s="40"/>
    </row>
    <row r="3" spans="1:9" ht="34" customHeight="1">
      <c r="A3" s="1" t="s">
        <v>1</v>
      </c>
      <c r="B3" s="2" t="s">
        <v>2</v>
      </c>
      <c r="C3" s="2" t="s">
        <v>9</v>
      </c>
      <c r="D3" s="2" t="s">
        <v>2635</v>
      </c>
      <c r="E3" s="2" t="s">
        <v>2636</v>
      </c>
      <c r="F3" s="2" t="s">
        <v>2637</v>
      </c>
      <c r="G3" s="2" t="s">
        <v>2638</v>
      </c>
      <c r="H3" s="2" t="s">
        <v>13</v>
      </c>
      <c r="I3" s="3" t="s">
        <v>2639</v>
      </c>
    </row>
    <row r="4" spans="1:9" ht="30">
      <c r="A4" s="7" t="s">
        <v>16</v>
      </c>
      <c r="B4" s="15">
        <v>46026</v>
      </c>
      <c r="C4" s="5" t="s">
        <v>19</v>
      </c>
      <c r="D4" s="16">
        <v>46027.088194444441</v>
      </c>
      <c r="E4" s="4" t="s">
        <v>17</v>
      </c>
      <c r="F4" s="4" t="s">
        <v>18</v>
      </c>
      <c r="G4" s="4" t="s">
        <v>2640</v>
      </c>
      <c r="H4" s="6" t="s">
        <v>22</v>
      </c>
      <c r="I4" s="6" t="s">
        <v>2641</v>
      </c>
    </row>
    <row r="5" spans="1:9" ht="30">
      <c r="A5" s="7" t="s">
        <v>25</v>
      </c>
      <c r="B5" s="15">
        <v>46060</v>
      </c>
      <c r="C5" s="5" t="s">
        <v>28</v>
      </c>
      <c r="D5" s="16">
        <v>46061.134722222225</v>
      </c>
      <c r="E5" s="4" t="s">
        <v>17</v>
      </c>
      <c r="F5" s="4" t="s">
        <v>27</v>
      </c>
      <c r="G5" s="4" t="s">
        <v>2640</v>
      </c>
      <c r="H5" s="6" t="s">
        <v>31</v>
      </c>
      <c r="I5" s="6" t="s">
        <v>2642</v>
      </c>
    </row>
    <row r="6" spans="1:9">
      <c r="A6" s="7" t="s">
        <v>25</v>
      </c>
      <c r="B6" s="15">
        <v>46060</v>
      </c>
      <c r="C6" s="5" t="s">
        <v>28</v>
      </c>
      <c r="D6" s="16">
        <v>46061.261111111111</v>
      </c>
      <c r="E6" s="4" t="s">
        <v>26</v>
      </c>
      <c r="F6" s="4" t="s">
        <v>2643</v>
      </c>
      <c r="G6" s="4" t="s">
        <v>2644</v>
      </c>
      <c r="H6" s="6" t="s">
        <v>31</v>
      </c>
      <c r="I6" s="6" t="s">
        <v>2645</v>
      </c>
    </row>
    <row r="7" spans="1:9" ht="30">
      <c r="A7" s="7" t="s">
        <v>32</v>
      </c>
      <c r="B7" s="15">
        <v>46091</v>
      </c>
      <c r="C7" s="5" t="s">
        <v>36</v>
      </c>
      <c r="D7" s="16">
        <v>46092.181250000001</v>
      </c>
      <c r="E7" s="4" t="s">
        <v>17</v>
      </c>
      <c r="F7" s="4" t="s">
        <v>34</v>
      </c>
      <c r="G7" s="4" t="s">
        <v>2640</v>
      </c>
      <c r="H7" s="6" t="s">
        <v>39</v>
      </c>
      <c r="I7" s="6" t="s">
        <v>2646</v>
      </c>
    </row>
    <row r="8" spans="1:9">
      <c r="A8" s="7" t="s">
        <v>32</v>
      </c>
      <c r="B8" s="15">
        <v>46091</v>
      </c>
      <c r="C8" s="5" t="s">
        <v>36</v>
      </c>
      <c r="D8" s="16">
        <v>46092.308333333334</v>
      </c>
      <c r="E8" s="4" t="s">
        <v>26</v>
      </c>
      <c r="F8" s="4" t="s">
        <v>2643</v>
      </c>
      <c r="G8" s="4" t="s">
        <v>2644</v>
      </c>
      <c r="H8" s="6" t="s">
        <v>39</v>
      </c>
      <c r="I8" s="6" t="s">
        <v>2647</v>
      </c>
    </row>
    <row r="9" spans="1:9" ht="30">
      <c r="A9" s="7" t="s">
        <v>32</v>
      </c>
      <c r="B9" s="15">
        <v>46091</v>
      </c>
      <c r="C9" s="5" t="s">
        <v>36</v>
      </c>
      <c r="D9" s="16">
        <v>46094.183333333334</v>
      </c>
      <c r="E9" s="4" t="s">
        <v>33</v>
      </c>
      <c r="F9" s="4" t="s">
        <v>2643</v>
      </c>
      <c r="G9" s="4" t="s">
        <v>2648</v>
      </c>
      <c r="H9" s="6" t="s">
        <v>39</v>
      </c>
      <c r="I9" s="6" t="s">
        <v>2649</v>
      </c>
    </row>
    <row r="10" spans="1:9" ht="30">
      <c r="A10" s="7" t="s">
        <v>40</v>
      </c>
      <c r="B10" s="15">
        <v>46125</v>
      </c>
      <c r="C10" s="5" t="s">
        <v>43</v>
      </c>
      <c r="D10" s="16">
        <v>46126.227777777778</v>
      </c>
      <c r="E10" s="4" t="s">
        <v>17</v>
      </c>
      <c r="F10" s="4" t="s">
        <v>41</v>
      </c>
      <c r="G10" s="4" t="s">
        <v>2640</v>
      </c>
      <c r="H10" s="6" t="s">
        <v>46</v>
      </c>
      <c r="I10" s="6" t="s">
        <v>2650</v>
      </c>
    </row>
    <row r="11" spans="1:9">
      <c r="A11" s="7" t="s">
        <v>40</v>
      </c>
      <c r="B11" s="15">
        <v>46125</v>
      </c>
      <c r="C11" s="5" t="s">
        <v>43</v>
      </c>
      <c r="D11" s="16">
        <v>46126.355555555558</v>
      </c>
      <c r="E11" s="4" t="s">
        <v>26</v>
      </c>
      <c r="F11" s="4" t="s">
        <v>2643</v>
      </c>
      <c r="G11" s="4" t="s">
        <v>2644</v>
      </c>
      <c r="H11" s="6" t="s">
        <v>46</v>
      </c>
      <c r="I11" s="6" t="s">
        <v>2651</v>
      </c>
    </row>
    <row r="12" spans="1:9" ht="30">
      <c r="A12" s="7" t="s">
        <v>40</v>
      </c>
      <c r="B12" s="15">
        <v>46125</v>
      </c>
      <c r="C12" s="5" t="s">
        <v>43</v>
      </c>
      <c r="D12" s="16">
        <v>46128.230555555558</v>
      </c>
      <c r="E12" s="4" t="s">
        <v>33</v>
      </c>
      <c r="F12" s="4" t="s">
        <v>2643</v>
      </c>
      <c r="G12" s="4" t="s">
        <v>2648</v>
      </c>
      <c r="H12" s="6" t="s">
        <v>46</v>
      </c>
      <c r="I12" s="6" t="s">
        <v>2652</v>
      </c>
    </row>
    <row r="13" spans="1:9" ht="30">
      <c r="A13" s="7" t="s">
        <v>47</v>
      </c>
      <c r="B13" s="15">
        <v>46158</v>
      </c>
      <c r="C13" s="5" t="s">
        <v>50</v>
      </c>
      <c r="D13" s="16">
        <v>46159.274305555555</v>
      </c>
      <c r="E13" s="4" t="s">
        <v>17</v>
      </c>
      <c r="F13" s="4" t="s">
        <v>49</v>
      </c>
      <c r="G13" s="4" t="s">
        <v>2640</v>
      </c>
      <c r="H13" s="6" t="s">
        <v>53</v>
      </c>
      <c r="I13" s="6" t="s">
        <v>2653</v>
      </c>
    </row>
    <row r="14" spans="1:9">
      <c r="A14" s="7" t="s">
        <v>47</v>
      </c>
      <c r="B14" s="15">
        <v>46158</v>
      </c>
      <c r="C14" s="5" t="s">
        <v>50</v>
      </c>
      <c r="D14" s="16">
        <v>46159.402777777781</v>
      </c>
      <c r="E14" s="4" t="s">
        <v>26</v>
      </c>
      <c r="F14" s="4" t="s">
        <v>2643</v>
      </c>
      <c r="G14" s="4" t="s">
        <v>2644</v>
      </c>
      <c r="H14" s="6" t="s">
        <v>53</v>
      </c>
      <c r="I14" s="6" t="s">
        <v>2654</v>
      </c>
    </row>
    <row r="15" spans="1:9" ht="30">
      <c r="A15" s="7" t="s">
        <v>47</v>
      </c>
      <c r="B15" s="15">
        <v>46158</v>
      </c>
      <c r="C15" s="5" t="s">
        <v>50</v>
      </c>
      <c r="D15" s="16">
        <v>46160.277777777781</v>
      </c>
      <c r="E15" s="4" t="s">
        <v>48</v>
      </c>
      <c r="F15" s="4" t="s">
        <v>2643</v>
      </c>
      <c r="G15" s="4" t="s">
        <v>2655</v>
      </c>
      <c r="H15" s="6" t="s">
        <v>53</v>
      </c>
      <c r="I15" s="6" t="s">
        <v>2656</v>
      </c>
    </row>
    <row r="16" spans="1:9" ht="30">
      <c r="A16" s="7" t="s">
        <v>54</v>
      </c>
      <c r="B16" s="15">
        <v>46192</v>
      </c>
      <c r="C16" s="5" t="s">
        <v>56</v>
      </c>
      <c r="D16" s="16">
        <v>46193.320833333331</v>
      </c>
      <c r="E16" s="4" t="s">
        <v>17</v>
      </c>
      <c r="F16" s="4" t="s">
        <v>55</v>
      </c>
      <c r="G16" s="4" t="s">
        <v>2640</v>
      </c>
      <c r="H16" s="6" t="s">
        <v>59</v>
      </c>
      <c r="I16" s="6" t="s">
        <v>2657</v>
      </c>
    </row>
    <row r="17" spans="1:9" ht="30">
      <c r="A17" s="7" t="s">
        <v>60</v>
      </c>
      <c r="B17" s="15">
        <v>46044</v>
      </c>
      <c r="C17" s="5" t="s">
        <v>62</v>
      </c>
      <c r="D17" s="16">
        <v>46045.367361111108</v>
      </c>
      <c r="E17" s="4" t="s">
        <v>17</v>
      </c>
      <c r="F17" s="4" t="s">
        <v>61</v>
      </c>
      <c r="G17" s="4" t="s">
        <v>2640</v>
      </c>
      <c r="H17" s="6" t="s">
        <v>65</v>
      </c>
      <c r="I17" s="6" t="s">
        <v>2658</v>
      </c>
    </row>
    <row r="18" spans="1:9">
      <c r="A18" s="7" t="s">
        <v>60</v>
      </c>
      <c r="B18" s="15">
        <v>46044</v>
      </c>
      <c r="C18" s="5" t="s">
        <v>62</v>
      </c>
      <c r="D18" s="16">
        <v>46045.49722222222</v>
      </c>
      <c r="E18" s="4" t="s">
        <v>26</v>
      </c>
      <c r="F18" s="4" t="s">
        <v>2643</v>
      </c>
      <c r="G18" s="4" t="s">
        <v>2644</v>
      </c>
      <c r="H18" s="6" t="s">
        <v>65</v>
      </c>
      <c r="I18" s="6" t="s">
        <v>2659</v>
      </c>
    </row>
    <row r="19" spans="1:9" ht="30">
      <c r="A19" s="7" t="s">
        <v>66</v>
      </c>
      <c r="B19" s="15">
        <v>46078</v>
      </c>
      <c r="C19" s="5" t="s">
        <v>68</v>
      </c>
      <c r="D19" s="16">
        <v>46079.080555555556</v>
      </c>
      <c r="E19" s="4" t="s">
        <v>17</v>
      </c>
      <c r="F19" s="4" t="s">
        <v>67</v>
      </c>
      <c r="G19" s="4" t="s">
        <v>2640</v>
      </c>
      <c r="H19" s="6" t="s">
        <v>71</v>
      </c>
      <c r="I19" s="6" t="s">
        <v>2660</v>
      </c>
    </row>
    <row r="20" spans="1:9">
      <c r="A20" s="7" t="s">
        <v>66</v>
      </c>
      <c r="B20" s="15">
        <v>46078</v>
      </c>
      <c r="C20" s="5" t="s">
        <v>68</v>
      </c>
      <c r="D20" s="16">
        <v>46079.211111111108</v>
      </c>
      <c r="E20" s="4" t="s">
        <v>26</v>
      </c>
      <c r="F20" s="4" t="s">
        <v>2643</v>
      </c>
      <c r="G20" s="4" t="s">
        <v>2644</v>
      </c>
      <c r="H20" s="6" t="s">
        <v>71</v>
      </c>
      <c r="I20" s="6" t="s">
        <v>2661</v>
      </c>
    </row>
    <row r="21" spans="1:9" ht="30">
      <c r="A21" s="7" t="s">
        <v>66</v>
      </c>
      <c r="B21" s="15">
        <v>46078</v>
      </c>
      <c r="C21" s="5" t="s">
        <v>68</v>
      </c>
      <c r="D21" s="16">
        <v>46081.086111111108</v>
      </c>
      <c r="E21" s="4" t="s">
        <v>33</v>
      </c>
      <c r="F21" s="4" t="s">
        <v>2643</v>
      </c>
      <c r="G21" s="4" t="s">
        <v>2648</v>
      </c>
      <c r="H21" s="6" t="s">
        <v>71</v>
      </c>
      <c r="I21" s="6" t="s">
        <v>2662</v>
      </c>
    </row>
    <row r="22" spans="1:9" ht="30">
      <c r="A22" s="7" t="s">
        <v>72</v>
      </c>
      <c r="B22" s="15">
        <v>46084</v>
      </c>
      <c r="C22" s="5" t="s">
        <v>74</v>
      </c>
      <c r="D22" s="16">
        <v>46085.085416666669</v>
      </c>
      <c r="E22" s="4" t="s">
        <v>17</v>
      </c>
      <c r="F22" s="4" t="s">
        <v>73</v>
      </c>
      <c r="G22" s="4" t="s">
        <v>2640</v>
      </c>
      <c r="H22" s="6" t="s">
        <v>77</v>
      </c>
      <c r="I22" s="6" t="s">
        <v>2663</v>
      </c>
    </row>
    <row r="23" spans="1:9">
      <c r="A23" s="7" t="s">
        <v>72</v>
      </c>
      <c r="B23" s="15">
        <v>46084</v>
      </c>
      <c r="C23" s="5" t="s">
        <v>74</v>
      </c>
      <c r="D23" s="16">
        <v>46085.216666666667</v>
      </c>
      <c r="E23" s="4" t="s">
        <v>26</v>
      </c>
      <c r="F23" s="4" t="s">
        <v>2643</v>
      </c>
      <c r="G23" s="4" t="s">
        <v>2644</v>
      </c>
      <c r="H23" s="6" t="s">
        <v>77</v>
      </c>
      <c r="I23" s="6" t="s">
        <v>2664</v>
      </c>
    </row>
    <row r="24" spans="1:9" ht="30">
      <c r="A24" s="7" t="s">
        <v>72</v>
      </c>
      <c r="B24" s="15">
        <v>46084</v>
      </c>
      <c r="C24" s="5" t="s">
        <v>74</v>
      </c>
      <c r="D24" s="16">
        <v>46087.091666666667</v>
      </c>
      <c r="E24" s="4" t="s">
        <v>33</v>
      </c>
      <c r="F24" s="4" t="s">
        <v>2643</v>
      </c>
      <c r="G24" s="4" t="s">
        <v>2648</v>
      </c>
      <c r="H24" s="6" t="s">
        <v>77</v>
      </c>
      <c r="I24" s="6" t="s">
        <v>2665</v>
      </c>
    </row>
    <row r="25" spans="1:9" ht="30">
      <c r="A25" s="7" t="s">
        <v>78</v>
      </c>
      <c r="B25" s="15">
        <v>46118</v>
      </c>
      <c r="C25" s="5" t="s">
        <v>80</v>
      </c>
      <c r="D25" s="16">
        <v>46119.131944444445</v>
      </c>
      <c r="E25" s="4" t="s">
        <v>17</v>
      </c>
      <c r="F25" s="4" t="s">
        <v>79</v>
      </c>
      <c r="G25" s="4" t="s">
        <v>2640</v>
      </c>
      <c r="H25" s="6" t="s">
        <v>83</v>
      </c>
      <c r="I25" s="6" t="s">
        <v>2666</v>
      </c>
    </row>
    <row r="26" spans="1:9">
      <c r="A26" s="7" t="s">
        <v>78</v>
      </c>
      <c r="B26" s="15">
        <v>46118</v>
      </c>
      <c r="C26" s="5" t="s">
        <v>80</v>
      </c>
      <c r="D26" s="16">
        <v>46119.263888888891</v>
      </c>
      <c r="E26" s="4" t="s">
        <v>26</v>
      </c>
      <c r="F26" s="4" t="s">
        <v>2643</v>
      </c>
      <c r="G26" s="4" t="s">
        <v>2644</v>
      </c>
      <c r="H26" s="6" t="s">
        <v>83</v>
      </c>
      <c r="I26" s="6" t="s">
        <v>2667</v>
      </c>
    </row>
    <row r="27" spans="1:9" ht="30">
      <c r="A27" s="7" t="s">
        <v>78</v>
      </c>
      <c r="B27" s="15">
        <v>46118</v>
      </c>
      <c r="C27" s="5" t="s">
        <v>80</v>
      </c>
      <c r="D27" s="16">
        <v>46120.138888888891</v>
      </c>
      <c r="E27" s="4" t="s">
        <v>48</v>
      </c>
      <c r="F27" s="4" t="s">
        <v>2643</v>
      </c>
      <c r="G27" s="4" t="s">
        <v>2655</v>
      </c>
      <c r="H27" s="6" t="s">
        <v>83</v>
      </c>
      <c r="I27" s="6" t="s">
        <v>2668</v>
      </c>
    </row>
    <row r="28" spans="1:9" ht="30">
      <c r="A28" s="7" t="s">
        <v>84</v>
      </c>
      <c r="B28" s="15">
        <v>46151</v>
      </c>
      <c r="C28" s="5" t="s">
        <v>86</v>
      </c>
      <c r="D28" s="16">
        <v>46152.178472222222</v>
      </c>
      <c r="E28" s="4" t="s">
        <v>17</v>
      </c>
      <c r="F28" s="4" t="s">
        <v>85</v>
      </c>
      <c r="G28" s="4" t="s">
        <v>2640</v>
      </c>
      <c r="H28" s="6" t="s">
        <v>89</v>
      </c>
      <c r="I28" s="6" t="s">
        <v>2669</v>
      </c>
    </row>
    <row r="29" spans="1:9" ht="30">
      <c r="A29" s="7" t="s">
        <v>90</v>
      </c>
      <c r="B29" s="15">
        <v>46185</v>
      </c>
      <c r="C29" s="5" t="s">
        <v>92</v>
      </c>
      <c r="D29" s="16">
        <v>46186.224999999999</v>
      </c>
      <c r="E29" s="4" t="s">
        <v>17</v>
      </c>
      <c r="F29" s="4" t="s">
        <v>91</v>
      </c>
      <c r="G29" s="4" t="s">
        <v>2640</v>
      </c>
      <c r="H29" s="6" t="s">
        <v>95</v>
      </c>
      <c r="I29" s="6" t="s">
        <v>2670</v>
      </c>
    </row>
    <row r="30" spans="1:9">
      <c r="A30" s="7" t="s">
        <v>90</v>
      </c>
      <c r="B30" s="15">
        <v>46185</v>
      </c>
      <c r="C30" s="5" t="s">
        <v>92</v>
      </c>
      <c r="D30" s="16">
        <v>46186.35833333333</v>
      </c>
      <c r="E30" s="4" t="s">
        <v>26</v>
      </c>
      <c r="F30" s="4" t="s">
        <v>2643</v>
      </c>
      <c r="G30" s="4" t="s">
        <v>2644</v>
      </c>
      <c r="H30" s="6" t="s">
        <v>95</v>
      </c>
      <c r="I30" s="6" t="s">
        <v>2671</v>
      </c>
    </row>
    <row r="31" spans="1:9" ht="30">
      <c r="A31" s="7" t="s">
        <v>96</v>
      </c>
      <c r="B31" s="15">
        <v>46037</v>
      </c>
      <c r="C31" s="5" t="s">
        <v>98</v>
      </c>
      <c r="D31" s="16">
        <v>46038.271527777775</v>
      </c>
      <c r="E31" s="4" t="s">
        <v>17</v>
      </c>
      <c r="F31" s="4" t="s">
        <v>97</v>
      </c>
      <c r="G31" s="4" t="s">
        <v>2640</v>
      </c>
      <c r="H31" s="6" t="s">
        <v>101</v>
      </c>
      <c r="I31" s="6" t="s">
        <v>2672</v>
      </c>
    </row>
    <row r="32" spans="1:9">
      <c r="A32" s="7" t="s">
        <v>96</v>
      </c>
      <c r="B32" s="15">
        <v>46037</v>
      </c>
      <c r="C32" s="5" t="s">
        <v>98</v>
      </c>
      <c r="D32" s="16">
        <v>46038.405555555553</v>
      </c>
      <c r="E32" s="4" t="s">
        <v>26</v>
      </c>
      <c r="F32" s="4" t="s">
        <v>2643</v>
      </c>
      <c r="G32" s="4" t="s">
        <v>2644</v>
      </c>
      <c r="H32" s="6" t="s">
        <v>101</v>
      </c>
      <c r="I32" s="6" t="s">
        <v>2673</v>
      </c>
    </row>
    <row r="33" spans="1:9" ht="30">
      <c r="A33" s="7" t="s">
        <v>96</v>
      </c>
      <c r="B33" s="15">
        <v>46037</v>
      </c>
      <c r="C33" s="5" t="s">
        <v>98</v>
      </c>
      <c r="D33" s="16">
        <v>46040.280555555553</v>
      </c>
      <c r="E33" s="4" t="s">
        <v>33</v>
      </c>
      <c r="F33" s="4" t="s">
        <v>2643</v>
      </c>
      <c r="G33" s="4" t="s">
        <v>2648</v>
      </c>
      <c r="H33" s="6" t="s">
        <v>101</v>
      </c>
      <c r="I33" s="6" t="s">
        <v>2674</v>
      </c>
    </row>
    <row r="34" spans="1:9" ht="30">
      <c r="A34" s="7" t="s">
        <v>102</v>
      </c>
      <c r="B34" s="15">
        <v>46071</v>
      </c>
      <c r="C34" s="5" t="s">
        <v>104</v>
      </c>
      <c r="D34" s="16">
        <v>46072.318055555559</v>
      </c>
      <c r="E34" s="4" t="s">
        <v>17</v>
      </c>
      <c r="F34" s="4" t="s">
        <v>103</v>
      </c>
      <c r="G34" s="4" t="s">
        <v>2640</v>
      </c>
      <c r="H34" s="6" t="s">
        <v>107</v>
      </c>
      <c r="I34" s="6" t="s">
        <v>2675</v>
      </c>
    </row>
    <row r="35" spans="1:9">
      <c r="A35" s="7" t="s">
        <v>102</v>
      </c>
      <c r="B35" s="15">
        <v>46071</v>
      </c>
      <c r="C35" s="5" t="s">
        <v>104</v>
      </c>
      <c r="D35" s="16">
        <v>46072.452777777777</v>
      </c>
      <c r="E35" s="4" t="s">
        <v>26</v>
      </c>
      <c r="F35" s="4" t="s">
        <v>2643</v>
      </c>
      <c r="G35" s="4" t="s">
        <v>2644</v>
      </c>
      <c r="H35" s="6" t="s">
        <v>107</v>
      </c>
      <c r="I35" s="6" t="s">
        <v>2676</v>
      </c>
    </row>
    <row r="36" spans="1:9" ht="30">
      <c r="A36" s="7" t="s">
        <v>102</v>
      </c>
      <c r="B36" s="15">
        <v>46071</v>
      </c>
      <c r="C36" s="5" t="s">
        <v>104</v>
      </c>
      <c r="D36" s="16">
        <v>46074.327777777777</v>
      </c>
      <c r="E36" s="4" t="s">
        <v>33</v>
      </c>
      <c r="F36" s="4" t="s">
        <v>2643</v>
      </c>
      <c r="G36" s="4" t="s">
        <v>2648</v>
      </c>
      <c r="H36" s="6" t="s">
        <v>107</v>
      </c>
      <c r="I36" s="6" t="s">
        <v>2677</v>
      </c>
    </row>
    <row r="37" spans="1:9" ht="30">
      <c r="A37" s="7" t="s">
        <v>108</v>
      </c>
      <c r="B37" s="15">
        <v>46102</v>
      </c>
      <c r="C37" s="5" t="s">
        <v>110</v>
      </c>
      <c r="D37" s="16">
        <v>46103.364583333336</v>
      </c>
      <c r="E37" s="4" t="s">
        <v>17</v>
      </c>
      <c r="F37" s="4" t="s">
        <v>109</v>
      </c>
      <c r="G37" s="4" t="s">
        <v>2640</v>
      </c>
      <c r="H37" s="6" t="s">
        <v>113</v>
      </c>
      <c r="I37" s="6" t="s">
        <v>2678</v>
      </c>
    </row>
    <row r="38" spans="1:9">
      <c r="A38" s="7" t="s">
        <v>108</v>
      </c>
      <c r="B38" s="15">
        <v>46102</v>
      </c>
      <c r="C38" s="5" t="s">
        <v>110</v>
      </c>
      <c r="D38" s="16">
        <v>46103.5</v>
      </c>
      <c r="E38" s="4" t="s">
        <v>26</v>
      </c>
      <c r="F38" s="4" t="s">
        <v>2643</v>
      </c>
      <c r="G38" s="4" t="s">
        <v>2644</v>
      </c>
      <c r="H38" s="6" t="s">
        <v>113</v>
      </c>
      <c r="I38" s="6" t="s">
        <v>2679</v>
      </c>
    </row>
    <row r="39" spans="1:9" ht="30">
      <c r="A39" s="7" t="s">
        <v>108</v>
      </c>
      <c r="B39" s="15">
        <v>46102</v>
      </c>
      <c r="C39" s="5" t="s">
        <v>110</v>
      </c>
      <c r="D39" s="16">
        <v>46104.375</v>
      </c>
      <c r="E39" s="4" t="s">
        <v>48</v>
      </c>
      <c r="F39" s="4" t="s">
        <v>2643</v>
      </c>
      <c r="G39" s="4" t="s">
        <v>2655</v>
      </c>
      <c r="H39" s="6" t="s">
        <v>113</v>
      </c>
      <c r="I39" s="6" t="s">
        <v>2680</v>
      </c>
    </row>
    <row r="40" spans="1:9" ht="30">
      <c r="A40" s="7" t="s">
        <v>114</v>
      </c>
      <c r="B40" s="15">
        <v>46136</v>
      </c>
      <c r="C40" s="5" t="s">
        <v>116</v>
      </c>
      <c r="D40" s="16">
        <v>46137.077777777777</v>
      </c>
      <c r="E40" s="4" t="s">
        <v>17</v>
      </c>
      <c r="F40" s="4" t="s">
        <v>115</v>
      </c>
      <c r="G40" s="4" t="s">
        <v>2640</v>
      </c>
      <c r="H40" s="6" t="s">
        <v>119</v>
      </c>
      <c r="I40" s="6" t="s">
        <v>2681</v>
      </c>
    </row>
    <row r="41" spans="1:9" ht="30">
      <c r="A41" s="7" t="s">
        <v>120</v>
      </c>
      <c r="B41" s="15">
        <v>46144</v>
      </c>
      <c r="C41" s="5" t="s">
        <v>122</v>
      </c>
      <c r="D41" s="16">
        <v>46145.124305555553</v>
      </c>
      <c r="E41" s="4" t="s">
        <v>17</v>
      </c>
      <c r="F41" s="4" t="s">
        <v>121</v>
      </c>
      <c r="G41" s="4" t="s">
        <v>2640</v>
      </c>
      <c r="H41" s="6" t="s">
        <v>125</v>
      </c>
      <c r="I41" s="6" t="s">
        <v>2682</v>
      </c>
    </row>
    <row r="42" spans="1:9">
      <c r="A42" s="7" t="s">
        <v>120</v>
      </c>
      <c r="B42" s="15">
        <v>46144</v>
      </c>
      <c r="C42" s="5" t="s">
        <v>122</v>
      </c>
      <c r="D42" s="16">
        <v>46145.261111111111</v>
      </c>
      <c r="E42" s="4" t="s">
        <v>26</v>
      </c>
      <c r="F42" s="4" t="s">
        <v>2643</v>
      </c>
      <c r="G42" s="4" t="s">
        <v>2644</v>
      </c>
      <c r="H42" s="6" t="s">
        <v>125</v>
      </c>
      <c r="I42" s="6" t="s">
        <v>2683</v>
      </c>
    </row>
    <row r="43" spans="1:9" ht="30">
      <c r="A43" s="7" t="s">
        <v>126</v>
      </c>
      <c r="B43" s="15">
        <v>46178</v>
      </c>
      <c r="C43" s="5" t="s">
        <v>128</v>
      </c>
      <c r="D43" s="16">
        <v>46179.129166666666</v>
      </c>
      <c r="E43" s="4" t="s">
        <v>17</v>
      </c>
      <c r="F43" s="4" t="s">
        <v>127</v>
      </c>
      <c r="G43" s="4" t="s">
        <v>2640</v>
      </c>
      <c r="H43" s="6" t="s">
        <v>131</v>
      </c>
      <c r="I43" s="6" t="s">
        <v>2684</v>
      </c>
    </row>
    <row r="44" spans="1:9">
      <c r="A44" s="7" t="s">
        <v>126</v>
      </c>
      <c r="B44" s="15">
        <v>46178</v>
      </c>
      <c r="C44" s="5" t="s">
        <v>128</v>
      </c>
      <c r="D44" s="16">
        <v>46179.26666666667</v>
      </c>
      <c r="E44" s="4" t="s">
        <v>26</v>
      </c>
      <c r="F44" s="4" t="s">
        <v>2643</v>
      </c>
      <c r="G44" s="4" t="s">
        <v>2644</v>
      </c>
      <c r="H44" s="6" t="s">
        <v>131</v>
      </c>
      <c r="I44" s="6" t="s">
        <v>2685</v>
      </c>
    </row>
    <row r="45" spans="1:9" ht="30">
      <c r="A45" s="7" t="s">
        <v>126</v>
      </c>
      <c r="B45" s="15">
        <v>46178</v>
      </c>
      <c r="C45" s="5" t="s">
        <v>128</v>
      </c>
      <c r="D45" s="16">
        <v>46181.14166666667</v>
      </c>
      <c r="E45" s="4" t="s">
        <v>33</v>
      </c>
      <c r="F45" s="4" t="s">
        <v>2643</v>
      </c>
      <c r="G45" s="4" t="s">
        <v>2648</v>
      </c>
      <c r="H45" s="6" t="s">
        <v>131</v>
      </c>
      <c r="I45" s="6" t="s">
        <v>2686</v>
      </c>
    </row>
    <row r="46" spans="1:9" ht="30">
      <c r="A46" s="7" t="s">
        <v>132</v>
      </c>
      <c r="B46" s="15">
        <v>46030</v>
      </c>
      <c r="C46" s="5" t="s">
        <v>134</v>
      </c>
      <c r="D46" s="16">
        <v>46031.175694444442</v>
      </c>
      <c r="E46" s="4" t="s">
        <v>17</v>
      </c>
      <c r="F46" s="4" t="s">
        <v>133</v>
      </c>
      <c r="G46" s="4" t="s">
        <v>2640</v>
      </c>
      <c r="H46" s="6" t="s">
        <v>137</v>
      </c>
      <c r="I46" s="6" t="s">
        <v>2687</v>
      </c>
    </row>
    <row r="47" spans="1:9">
      <c r="A47" s="7" t="s">
        <v>132</v>
      </c>
      <c r="B47" s="15">
        <v>46030</v>
      </c>
      <c r="C47" s="5" t="s">
        <v>134</v>
      </c>
      <c r="D47" s="16">
        <v>46031.313888888886</v>
      </c>
      <c r="E47" s="4" t="s">
        <v>26</v>
      </c>
      <c r="F47" s="4" t="s">
        <v>2643</v>
      </c>
      <c r="G47" s="4" t="s">
        <v>2644</v>
      </c>
      <c r="H47" s="6" t="s">
        <v>137</v>
      </c>
      <c r="I47" s="6" t="s">
        <v>2688</v>
      </c>
    </row>
    <row r="48" spans="1:9" ht="30">
      <c r="A48" s="7" t="s">
        <v>132</v>
      </c>
      <c r="B48" s="15">
        <v>46030</v>
      </c>
      <c r="C48" s="5" t="s">
        <v>134</v>
      </c>
      <c r="D48" s="16">
        <v>46033.188888888886</v>
      </c>
      <c r="E48" s="4" t="s">
        <v>33</v>
      </c>
      <c r="F48" s="4" t="s">
        <v>2643</v>
      </c>
      <c r="G48" s="4" t="s">
        <v>2648</v>
      </c>
      <c r="H48" s="6" t="s">
        <v>137</v>
      </c>
      <c r="I48" s="6" t="s">
        <v>2689</v>
      </c>
    </row>
    <row r="49" spans="1:9" ht="30">
      <c r="A49" s="7" t="s">
        <v>138</v>
      </c>
      <c r="B49" s="15">
        <v>46064</v>
      </c>
      <c r="C49" s="5" t="s">
        <v>140</v>
      </c>
      <c r="D49" s="16">
        <v>46065.222222222219</v>
      </c>
      <c r="E49" s="4" t="s">
        <v>17</v>
      </c>
      <c r="F49" s="4" t="s">
        <v>139</v>
      </c>
      <c r="G49" s="4" t="s">
        <v>2640</v>
      </c>
      <c r="H49" s="6" t="s">
        <v>143</v>
      </c>
      <c r="I49" s="6" t="s">
        <v>2690</v>
      </c>
    </row>
    <row r="50" spans="1:9">
      <c r="A50" s="7" t="s">
        <v>138</v>
      </c>
      <c r="B50" s="15">
        <v>46064</v>
      </c>
      <c r="C50" s="5" t="s">
        <v>140</v>
      </c>
      <c r="D50" s="16">
        <v>46065.361111111109</v>
      </c>
      <c r="E50" s="4" t="s">
        <v>26</v>
      </c>
      <c r="F50" s="4" t="s">
        <v>2643</v>
      </c>
      <c r="G50" s="4" t="s">
        <v>2644</v>
      </c>
      <c r="H50" s="6" t="s">
        <v>143</v>
      </c>
      <c r="I50" s="6" t="s">
        <v>2691</v>
      </c>
    </row>
    <row r="51" spans="1:9" ht="30">
      <c r="A51" s="7" t="s">
        <v>138</v>
      </c>
      <c r="B51" s="15">
        <v>46064</v>
      </c>
      <c r="C51" s="5" t="s">
        <v>140</v>
      </c>
      <c r="D51" s="16">
        <v>46066.236111111109</v>
      </c>
      <c r="E51" s="4" t="s">
        <v>48</v>
      </c>
      <c r="F51" s="4" t="s">
        <v>2643</v>
      </c>
      <c r="G51" s="4" t="s">
        <v>2655</v>
      </c>
      <c r="H51" s="6" t="s">
        <v>143</v>
      </c>
      <c r="I51" s="6" t="s">
        <v>2692</v>
      </c>
    </row>
    <row r="52" spans="1:9" ht="30">
      <c r="A52" s="7" t="s">
        <v>144</v>
      </c>
      <c r="B52" s="15">
        <v>46095</v>
      </c>
      <c r="C52" s="5" t="s">
        <v>146</v>
      </c>
      <c r="D52" s="16">
        <v>46096.268750000003</v>
      </c>
      <c r="E52" s="4" t="s">
        <v>17</v>
      </c>
      <c r="F52" s="4" t="s">
        <v>145</v>
      </c>
      <c r="G52" s="4" t="s">
        <v>2640</v>
      </c>
      <c r="H52" s="6" t="s">
        <v>149</v>
      </c>
      <c r="I52" s="6" t="s">
        <v>2693</v>
      </c>
    </row>
    <row r="53" spans="1:9" ht="30">
      <c r="A53" s="7" t="s">
        <v>150</v>
      </c>
      <c r="B53" s="15">
        <v>46129</v>
      </c>
      <c r="C53" s="5" t="s">
        <v>152</v>
      </c>
      <c r="D53" s="16">
        <v>46130.31527777778</v>
      </c>
      <c r="E53" s="4" t="s">
        <v>17</v>
      </c>
      <c r="F53" s="4" t="s">
        <v>151</v>
      </c>
      <c r="G53" s="4" t="s">
        <v>2640</v>
      </c>
      <c r="H53" s="6" t="s">
        <v>155</v>
      </c>
      <c r="I53" s="6" t="s">
        <v>2694</v>
      </c>
    </row>
    <row r="54" spans="1:9">
      <c r="A54" s="7" t="s">
        <v>150</v>
      </c>
      <c r="B54" s="15">
        <v>46129</v>
      </c>
      <c r="C54" s="5" t="s">
        <v>152</v>
      </c>
      <c r="D54" s="16">
        <v>46130.455555555556</v>
      </c>
      <c r="E54" s="4" t="s">
        <v>26</v>
      </c>
      <c r="F54" s="4" t="s">
        <v>2643</v>
      </c>
      <c r="G54" s="4" t="s">
        <v>2644</v>
      </c>
      <c r="H54" s="6" t="s">
        <v>155</v>
      </c>
      <c r="I54" s="6" t="s">
        <v>2695</v>
      </c>
    </row>
    <row r="55" spans="1:9" ht="30">
      <c r="A55" s="7" t="s">
        <v>156</v>
      </c>
      <c r="B55" s="15">
        <v>46162</v>
      </c>
      <c r="C55" s="5" t="s">
        <v>158</v>
      </c>
      <c r="D55" s="16">
        <v>46163.361805555556</v>
      </c>
      <c r="E55" s="4" t="s">
        <v>17</v>
      </c>
      <c r="F55" s="4" t="s">
        <v>157</v>
      </c>
      <c r="G55" s="4" t="s">
        <v>2640</v>
      </c>
      <c r="H55" s="6" t="s">
        <v>161</v>
      </c>
      <c r="I55" s="6" t="s">
        <v>2696</v>
      </c>
    </row>
    <row r="56" spans="1:9">
      <c r="A56" s="7" t="s">
        <v>156</v>
      </c>
      <c r="B56" s="15">
        <v>46162</v>
      </c>
      <c r="C56" s="5" t="s">
        <v>158</v>
      </c>
      <c r="D56" s="16">
        <v>46163.50277777778</v>
      </c>
      <c r="E56" s="4" t="s">
        <v>26</v>
      </c>
      <c r="F56" s="4" t="s">
        <v>2643</v>
      </c>
      <c r="G56" s="4" t="s">
        <v>2644</v>
      </c>
      <c r="H56" s="6" t="s">
        <v>161</v>
      </c>
      <c r="I56" s="6" t="s">
        <v>2697</v>
      </c>
    </row>
    <row r="57" spans="1:9" ht="30">
      <c r="A57" s="7" t="s">
        <v>156</v>
      </c>
      <c r="B57" s="15">
        <v>46162</v>
      </c>
      <c r="C57" s="5" t="s">
        <v>158</v>
      </c>
      <c r="D57" s="16">
        <v>46165.37777777778</v>
      </c>
      <c r="E57" s="4" t="s">
        <v>33</v>
      </c>
      <c r="F57" s="4" t="s">
        <v>2643</v>
      </c>
      <c r="G57" s="4" t="s">
        <v>2648</v>
      </c>
      <c r="H57" s="6" t="s">
        <v>161</v>
      </c>
      <c r="I57" s="6" t="s">
        <v>2698</v>
      </c>
    </row>
    <row r="58" spans="1:9" ht="30">
      <c r="A58" s="7" t="s">
        <v>162</v>
      </c>
      <c r="B58" s="15">
        <v>46196</v>
      </c>
      <c r="C58" s="5" t="s">
        <v>164</v>
      </c>
      <c r="D58" s="16">
        <v>46197.074999999997</v>
      </c>
      <c r="E58" s="4" t="s">
        <v>17</v>
      </c>
      <c r="F58" s="4" t="s">
        <v>163</v>
      </c>
      <c r="G58" s="4" t="s">
        <v>2640</v>
      </c>
      <c r="H58" s="6" t="s">
        <v>167</v>
      </c>
      <c r="I58" s="6" t="s">
        <v>2699</v>
      </c>
    </row>
    <row r="59" spans="1:9">
      <c r="A59" s="7" t="s">
        <v>162</v>
      </c>
      <c r="B59" s="15">
        <v>46196</v>
      </c>
      <c r="C59" s="5" t="s">
        <v>164</v>
      </c>
      <c r="D59" s="16">
        <v>46197.216666666667</v>
      </c>
      <c r="E59" s="4" t="s">
        <v>26</v>
      </c>
      <c r="F59" s="4" t="s">
        <v>2643</v>
      </c>
      <c r="G59" s="4" t="s">
        <v>2644</v>
      </c>
      <c r="H59" s="6" t="s">
        <v>167</v>
      </c>
      <c r="I59" s="6" t="s">
        <v>2700</v>
      </c>
    </row>
    <row r="60" spans="1:9" ht="30">
      <c r="A60" s="7" t="s">
        <v>162</v>
      </c>
      <c r="B60" s="15">
        <v>46196</v>
      </c>
      <c r="C60" s="5" t="s">
        <v>164</v>
      </c>
      <c r="D60" s="16">
        <v>46199.091666666667</v>
      </c>
      <c r="E60" s="4" t="s">
        <v>33</v>
      </c>
      <c r="F60" s="4" t="s">
        <v>2643</v>
      </c>
      <c r="G60" s="4" t="s">
        <v>2648</v>
      </c>
      <c r="H60" s="6" t="s">
        <v>167</v>
      </c>
      <c r="I60" s="6" t="s">
        <v>2701</v>
      </c>
    </row>
    <row r="61" spans="1:9" ht="30">
      <c r="A61" s="7" t="s">
        <v>168</v>
      </c>
      <c r="B61" s="15">
        <v>46023</v>
      </c>
      <c r="C61" s="5" t="s">
        <v>170</v>
      </c>
      <c r="D61" s="16">
        <v>46024.121527777781</v>
      </c>
      <c r="E61" s="4" t="s">
        <v>17</v>
      </c>
      <c r="F61" s="4" t="s">
        <v>169</v>
      </c>
      <c r="G61" s="4" t="s">
        <v>2640</v>
      </c>
      <c r="H61" s="6" t="s">
        <v>173</v>
      </c>
      <c r="I61" s="6" t="s">
        <v>2702</v>
      </c>
    </row>
    <row r="62" spans="1:9">
      <c r="A62" s="7" t="s">
        <v>168</v>
      </c>
      <c r="B62" s="15">
        <v>46023</v>
      </c>
      <c r="C62" s="5" t="s">
        <v>170</v>
      </c>
      <c r="D62" s="16">
        <v>46024.263888888891</v>
      </c>
      <c r="E62" s="4" t="s">
        <v>26</v>
      </c>
      <c r="F62" s="4" t="s">
        <v>2643</v>
      </c>
      <c r="G62" s="4" t="s">
        <v>2644</v>
      </c>
      <c r="H62" s="6" t="s">
        <v>173</v>
      </c>
      <c r="I62" s="6" t="s">
        <v>2703</v>
      </c>
    </row>
    <row r="63" spans="1:9" ht="30">
      <c r="A63" s="7" t="s">
        <v>168</v>
      </c>
      <c r="B63" s="15">
        <v>46023</v>
      </c>
      <c r="C63" s="5" t="s">
        <v>170</v>
      </c>
      <c r="D63" s="16">
        <v>46025.138888888891</v>
      </c>
      <c r="E63" s="4" t="s">
        <v>48</v>
      </c>
      <c r="F63" s="4" t="s">
        <v>2643</v>
      </c>
      <c r="G63" s="4" t="s">
        <v>2655</v>
      </c>
      <c r="H63" s="6" t="s">
        <v>173</v>
      </c>
      <c r="I63" s="6" t="s">
        <v>2704</v>
      </c>
    </row>
    <row r="64" spans="1:9" ht="30">
      <c r="A64" s="7" t="s">
        <v>174</v>
      </c>
      <c r="B64" s="15">
        <v>46057</v>
      </c>
      <c r="C64" s="5" t="s">
        <v>176</v>
      </c>
      <c r="D64" s="16">
        <v>46058.126388888886</v>
      </c>
      <c r="E64" s="4" t="s">
        <v>17</v>
      </c>
      <c r="F64" s="4" t="s">
        <v>175</v>
      </c>
      <c r="G64" s="4" t="s">
        <v>2640</v>
      </c>
      <c r="H64" s="6" t="s">
        <v>179</v>
      </c>
      <c r="I64" s="6" t="s">
        <v>2705</v>
      </c>
    </row>
    <row r="65" spans="1:9" ht="30">
      <c r="A65" s="7" t="s">
        <v>180</v>
      </c>
      <c r="B65" s="15">
        <v>46088</v>
      </c>
      <c r="C65" s="5" t="s">
        <v>182</v>
      </c>
      <c r="D65" s="16">
        <v>46089.17291666667</v>
      </c>
      <c r="E65" s="4" t="s">
        <v>17</v>
      </c>
      <c r="F65" s="4" t="s">
        <v>181</v>
      </c>
      <c r="G65" s="4" t="s">
        <v>2640</v>
      </c>
      <c r="H65" s="6" t="s">
        <v>185</v>
      </c>
      <c r="I65" s="6" t="s">
        <v>2706</v>
      </c>
    </row>
    <row r="66" spans="1:9">
      <c r="A66" s="7" t="s">
        <v>180</v>
      </c>
      <c r="B66" s="15">
        <v>46088</v>
      </c>
      <c r="C66" s="5" t="s">
        <v>182</v>
      </c>
      <c r="D66" s="16">
        <v>46089.316666666666</v>
      </c>
      <c r="E66" s="4" t="s">
        <v>26</v>
      </c>
      <c r="F66" s="4" t="s">
        <v>2643</v>
      </c>
      <c r="G66" s="4" t="s">
        <v>2644</v>
      </c>
      <c r="H66" s="6" t="s">
        <v>185</v>
      </c>
      <c r="I66" s="6" t="s">
        <v>2707</v>
      </c>
    </row>
    <row r="67" spans="1:9" ht="30">
      <c r="A67" s="7" t="s">
        <v>186</v>
      </c>
      <c r="B67" s="15">
        <v>46122</v>
      </c>
      <c r="C67" s="5" t="s">
        <v>188</v>
      </c>
      <c r="D67" s="16">
        <v>46123.219444444447</v>
      </c>
      <c r="E67" s="4" t="s">
        <v>17</v>
      </c>
      <c r="F67" s="4" t="s">
        <v>187</v>
      </c>
      <c r="G67" s="4" t="s">
        <v>2640</v>
      </c>
      <c r="H67" s="6" t="s">
        <v>191</v>
      </c>
      <c r="I67" s="6" t="s">
        <v>2708</v>
      </c>
    </row>
    <row r="68" spans="1:9">
      <c r="A68" s="7" t="s">
        <v>186</v>
      </c>
      <c r="B68" s="15">
        <v>46122</v>
      </c>
      <c r="C68" s="5" t="s">
        <v>188</v>
      </c>
      <c r="D68" s="16">
        <v>46123.363888888889</v>
      </c>
      <c r="E68" s="4" t="s">
        <v>26</v>
      </c>
      <c r="F68" s="4" t="s">
        <v>2643</v>
      </c>
      <c r="G68" s="4" t="s">
        <v>2644</v>
      </c>
      <c r="H68" s="6" t="s">
        <v>191</v>
      </c>
      <c r="I68" s="6" t="s">
        <v>2709</v>
      </c>
    </row>
    <row r="69" spans="1:9" ht="30">
      <c r="A69" s="7" t="s">
        <v>186</v>
      </c>
      <c r="B69" s="15">
        <v>46122</v>
      </c>
      <c r="C69" s="5" t="s">
        <v>188</v>
      </c>
      <c r="D69" s="16">
        <v>46125.238888888889</v>
      </c>
      <c r="E69" s="4" t="s">
        <v>33</v>
      </c>
      <c r="F69" s="4" t="s">
        <v>2643</v>
      </c>
      <c r="G69" s="4" t="s">
        <v>2648</v>
      </c>
      <c r="H69" s="6" t="s">
        <v>191</v>
      </c>
      <c r="I69" s="6" t="s">
        <v>2710</v>
      </c>
    </row>
    <row r="70" spans="1:9" ht="30">
      <c r="A70" s="7" t="s">
        <v>192</v>
      </c>
      <c r="B70" s="15">
        <v>46155</v>
      </c>
      <c r="C70" s="5" t="s">
        <v>194</v>
      </c>
      <c r="D70" s="16">
        <v>46156.265972222223</v>
      </c>
      <c r="E70" s="4" t="s">
        <v>17</v>
      </c>
      <c r="F70" s="4" t="s">
        <v>193</v>
      </c>
      <c r="G70" s="4" t="s">
        <v>2640</v>
      </c>
      <c r="H70" s="6" t="s">
        <v>197</v>
      </c>
      <c r="I70" s="6" t="s">
        <v>2711</v>
      </c>
    </row>
    <row r="71" spans="1:9">
      <c r="A71" s="7" t="s">
        <v>192</v>
      </c>
      <c r="B71" s="15">
        <v>46155</v>
      </c>
      <c r="C71" s="5" t="s">
        <v>194</v>
      </c>
      <c r="D71" s="16">
        <v>46156.411111111112</v>
      </c>
      <c r="E71" s="4" t="s">
        <v>26</v>
      </c>
      <c r="F71" s="4" t="s">
        <v>2643</v>
      </c>
      <c r="G71" s="4" t="s">
        <v>2644</v>
      </c>
      <c r="H71" s="6" t="s">
        <v>197</v>
      </c>
      <c r="I71" s="6" t="s">
        <v>2712</v>
      </c>
    </row>
    <row r="72" spans="1:9" ht="30">
      <c r="A72" s="7" t="s">
        <v>192</v>
      </c>
      <c r="B72" s="15">
        <v>46155</v>
      </c>
      <c r="C72" s="5" t="s">
        <v>194</v>
      </c>
      <c r="D72" s="16">
        <v>46158.286111111112</v>
      </c>
      <c r="E72" s="4" t="s">
        <v>33</v>
      </c>
      <c r="F72" s="4" t="s">
        <v>2643</v>
      </c>
      <c r="G72" s="4" t="s">
        <v>2648</v>
      </c>
      <c r="H72" s="6" t="s">
        <v>197</v>
      </c>
      <c r="I72" s="6" t="s">
        <v>2713</v>
      </c>
    </row>
    <row r="73" spans="1:9" ht="30">
      <c r="A73" s="7" t="s">
        <v>198</v>
      </c>
      <c r="B73" s="15">
        <v>46189</v>
      </c>
      <c r="C73" s="5" t="s">
        <v>200</v>
      </c>
      <c r="D73" s="16">
        <v>46190.3125</v>
      </c>
      <c r="E73" s="4" t="s">
        <v>17</v>
      </c>
      <c r="F73" s="4" t="s">
        <v>199</v>
      </c>
      <c r="G73" s="4" t="s">
        <v>2640</v>
      </c>
      <c r="H73" s="6" t="s">
        <v>203</v>
      </c>
      <c r="I73" s="6" t="s">
        <v>2714</v>
      </c>
    </row>
    <row r="74" spans="1:9">
      <c r="A74" s="7" t="s">
        <v>198</v>
      </c>
      <c r="B74" s="15">
        <v>46189</v>
      </c>
      <c r="C74" s="5" t="s">
        <v>200</v>
      </c>
      <c r="D74" s="16">
        <v>46190.458333333336</v>
      </c>
      <c r="E74" s="4" t="s">
        <v>26</v>
      </c>
      <c r="F74" s="4" t="s">
        <v>2643</v>
      </c>
      <c r="G74" s="4" t="s">
        <v>2644</v>
      </c>
      <c r="H74" s="6" t="s">
        <v>203</v>
      </c>
      <c r="I74" s="6" t="s">
        <v>2715</v>
      </c>
    </row>
    <row r="75" spans="1:9" ht="30">
      <c r="A75" s="7" t="s">
        <v>198</v>
      </c>
      <c r="B75" s="15">
        <v>46189</v>
      </c>
      <c r="C75" s="5" t="s">
        <v>200</v>
      </c>
      <c r="D75" s="16">
        <v>46191.333333333336</v>
      </c>
      <c r="E75" s="4" t="s">
        <v>48</v>
      </c>
      <c r="F75" s="4" t="s">
        <v>2643</v>
      </c>
      <c r="G75" s="4" t="s">
        <v>2655</v>
      </c>
      <c r="H75" s="6" t="s">
        <v>203</v>
      </c>
      <c r="I75" s="6" t="s">
        <v>2716</v>
      </c>
    </row>
    <row r="76" spans="1:9" ht="30">
      <c r="A76" s="7" t="s">
        <v>204</v>
      </c>
      <c r="B76" s="15">
        <v>46041</v>
      </c>
      <c r="C76" s="5" t="s">
        <v>206</v>
      </c>
      <c r="D76" s="16">
        <v>46042.359027777777</v>
      </c>
      <c r="E76" s="4" t="s">
        <v>17</v>
      </c>
      <c r="F76" s="4" t="s">
        <v>205</v>
      </c>
      <c r="G76" s="4" t="s">
        <v>2640</v>
      </c>
      <c r="H76" s="6" t="s">
        <v>209</v>
      </c>
      <c r="I76" s="6" t="s">
        <v>2717</v>
      </c>
    </row>
    <row r="77" spans="1:9" ht="30">
      <c r="A77" s="7" t="s">
        <v>210</v>
      </c>
      <c r="B77" s="15">
        <v>46075</v>
      </c>
      <c r="C77" s="5" t="s">
        <v>212</v>
      </c>
      <c r="D77" s="16">
        <v>46076.072222222225</v>
      </c>
      <c r="E77" s="4" t="s">
        <v>17</v>
      </c>
      <c r="F77" s="4" t="s">
        <v>211</v>
      </c>
      <c r="G77" s="4" t="s">
        <v>2640</v>
      </c>
      <c r="H77" s="6" t="s">
        <v>215</v>
      </c>
      <c r="I77" s="6" t="s">
        <v>2718</v>
      </c>
    </row>
    <row r="78" spans="1:9">
      <c r="A78" s="7" t="s">
        <v>210</v>
      </c>
      <c r="B78" s="15">
        <v>46075</v>
      </c>
      <c r="C78" s="5" t="s">
        <v>212</v>
      </c>
      <c r="D78" s="16">
        <v>46076.219444444447</v>
      </c>
      <c r="E78" s="4" t="s">
        <v>26</v>
      </c>
      <c r="F78" s="4" t="s">
        <v>2643</v>
      </c>
      <c r="G78" s="4" t="s">
        <v>2644</v>
      </c>
      <c r="H78" s="6" t="s">
        <v>215</v>
      </c>
      <c r="I78" s="6" t="s">
        <v>2719</v>
      </c>
    </row>
    <row r="79" spans="1:9" ht="30">
      <c r="A79" s="7" t="s">
        <v>216</v>
      </c>
      <c r="B79" s="15">
        <v>46106</v>
      </c>
      <c r="C79" s="5" t="s">
        <v>218</v>
      </c>
      <c r="D79" s="16">
        <v>46107.118750000001</v>
      </c>
      <c r="E79" s="4" t="s">
        <v>17</v>
      </c>
      <c r="F79" s="4" t="s">
        <v>217</v>
      </c>
      <c r="G79" s="4" t="s">
        <v>2640</v>
      </c>
      <c r="H79" s="6" t="s">
        <v>221</v>
      </c>
      <c r="I79" s="6" t="s">
        <v>2720</v>
      </c>
    </row>
    <row r="80" spans="1:9">
      <c r="A80" s="7" t="s">
        <v>216</v>
      </c>
      <c r="B80" s="15">
        <v>46106</v>
      </c>
      <c r="C80" s="5" t="s">
        <v>218</v>
      </c>
      <c r="D80" s="16">
        <v>46107.26666666667</v>
      </c>
      <c r="E80" s="4" t="s">
        <v>26</v>
      </c>
      <c r="F80" s="4" t="s">
        <v>2643</v>
      </c>
      <c r="G80" s="4" t="s">
        <v>2644</v>
      </c>
      <c r="H80" s="6" t="s">
        <v>221</v>
      </c>
      <c r="I80" s="6" t="s">
        <v>2721</v>
      </c>
    </row>
    <row r="81" spans="1:9" ht="30">
      <c r="A81" s="7" t="s">
        <v>216</v>
      </c>
      <c r="B81" s="15">
        <v>46106</v>
      </c>
      <c r="C81" s="5" t="s">
        <v>218</v>
      </c>
      <c r="D81" s="16">
        <v>46109.14166666667</v>
      </c>
      <c r="E81" s="4" t="s">
        <v>33</v>
      </c>
      <c r="F81" s="4" t="s">
        <v>2643</v>
      </c>
      <c r="G81" s="4" t="s">
        <v>2648</v>
      </c>
      <c r="H81" s="6" t="s">
        <v>221</v>
      </c>
      <c r="I81" s="6" t="s">
        <v>2722</v>
      </c>
    </row>
    <row r="82" spans="1:9" ht="30">
      <c r="A82" s="7" t="s">
        <v>222</v>
      </c>
      <c r="B82" s="15">
        <v>46115</v>
      </c>
      <c r="C82" s="5" t="s">
        <v>224</v>
      </c>
      <c r="D82" s="16">
        <v>46116.165277777778</v>
      </c>
      <c r="E82" s="4" t="s">
        <v>17</v>
      </c>
      <c r="F82" s="4" t="s">
        <v>223</v>
      </c>
      <c r="G82" s="4" t="s">
        <v>2640</v>
      </c>
      <c r="H82" s="6" t="s">
        <v>227</v>
      </c>
      <c r="I82" s="6" t="s">
        <v>2723</v>
      </c>
    </row>
    <row r="83" spans="1:9">
      <c r="A83" s="7" t="s">
        <v>222</v>
      </c>
      <c r="B83" s="15">
        <v>46115</v>
      </c>
      <c r="C83" s="5" t="s">
        <v>224</v>
      </c>
      <c r="D83" s="16">
        <v>46116.313888888886</v>
      </c>
      <c r="E83" s="4" t="s">
        <v>26</v>
      </c>
      <c r="F83" s="4" t="s">
        <v>2643</v>
      </c>
      <c r="G83" s="4" t="s">
        <v>2644</v>
      </c>
      <c r="H83" s="6" t="s">
        <v>227</v>
      </c>
      <c r="I83" s="6" t="s">
        <v>2724</v>
      </c>
    </row>
    <row r="84" spans="1:9" ht="30">
      <c r="A84" s="7" t="s">
        <v>222</v>
      </c>
      <c r="B84" s="15">
        <v>46115</v>
      </c>
      <c r="C84" s="5" t="s">
        <v>224</v>
      </c>
      <c r="D84" s="16">
        <v>46118.188888888886</v>
      </c>
      <c r="E84" s="4" t="s">
        <v>33</v>
      </c>
      <c r="F84" s="4" t="s">
        <v>2643</v>
      </c>
      <c r="G84" s="4" t="s">
        <v>2648</v>
      </c>
      <c r="H84" s="6" t="s">
        <v>227</v>
      </c>
      <c r="I84" s="6" t="s">
        <v>2725</v>
      </c>
    </row>
    <row r="85" spans="1:9" ht="30">
      <c r="A85" s="7" t="s">
        <v>228</v>
      </c>
      <c r="B85" s="15">
        <v>46148</v>
      </c>
      <c r="C85" s="5" t="s">
        <v>230</v>
      </c>
      <c r="D85" s="16">
        <v>46149.170138888891</v>
      </c>
      <c r="E85" s="4" t="s">
        <v>17</v>
      </c>
      <c r="F85" s="4" t="s">
        <v>229</v>
      </c>
      <c r="G85" s="4" t="s">
        <v>2640</v>
      </c>
      <c r="H85" s="6" t="s">
        <v>233</v>
      </c>
      <c r="I85" s="6" t="s">
        <v>2726</v>
      </c>
    </row>
    <row r="86" spans="1:9">
      <c r="A86" s="7" t="s">
        <v>228</v>
      </c>
      <c r="B86" s="15">
        <v>46148</v>
      </c>
      <c r="C86" s="5" t="s">
        <v>230</v>
      </c>
      <c r="D86" s="16">
        <v>46149.319444444445</v>
      </c>
      <c r="E86" s="4" t="s">
        <v>26</v>
      </c>
      <c r="F86" s="4" t="s">
        <v>2643</v>
      </c>
      <c r="G86" s="4" t="s">
        <v>2644</v>
      </c>
      <c r="H86" s="6" t="s">
        <v>233</v>
      </c>
      <c r="I86" s="6" t="s">
        <v>2727</v>
      </c>
    </row>
    <row r="87" spans="1:9" ht="30">
      <c r="A87" s="7" t="s">
        <v>228</v>
      </c>
      <c r="B87" s="15">
        <v>46148</v>
      </c>
      <c r="C87" s="5" t="s">
        <v>230</v>
      </c>
      <c r="D87" s="16">
        <v>46150.194444444445</v>
      </c>
      <c r="E87" s="4" t="s">
        <v>48</v>
      </c>
      <c r="F87" s="4" t="s">
        <v>2643</v>
      </c>
      <c r="G87" s="4" t="s">
        <v>2655</v>
      </c>
      <c r="H87" s="6" t="s">
        <v>233</v>
      </c>
      <c r="I87" s="6" t="s">
        <v>2728</v>
      </c>
    </row>
    <row r="88" spans="1:9" ht="30">
      <c r="A88" s="7" t="s">
        <v>234</v>
      </c>
      <c r="B88" s="15">
        <v>46182</v>
      </c>
      <c r="C88" s="5" t="s">
        <v>236</v>
      </c>
      <c r="D88" s="16">
        <v>46183.216666666667</v>
      </c>
      <c r="E88" s="4" t="s">
        <v>17</v>
      </c>
      <c r="F88" s="4" t="s">
        <v>235</v>
      </c>
      <c r="G88" s="4" t="s">
        <v>2640</v>
      </c>
      <c r="H88" s="6" t="s">
        <v>239</v>
      </c>
      <c r="I88" s="6" t="s">
        <v>2729</v>
      </c>
    </row>
    <row r="89" spans="1:9" ht="30">
      <c r="A89" s="7" t="s">
        <v>240</v>
      </c>
      <c r="B89" s="15">
        <v>46034</v>
      </c>
      <c r="C89" s="5" t="s">
        <v>242</v>
      </c>
      <c r="D89" s="16">
        <v>46035.263194444444</v>
      </c>
      <c r="E89" s="4" t="s">
        <v>17</v>
      </c>
      <c r="F89" s="4" t="s">
        <v>241</v>
      </c>
      <c r="G89" s="4" t="s">
        <v>2640</v>
      </c>
      <c r="H89" s="6" t="s">
        <v>245</v>
      </c>
      <c r="I89" s="6" t="s">
        <v>2730</v>
      </c>
    </row>
    <row r="90" spans="1:9">
      <c r="A90" s="7" t="s">
        <v>240</v>
      </c>
      <c r="B90" s="15">
        <v>46034</v>
      </c>
      <c r="C90" s="5" t="s">
        <v>242</v>
      </c>
      <c r="D90" s="16">
        <v>46035.413888888892</v>
      </c>
      <c r="E90" s="4" t="s">
        <v>26</v>
      </c>
      <c r="F90" s="4" t="s">
        <v>2643</v>
      </c>
      <c r="G90" s="4" t="s">
        <v>2644</v>
      </c>
      <c r="H90" s="6" t="s">
        <v>245</v>
      </c>
      <c r="I90" s="6" t="s">
        <v>2731</v>
      </c>
    </row>
    <row r="91" spans="1:9" ht="30">
      <c r="A91" s="7" t="s">
        <v>246</v>
      </c>
      <c r="B91" s="15">
        <v>46068</v>
      </c>
      <c r="C91" s="5" t="s">
        <v>248</v>
      </c>
      <c r="D91" s="16">
        <v>46069.30972222222</v>
      </c>
      <c r="E91" s="4" t="s">
        <v>17</v>
      </c>
      <c r="F91" s="4" t="s">
        <v>247</v>
      </c>
      <c r="G91" s="4" t="s">
        <v>2640</v>
      </c>
      <c r="H91" s="6" t="s">
        <v>251</v>
      </c>
      <c r="I91" s="6" t="s">
        <v>2732</v>
      </c>
    </row>
    <row r="92" spans="1:9">
      <c r="A92" s="7" t="s">
        <v>246</v>
      </c>
      <c r="B92" s="15">
        <v>46068</v>
      </c>
      <c r="C92" s="5" t="s">
        <v>248</v>
      </c>
      <c r="D92" s="16">
        <v>46069.461111111108</v>
      </c>
      <c r="E92" s="4" t="s">
        <v>26</v>
      </c>
      <c r="F92" s="4" t="s">
        <v>2643</v>
      </c>
      <c r="G92" s="4" t="s">
        <v>2644</v>
      </c>
      <c r="H92" s="6" t="s">
        <v>251</v>
      </c>
      <c r="I92" s="6" t="s">
        <v>2733</v>
      </c>
    </row>
    <row r="93" spans="1:9" ht="30">
      <c r="A93" s="7" t="s">
        <v>246</v>
      </c>
      <c r="B93" s="15">
        <v>46068</v>
      </c>
      <c r="C93" s="5" t="s">
        <v>248</v>
      </c>
      <c r="D93" s="16">
        <v>46071.336111111108</v>
      </c>
      <c r="E93" s="4" t="s">
        <v>33</v>
      </c>
      <c r="F93" s="4" t="s">
        <v>2643</v>
      </c>
      <c r="G93" s="4" t="s">
        <v>2648</v>
      </c>
      <c r="H93" s="6" t="s">
        <v>251</v>
      </c>
      <c r="I93" s="6" t="s">
        <v>2734</v>
      </c>
    </row>
    <row r="94" spans="1:9" ht="30">
      <c r="A94" s="7" t="s">
        <v>252</v>
      </c>
      <c r="B94" s="15">
        <v>46099</v>
      </c>
      <c r="C94" s="5" t="s">
        <v>254</v>
      </c>
      <c r="D94" s="16">
        <v>46100.356249999997</v>
      </c>
      <c r="E94" s="4" t="s">
        <v>17</v>
      </c>
      <c r="F94" s="4" t="s">
        <v>253</v>
      </c>
      <c r="G94" s="4" t="s">
        <v>2640</v>
      </c>
      <c r="H94" s="6" t="s">
        <v>257</v>
      </c>
      <c r="I94" s="6" t="s">
        <v>2735</v>
      </c>
    </row>
    <row r="95" spans="1:9">
      <c r="A95" s="7" t="s">
        <v>252</v>
      </c>
      <c r="B95" s="15">
        <v>46099</v>
      </c>
      <c r="C95" s="5" t="s">
        <v>254</v>
      </c>
      <c r="D95" s="16">
        <v>46100.508333333331</v>
      </c>
      <c r="E95" s="4" t="s">
        <v>26</v>
      </c>
      <c r="F95" s="4" t="s">
        <v>2643</v>
      </c>
      <c r="G95" s="4" t="s">
        <v>2644</v>
      </c>
      <c r="H95" s="6" t="s">
        <v>257</v>
      </c>
      <c r="I95" s="6" t="s">
        <v>2736</v>
      </c>
    </row>
    <row r="96" spans="1:9" ht="30">
      <c r="A96" s="7" t="s">
        <v>252</v>
      </c>
      <c r="B96" s="15">
        <v>46099</v>
      </c>
      <c r="C96" s="5" t="s">
        <v>254</v>
      </c>
      <c r="D96" s="16">
        <v>46102.383333333331</v>
      </c>
      <c r="E96" s="4" t="s">
        <v>33</v>
      </c>
      <c r="F96" s="4" t="s">
        <v>2643</v>
      </c>
      <c r="G96" s="4" t="s">
        <v>2648</v>
      </c>
      <c r="H96" s="6" t="s">
        <v>257</v>
      </c>
      <c r="I96" s="6" t="s">
        <v>2737</v>
      </c>
    </row>
    <row r="97" spans="1:9" ht="30">
      <c r="A97" s="7" t="s">
        <v>258</v>
      </c>
      <c r="B97" s="15">
        <v>46133</v>
      </c>
      <c r="C97" s="5" t="s">
        <v>260</v>
      </c>
      <c r="D97" s="16">
        <v>46134.069444444445</v>
      </c>
      <c r="E97" s="4" t="s">
        <v>17</v>
      </c>
      <c r="F97" s="4" t="s">
        <v>259</v>
      </c>
      <c r="G97" s="4" t="s">
        <v>2640</v>
      </c>
      <c r="H97" s="6" t="s">
        <v>263</v>
      </c>
      <c r="I97" s="6" t="s">
        <v>2738</v>
      </c>
    </row>
    <row r="98" spans="1:9">
      <c r="A98" s="7" t="s">
        <v>258</v>
      </c>
      <c r="B98" s="15">
        <v>46133</v>
      </c>
      <c r="C98" s="5" t="s">
        <v>260</v>
      </c>
      <c r="D98" s="16">
        <v>46134.222222222219</v>
      </c>
      <c r="E98" s="4" t="s">
        <v>26</v>
      </c>
      <c r="F98" s="4" t="s">
        <v>2643</v>
      </c>
      <c r="G98" s="4" t="s">
        <v>2644</v>
      </c>
      <c r="H98" s="6" t="s">
        <v>263</v>
      </c>
      <c r="I98" s="6" t="s">
        <v>2739</v>
      </c>
    </row>
    <row r="99" spans="1:9" ht="30">
      <c r="A99" s="7" t="s">
        <v>258</v>
      </c>
      <c r="B99" s="15">
        <v>46133</v>
      </c>
      <c r="C99" s="5" t="s">
        <v>260</v>
      </c>
      <c r="D99" s="16">
        <v>46135.097222222219</v>
      </c>
      <c r="E99" s="4" t="s">
        <v>48</v>
      </c>
      <c r="F99" s="4" t="s">
        <v>2643</v>
      </c>
      <c r="G99" s="4" t="s">
        <v>2655</v>
      </c>
      <c r="H99" s="6" t="s">
        <v>263</v>
      </c>
      <c r="I99" s="6" t="s">
        <v>2740</v>
      </c>
    </row>
    <row r="100" spans="1:9" ht="30">
      <c r="A100" s="7" t="s">
        <v>264</v>
      </c>
      <c r="B100" s="15">
        <v>46166</v>
      </c>
      <c r="C100" s="5" t="s">
        <v>266</v>
      </c>
      <c r="D100" s="16">
        <v>46167.115972222222</v>
      </c>
      <c r="E100" s="4" t="s">
        <v>17</v>
      </c>
      <c r="F100" s="4" t="s">
        <v>265</v>
      </c>
      <c r="G100" s="4" t="s">
        <v>2640</v>
      </c>
      <c r="H100" s="6" t="s">
        <v>269</v>
      </c>
      <c r="I100" s="6" t="s">
        <v>2741</v>
      </c>
    </row>
    <row r="101" spans="1:9" ht="30">
      <c r="A101" s="7" t="s">
        <v>270</v>
      </c>
      <c r="B101" s="15">
        <v>46175</v>
      </c>
      <c r="C101" s="5" t="s">
        <v>272</v>
      </c>
      <c r="D101" s="16">
        <v>46176.162499999999</v>
      </c>
      <c r="E101" s="4" t="s">
        <v>17</v>
      </c>
      <c r="F101" s="4" t="s">
        <v>271</v>
      </c>
      <c r="G101" s="4" t="s">
        <v>2640</v>
      </c>
      <c r="H101" s="6" t="s">
        <v>275</v>
      </c>
      <c r="I101" s="6" t="s">
        <v>2742</v>
      </c>
    </row>
    <row r="102" spans="1:9">
      <c r="A102" s="7" t="s">
        <v>270</v>
      </c>
      <c r="B102" s="15">
        <v>46175</v>
      </c>
      <c r="C102" s="5" t="s">
        <v>272</v>
      </c>
      <c r="D102" s="16">
        <v>46176.316666666666</v>
      </c>
      <c r="E102" s="4" t="s">
        <v>26</v>
      </c>
      <c r="F102" s="4" t="s">
        <v>2643</v>
      </c>
      <c r="G102" s="4" t="s">
        <v>2644</v>
      </c>
      <c r="H102" s="6" t="s">
        <v>275</v>
      </c>
      <c r="I102" s="6" t="s">
        <v>2743</v>
      </c>
    </row>
    <row r="103" spans="1:9" ht="30">
      <c r="A103" s="7" t="s">
        <v>276</v>
      </c>
      <c r="B103" s="15">
        <v>46027</v>
      </c>
      <c r="C103" s="5" t="s">
        <v>278</v>
      </c>
      <c r="D103" s="16">
        <v>46028.167361111111</v>
      </c>
      <c r="E103" s="4" t="s">
        <v>17</v>
      </c>
      <c r="F103" s="4" t="s">
        <v>277</v>
      </c>
      <c r="G103" s="4" t="s">
        <v>2640</v>
      </c>
      <c r="H103" s="6" t="s">
        <v>281</v>
      </c>
      <c r="I103" s="6" t="s">
        <v>2744</v>
      </c>
    </row>
    <row r="104" spans="1:9">
      <c r="A104" s="7" t="s">
        <v>276</v>
      </c>
      <c r="B104" s="15">
        <v>46027</v>
      </c>
      <c r="C104" s="5" t="s">
        <v>278</v>
      </c>
      <c r="D104" s="16">
        <v>46028.322222222225</v>
      </c>
      <c r="E104" s="4" t="s">
        <v>26</v>
      </c>
      <c r="F104" s="4" t="s">
        <v>2643</v>
      </c>
      <c r="G104" s="4" t="s">
        <v>2644</v>
      </c>
      <c r="H104" s="6" t="s">
        <v>281</v>
      </c>
      <c r="I104" s="6" t="s">
        <v>2745</v>
      </c>
    </row>
    <row r="105" spans="1:9" ht="30">
      <c r="A105" s="7" t="s">
        <v>276</v>
      </c>
      <c r="B105" s="15">
        <v>46027</v>
      </c>
      <c r="C105" s="5" t="s">
        <v>278</v>
      </c>
      <c r="D105" s="16">
        <v>46030.197222222225</v>
      </c>
      <c r="E105" s="4" t="s">
        <v>33</v>
      </c>
      <c r="F105" s="4" t="s">
        <v>2643</v>
      </c>
      <c r="G105" s="4" t="s">
        <v>2648</v>
      </c>
      <c r="H105" s="6" t="s">
        <v>281</v>
      </c>
      <c r="I105" s="6" t="s">
        <v>2746</v>
      </c>
    </row>
    <row r="106" spans="1:9" ht="30">
      <c r="A106" s="7" t="s">
        <v>282</v>
      </c>
      <c r="B106" s="15">
        <v>46061</v>
      </c>
      <c r="C106" s="5" t="s">
        <v>284</v>
      </c>
      <c r="D106" s="16">
        <v>46062.213888888888</v>
      </c>
      <c r="E106" s="4" t="s">
        <v>17</v>
      </c>
      <c r="F106" s="4" t="s">
        <v>283</v>
      </c>
      <c r="G106" s="4" t="s">
        <v>2640</v>
      </c>
      <c r="H106" s="6" t="s">
        <v>287</v>
      </c>
      <c r="I106" s="6" t="s">
        <v>2747</v>
      </c>
    </row>
    <row r="107" spans="1:9">
      <c r="A107" s="7" t="s">
        <v>282</v>
      </c>
      <c r="B107" s="15">
        <v>46061</v>
      </c>
      <c r="C107" s="5" t="s">
        <v>284</v>
      </c>
      <c r="D107" s="16">
        <v>46062.369444444441</v>
      </c>
      <c r="E107" s="4" t="s">
        <v>26</v>
      </c>
      <c r="F107" s="4" t="s">
        <v>2643</v>
      </c>
      <c r="G107" s="4" t="s">
        <v>2644</v>
      </c>
      <c r="H107" s="6" t="s">
        <v>287</v>
      </c>
      <c r="I107" s="6" t="s">
        <v>2748</v>
      </c>
    </row>
    <row r="108" spans="1:9" ht="30">
      <c r="A108" s="7" t="s">
        <v>282</v>
      </c>
      <c r="B108" s="15">
        <v>46061</v>
      </c>
      <c r="C108" s="5" t="s">
        <v>284</v>
      </c>
      <c r="D108" s="16">
        <v>46064.244444444441</v>
      </c>
      <c r="E108" s="4" t="s">
        <v>33</v>
      </c>
      <c r="F108" s="4" t="s">
        <v>2643</v>
      </c>
      <c r="G108" s="4" t="s">
        <v>2648</v>
      </c>
      <c r="H108" s="6" t="s">
        <v>287</v>
      </c>
      <c r="I108" s="6" t="s">
        <v>2749</v>
      </c>
    </row>
    <row r="109" spans="1:9" ht="30">
      <c r="A109" s="7" t="s">
        <v>288</v>
      </c>
      <c r="B109" s="15">
        <v>46092</v>
      </c>
      <c r="C109" s="5" t="s">
        <v>290</v>
      </c>
      <c r="D109" s="16">
        <v>46093.260416666664</v>
      </c>
      <c r="E109" s="4" t="s">
        <v>17</v>
      </c>
      <c r="F109" s="4" t="s">
        <v>289</v>
      </c>
      <c r="G109" s="4" t="s">
        <v>2640</v>
      </c>
      <c r="H109" s="6" t="s">
        <v>293</v>
      </c>
      <c r="I109" s="6" t="s">
        <v>2750</v>
      </c>
    </row>
    <row r="110" spans="1:9">
      <c r="A110" s="7" t="s">
        <v>288</v>
      </c>
      <c r="B110" s="15">
        <v>46092</v>
      </c>
      <c r="C110" s="5" t="s">
        <v>290</v>
      </c>
      <c r="D110" s="16">
        <v>46093.416666666664</v>
      </c>
      <c r="E110" s="4" t="s">
        <v>26</v>
      </c>
      <c r="F110" s="4" t="s">
        <v>2643</v>
      </c>
      <c r="G110" s="4" t="s">
        <v>2644</v>
      </c>
      <c r="H110" s="6" t="s">
        <v>293</v>
      </c>
      <c r="I110" s="6" t="s">
        <v>2751</v>
      </c>
    </row>
    <row r="111" spans="1:9" ht="30">
      <c r="A111" s="7" t="s">
        <v>288</v>
      </c>
      <c r="B111" s="15">
        <v>46092</v>
      </c>
      <c r="C111" s="5" t="s">
        <v>290</v>
      </c>
      <c r="D111" s="16">
        <v>46094.291666666664</v>
      </c>
      <c r="E111" s="4" t="s">
        <v>48</v>
      </c>
      <c r="F111" s="4" t="s">
        <v>2643</v>
      </c>
      <c r="G111" s="4" t="s">
        <v>2655</v>
      </c>
      <c r="H111" s="6" t="s">
        <v>293</v>
      </c>
      <c r="I111" s="6" t="s">
        <v>2752</v>
      </c>
    </row>
    <row r="112" spans="1:9" ht="30">
      <c r="A112" s="7" t="s">
        <v>294</v>
      </c>
      <c r="B112" s="15">
        <v>46126</v>
      </c>
      <c r="C112" s="5" t="s">
        <v>296</v>
      </c>
      <c r="D112" s="16">
        <v>46127.306944444441</v>
      </c>
      <c r="E112" s="4" t="s">
        <v>17</v>
      </c>
      <c r="F112" s="4" t="s">
        <v>295</v>
      </c>
      <c r="G112" s="4" t="s">
        <v>2640</v>
      </c>
      <c r="H112" s="6" t="s">
        <v>299</v>
      </c>
      <c r="I112" s="6" t="s">
        <v>2753</v>
      </c>
    </row>
    <row r="113" spans="1:9" ht="30">
      <c r="A113" s="7" t="s">
        <v>300</v>
      </c>
      <c r="B113" s="15">
        <v>46159</v>
      </c>
      <c r="C113" s="5" t="s">
        <v>302</v>
      </c>
      <c r="D113" s="16">
        <v>46160.353472222225</v>
      </c>
      <c r="E113" s="4" t="s">
        <v>17</v>
      </c>
      <c r="F113" s="4" t="s">
        <v>301</v>
      </c>
      <c r="G113" s="4" t="s">
        <v>2640</v>
      </c>
      <c r="H113" s="6" t="s">
        <v>305</v>
      </c>
      <c r="I113" s="6" t="s">
        <v>2754</v>
      </c>
    </row>
    <row r="114" spans="1:9">
      <c r="A114" s="7" t="s">
        <v>300</v>
      </c>
      <c r="B114" s="15">
        <v>46159</v>
      </c>
      <c r="C114" s="5" t="s">
        <v>302</v>
      </c>
      <c r="D114" s="16">
        <v>46160.511111111111</v>
      </c>
      <c r="E114" s="4" t="s">
        <v>26</v>
      </c>
      <c r="F114" s="4" t="s">
        <v>2643</v>
      </c>
      <c r="G114" s="4" t="s">
        <v>2644</v>
      </c>
      <c r="H114" s="6" t="s">
        <v>305</v>
      </c>
      <c r="I114" s="6" t="s">
        <v>2755</v>
      </c>
    </row>
    <row r="115" spans="1:9" ht="30">
      <c r="A115" s="7" t="s">
        <v>306</v>
      </c>
      <c r="B115" s="15">
        <v>46193</v>
      </c>
      <c r="C115" s="5" t="s">
        <v>308</v>
      </c>
      <c r="D115" s="16">
        <v>46194.066666666666</v>
      </c>
      <c r="E115" s="4" t="s">
        <v>17</v>
      </c>
      <c r="F115" s="4" t="s">
        <v>307</v>
      </c>
      <c r="G115" s="4" t="s">
        <v>2640</v>
      </c>
      <c r="H115" s="6" t="s">
        <v>311</v>
      </c>
      <c r="I115" s="6" t="s">
        <v>2756</v>
      </c>
    </row>
    <row r="116" spans="1:9">
      <c r="A116" s="7" t="s">
        <v>306</v>
      </c>
      <c r="B116" s="15">
        <v>46193</v>
      </c>
      <c r="C116" s="5" t="s">
        <v>308</v>
      </c>
      <c r="D116" s="16">
        <v>46194.224999999999</v>
      </c>
      <c r="E116" s="4" t="s">
        <v>26</v>
      </c>
      <c r="F116" s="4" t="s">
        <v>2643</v>
      </c>
      <c r="G116" s="4" t="s">
        <v>2644</v>
      </c>
      <c r="H116" s="6" t="s">
        <v>311</v>
      </c>
      <c r="I116" s="6" t="s">
        <v>2757</v>
      </c>
    </row>
    <row r="117" spans="1:9" ht="30">
      <c r="A117" s="7" t="s">
        <v>306</v>
      </c>
      <c r="B117" s="15">
        <v>46193</v>
      </c>
      <c r="C117" s="5" t="s">
        <v>308</v>
      </c>
      <c r="D117" s="16">
        <v>46196.1</v>
      </c>
      <c r="E117" s="4" t="s">
        <v>33</v>
      </c>
      <c r="F117" s="4" t="s">
        <v>2643</v>
      </c>
      <c r="G117" s="4" t="s">
        <v>2648</v>
      </c>
      <c r="H117" s="6" t="s">
        <v>311</v>
      </c>
      <c r="I117" s="6" t="s">
        <v>2758</v>
      </c>
    </row>
    <row r="118" spans="1:9" ht="30">
      <c r="A118" s="7" t="s">
        <v>312</v>
      </c>
      <c r="B118" s="15">
        <v>46045</v>
      </c>
      <c r="C118" s="5" t="s">
        <v>314</v>
      </c>
      <c r="D118" s="16">
        <v>46046.113194444442</v>
      </c>
      <c r="E118" s="4" t="s">
        <v>17</v>
      </c>
      <c r="F118" s="4" t="s">
        <v>313</v>
      </c>
      <c r="G118" s="4" t="s">
        <v>2640</v>
      </c>
      <c r="H118" s="6" t="s">
        <v>317</v>
      </c>
      <c r="I118" s="6" t="s">
        <v>2759</v>
      </c>
    </row>
    <row r="119" spans="1:9">
      <c r="A119" s="7" t="s">
        <v>312</v>
      </c>
      <c r="B119" s="15">
        <v>46045</v>
      </c>
      <c r="C119" s="5" t="s">
        <v>314</v>
      </c>
      <c r="D119" s="16">
        <v>46046.272222222222</v>
      </c>
      <c r="E119" s="4" t="s">
        <v>26</v>
      </c>
      <c r="F119" s="4" t="s">
        <v>2643</v>
      </c>
      <c r="G119" s="4" t="s">
        <v>2644</v>
      </c>
      <c r="H119" s="6" t="s">
        <v>317</v>
      </c>
      <c r="I119" s="6" t="s">
        <v>2760</v>
      </c>
    </row>
    <row r="120" spans="1:9" ht="30">
      <c r="A120" s="7" t="s">
        <v>312</v>
      </c>
      <c r="B120" s="15">
        <v>46045</v>
      </c>
      <c r="C120" s="5" t="s">
        <v>314</v>
      </c>
      <c r="D120" s="16">
        <v>46048.147222222222</v>
      </c>
      <c r="E120" s="4" t="s">
        <v>33</v>
      </c>
      <c r="F120" s="4" t="s">
        <v>2643</v>
      </c>
      <c r="G120" s="4" t="s">
        <v>2648</v>
      </c>
      <c r="H120" s="6" t="s">
        <v>317</v>
      </c>
      <c r="I120" s="6" t="s">
        <v>2761</v>
      </c>
    </row>
    <row r="121" spans="1:9" ht="30">
      <c r="A121" s="7" t="s">
        <v>318</v>
      </c>
      <c r="B121" s="15">
        <v>46054</v>
      </c>
      <c r="C121" s="5" t="s">
        <v>320</v>
      </c>
      <c r="D121" s="16">
        <v>46055.159722222219</v>
      </c>
      <c r="E121" s="4" t="s">
        <v>17</v>
      </c>
      <c r="F121" s="4" t="s">
        <v>319</v>
      </c>
      <c r="G121" s="4" t="s">
        <v>2640</v>
      </c>
      <c r="H121" s="6" t="s">
        <v>323</v>
      </c>
      <c r="I121" s="6" t="s">
        <v>2762</v>
      </c>
    </row>
    <row r="122" spans="1:9">
      <c r="A122" s="7" t="s">
        <v>318</v>
      </c>
      <c r="B122" s="15">
        <v>46054</v>
      </c>
      <c r="C122" s="5" t="s">
        <v>320</v>
      </c>
      <c r="D122" s="16">
        <v>46055.319444444445</v>
      </c>
      <c r="E122" s="4" t="s">
        <v>26</v>
      </c>
      <c r="F122" s="4" t="s">
        <v>2643</v>
      </c>
      <c r="G122" s="4" t="s">
        <v>2644</v>
      </c>
      <c r="H122" s="6" t="s">
        <v>323</v>
      </c>
      <c r="I122" s="6" t="s">
        <v>2763</v>
      </c>
    </row>
    <row r="123" spans="1:9" ht="30">
      <c r="A123" s="7" t="s">
        <v>318</v>
      </c>
      <c r="B123" s="15">
        <v>46054</v>
      </c>
      <c r="C123" s="5" t="s">
        <v>320</v>
      </c>
      <c r="D123" s="16">
        <v>46056.194444444445</v>
      </c>
      <c r="E123" s="4" t="s">
        <v>48</v>
      </c>
      <c r="F123" s="4" t="s">
        <v>2643</v>
      </c>
      <c r="G123" s="4" t="s">
        <v>2655</v>
      </c>
      <c r="H123" s="6" t="s">
        <v>323</v>
      </c>
      <c r="I123" s="6" t="s">
        <v>2764</v>
      </c>
    </row>
    <row r="124" spans="1:9" ht="30">
      <c r="A124" s="7" t="s">
        <v>324</v>
      </c>
      <c r="B124" s="15">
        <v>46085</v>
      </c>
      <c r="C124" s="5" t="s">
        <v>326</v>
      </c>
      <c r="D124" s="16">
        <v>46086.206250000003</v>
      </c>
      <c r="E124" s="4" t="s">
        <v>17</v>
      </c>
      <c r="F124" s="4" t="s">
        <v>325</v>
      </c>
      <c r="G124" s="4" t="s">
        <v>2640</v>
      </c>
      <c r="H124" s="6" t="s">
        <v>329</v>
      </c>
      <c r="I124" s="6" t="s">
        <v>2765</v>
      </c>
    </row>
    <row r="125" spans="1:9" ht="30">
      <c r="A125" s="7" t="s">
        <v>330</v>
      </c>
      <c r="B125" s="15">
        <v>46119</v>
      </c>
      <c r="C125" s="5" t="s">
        <v>332</v>
      </c>
      <c r="D125" s="16">
        <v>46120.211111111108</v>
      </c>
      <c r="E125" s="4" t="s">
        <v>17</v>
      </c>
      <c r="F125" s="4" t="s">
        <v>331</v>
      </c>
      <c r="G125" s="4" t="s">
        <v>2640</v>
      </c>
      <c r="H125" s="6" t="s">
        <v>335</v>
      </c>
      <c r="I125" s="6" t="s">
        <v>2766</v>
      </c>
    </row>
    <row r="126" spans="1:9">
      <c r="A126" s="7" t="s">
        <v>330</v>
      </c>
      <c r="B126" s="15">
        <v>46119</v>
      </c>
      <c r="C126" s="5" t="s">
        <v>332</v>
      </c>
      <c r="D126" s="16">
        <v>46120.37222222222</v>
      </c>
      <c r="E126" s="4" t="s">
        <v>26</v>
      </c>
      <c r="F126" s="4" t="s">
        <v>2643</v>
      </c>
      <c r="G126" s="4" t="s">
        <v>2644</v>
      </c>
      <c r="H126" s="6" t="s">
        <v>335</v>
      </c>
      <c r="I126" s="6" t="s">
        <v>2767</v>
      </c>
    </row>
    <row r="127" spans="1:9" ht="30">
      <c r="A127" s="7" t="s">
        <v>336</v>
      </c>
      <c r="B127" s="15">
        <v>46152</v>
      </c>
      <c r="C127" s="5" t="s">
        <v>338</v>
      </c>
      <c r="D127" s="16">
        <v>46153.257638888892</v>
      </c>
      <c r="E127" s="4" t="s">
        <v>17</v>
      </c>
      <c r="F127" s="4" t="s">
        <v>337</v>
      </c>
      <c r="G127" s="4" t="s">
        <v>2640</v>
      </c>
      <c r="H127" s="6" t="s">
        <v>341</v>
      </c>
      <c r="I127" s="6" t="s">
        <v>2768</v>
      </c>
    </row>
    <row r="128" spans="1:9">
      <c r="A128" s="7" t="s">
        <v>336</v>
      </c>
      <c r="B128" s="15">
        <v>46152</v>
      </c>
      <c r="C128" s="5" t="s">
        <v>338</v>
      </c>
      <c r="D128" s="16">
        <v>46153.419444444444</v>
      </c>
      <c r="E128" s="4" t="s">
        <v>26</v>
      </c>
      <c r="F128" s="4" t="s">
        <v>2643</v>
      </c>
      <c r="G128" s="4" t="s">
        <v>2644</v>
      </c>
      <c r="H128" s="6" t="s">
        <v>341</v>
      </c>
      <c r="I128" s="6" t="s">
        <v>2769</v>
      </c>
    </row>
    <row r="129" spans="1:9" ht="30">
      <c r="A129" s="7" t="s">
        <v>336</v>
      </c>
      <c r="B129" s="15">
        <v>46152</v>
      </c>
      <c r="C129" s="5" t="s">
        <v>338</v>
      </c>
      <c r="D129" s="16">
        <v>46155.294444444444</v>
      </c>
      <c r="E129" s="4" t="s">
        <v>33</v>
      </c>
      <c r="F129" s="4" t="s">
        <v>2643</v>
      </c>
      <c r="G129" s="4" t="s">
        <v>2648</v>
      </c>
      <c r="H129" s="6" t="s">
        <v>341</v>
      </c>
      <c r="I129" s="6" t="s">
        <v>2770</v>
      </c>
    </row>
    <row r="130" spans="1:9" ht="30">
      <c r="A130" s="7" t="s">
        <v>342</v>
      </c>
      <c r="B130" s="15">
        <v>46186</v>
      </c>
      <c r="C130" s="5" t="s">
        <v>344</v>
      </c>
      <c r="D130" s="16">
        <v>46187.304166666669</v>
      </c>
      <c r="E130" s="4" t="s">
        <v>17</v>
      </c>
      <c r="F130" s="4" t="s">
        <v>343</v>
      </c>
      <c r="G130" s="4" t="s">
        <v>2640</v>
      </c>
      <c r="H130" s="6" t="s">
        <v>347</v>
      </c>
      <c r="I130" s="6" t="s">
        <v>2771</v>
      </c>
    </row>
    <row r="131" spans="1:9">
      <c r="A131" s="7" t="s">
        <v>342</v>
      </c>
      <c r="B131" s="15">
        <v>46186</v>
      </c>
      <c r="C131" s="5" t="s">
        <v>344</v>
      </c>
      <c r="D131" s="16">
        <v>46187.466666666667</v>
      </c>
      <c r="E131" s="4" t="s">
        <v>26</v>
      </c>
      <c r="F131" s="4" t="s">
        <v>2643</v>
      </c>
      <c r="G131" s="4" t="s">
        <v>2644</v>
      </c>
      <c r="H131" s="6" t="s">
        <v>347</v>
      </c>
      <c r="I131" s="6" t="s">
        <v>2772</v>
      </c>
    </row>
    <row r="132" spans="1:9" ht="30">
      <c r="A132" s="7" t="s">
        <v>342</v>
      </c>
      <c r="B132" s="15">
        <v>46186</v>
      </c>
      <c r="C132" s="5" t="s">
        <v>344</v>
      </c>
      <c r="D132" s="16">
        <v>46189.341666666667</v>
      </c>
      <c r="E132" s="4" t="s">
        <v>33</v>
      </c>
      <c r="F132" s="4" t="s">
        <v>2643</v>
      </c>
      <c r="G132" s="4" t="s">
        <v>2648</v>
      </c>
      <c r="H132" s="6" t="s">
        <v>347</v>
      </c>
      <c r="I132" s="6" t="s">
        <v>2773</v>
      </c>
    </row>
    <row r="133" spans="1:9" ht="30">
      <c r="A133" s="7" t="s">
        <v>348</v>
      </c>
      <c r="B133" s="15">
        <v>46038</v>
      </c>
      <c r="C133" s="5" t="s">
        <v>350</v>
      </c>
      <c r="D133" s="16">
        <v>46039.350694444445</v>
      </c>
      <c r="E133" s="4" t="s">
        <v>17</v>
      </c>
      <c r="F133" s="4" t="s">
        <v>349</v>
      </c>
      <c r="G133" s="4" t="s">
        <v>2640</v>
      </c>
      <c r="H133" s="6" t="s">
        <v>353</v>
      </c>
      <c r="I133" s="6" t="s">
        <v>2774</v>
      </c>
    </row>
    <row r="134" spans="1:9">
      <c r="A134" s="7" t="s">
        <v>348</v>
      </c>
      <c r="B134" s="15">
        <v>46038</v>
      </c>
      <c r="C134" s="5" t="s">
        <v>350</v>
      </c>
      <c r="D134" s="16">
        <v>46039.513888888891</v>
      </c>
      <c r="E134" s="4" t="s">
        <v>26</v>
      </c>
      <c r="F134" s="4" t="s">
        <v>2643</v>
      </c>
      <c r="G134" s="4" t="s">
        <v>2644</v>
      </c>
      <c r="H134" s="6" t="s">
        <v>353</v>
      </c>
      <c r="I134" s="6" t="s">
        <v>2775</v>
      </c>
    </row>
    <row r="135" spans="1:9" ht="30">
      <c r="A135" s="7" t="s">
        <v>348</v>
      </c>
      <c r="B135" s="15">
        <v>46038</v>
      </c>
      <c r="C135" s="5" t="s">
        <v>350</v>
      </c>
      <c r="D135" s="16">
        <v>46040.388888888891</v>
      </c>
      <c r="E135" s="4" t="s">
        <v>48</v>
      </c>
      <c r="F135" s="4" t="s">
        <v>2643</v>
      </c>
      <c r="G135" s="4" t="s">
        <v>2655</v>
      </c>
      <c r="H135" s="6" t="s">
        <v>353</v>
      </c>
      <c r="I135" s="6" t="s">
        <v>2776</v>
      </c>
    </row>
    <row r="136" spans="1:9" ht="30">
      <c r="A136" s="7" t="s">
        <v>354</v>
      </c>
      <c r="B136" s="15">
        <v>46072</v>
      </c>
      <c r="C136" s="5" t="s">
        <v>356</v>
      </c>
      <c r="D136" s="16">
        <v>46073.063888888886</v>
      </c>
      <c r="E136" s="4" t="s">
        <v>17</v>
      </c>
      <c r="F136" s="4" t="s">
        <v>355</v>
      </c>
      <c r="G136" s="4" t="s">
        <v>2640</v>
      </c>
      <c r="H136" s="6" t="s">
        <v>359</v>
      </c>
      <c r="I136" s="6" t="s">
        <v>2777</v>
      </c>
    </row>
    <row r="137" spans="1:9" ht="30">
      <c r="A137" s="7" t="s">
        <v>360</v>
      </c>
      <c r="B137" s="15">
        <v>46103</v>
      </c>
      <c r="C137" s="5" t="s">
        <v>362</v>
      </c>
      <c r="D137" s="16">
        <v>46104.11041666667</v>
      </c>
      <c r="E137" s="4" t="s">
        <v>17</v>
      </c>
      <c r="F137" s="4" t="s">
        <v>361</v>
      </c>
      <c r="G137" s="4" t="s">
        <v>2640</v>
      </c>
      <c r="H137" s="6" t="s">
        <v>365</v>
      </c>
      <c r="I137" s="6" t="s">
        <v>2778</v>
      </c>
    </row>
    <row r="138" spans="1:9">
      <c r="A138" s="7" t="s">
        <v>360</v>
      </c>
      <c r="B138" s="15">
        <v>46103</v>
      </c>
      <c r="C138" s="5" t="s">
        <v>362</v>
      </c>
      <c r="D138" s="16">
        <v>46104.275000000001</v>
      </c>
      <c r="E138" s="4" t="s">
        <v>26</v>
      </c>
      <c r="F138" s="4" t="s">
        <v>2643</v>
      </c>
      <c r="G138" s="4" t="s">
        <v>2644</v>
      </c>
      <c r="H138" s="6" t="s">
        <v>365</v>
      </c>
      <c r="I138" s="6" t="s">
        <v>2779</v>
      </c>
    </row>
    <row r="139" spans="1:9" ht="30">
      <c r="A139" s="7" t="s">
        <v>366</v>
      </c>
      <c r="B139" s="15">
        <v>46137</v>
      </c>
      <c r="C139" s="5" t="s">
        <v>368</v>
      </c>
      <c r="D139" s="16">
        <v>46138.156944444447</v>
      </c>
      <c r="E139" s="4" t="s">
        <v>17</v>
      </c>
      <c r="F139" s="4" t="s">
        <v>367</v>
      </c>
      <c r="G139" s="4" t="s">
        <v>2640</v>
      </c>
      <c r="H139" s="6" t="s">
        <v>371</v>
      </c>
      <c r="I139" s="6" t="s">
        <v>2780</v>
      </c>
    </row>
    <row r="140" spans="1:9">
      <c r="A140" s="7" t="s">
        <v>366</v>
      </c>
      <c r="B140" s="15">
        <v>46137</v>
      </c>
      <c r="C140" s="5" t="s">
        <v>368</v>
      </c>
      <c r="D140" s="16">
        <v>46138.322222222225</v>
      </c>
      <c r="E140" s="4" t="s">
        <v>26</v>
      </c>
      <c r="F140" s="4" t="s">
        <v>2643</v>
      </c>
      <c r="G140" s="4" t="s">
        <v>2644</v>
      </c>
      <c r="H140" s="6" t="s">
        <v>371</v>
      </c>
      <c r="I140" s="6" t="s">
        <v>2781</v>
      </c>
    </row>
    <row r="141" spans="1:9" ht="30">
      <c r="A141" s="7" t="s">
        <v>366</v>
      </c>
      <c r="B141" s="15">
        <v>46137</v>
      </c>
      <c r="C141" s="5" t="s">
        <v>368</v>
      </c>
      <c r="D141" s="16">
        <v>46140.197222222225</v>
      </c>
      <c r="E141" s="4" t="s">
        <v>33</v>
      </c>
      <c r="F141" s="4" t="s">
        <v>2643</v>
      </c>
      <c r="G141" s="4" t="s">
        <v>2648</v>
      </c>
      <c r="H141" s="6" t="s">
        <v>371</v>
      </c>
      <c r="I141" s="6" t="s">
        <v>2782</v>
      </c>
    </row>
    <row r="142" spans="1:9" ht="30">
      <c r="A142" s="7" t="s">
        <v>372</v>
      </c>
      <c r="B142" s="15">
        <v>46145</v>
      </c>
      <c r="C142" s="5" t="s">
        <v>374</v>
      </c>
      <c r="D142" s="16">
        <v>46146.203472222223</v>
      </c>
      <c r="E142" s="4" t="s">
        <v>17</v>
      </c>
      <c r="F142" s="4" t="s">
        <v>373</v>
      </c>
      <c r="G142" s="4" t="s">
        <v>2640</v>
      </c>
      <c r="H142" s="6" t="s">
        <v>377</v>
      </c>
      <c r="I142" s="6" t="s">
        <v>2783</v>
      </c>
    </row>
    <row r="143" spans="1:9">
      <c r="A143" s="7" t="s">
        <v>372</v>
      </c>
      <c r="B143" s="15">
        <v>46145</v>
      </c>
      <c r="C143" s="5" t="s">
        <v>374</v>
      </c>
      <c r="D143" s="16">
        <v>46146.369444444441</v>
      </c>
      <c r="E143" s="4" t="s">
        <v>26</v>
      </c>
      <c r="F143" s="4" t="s">
        <v>2643</v>
      </c>
      <c r="G143" s="4" t="s">
        <v>2644</v>
      </c>
      <c r="H143" s="6" t="s">
        <v>377</v>
      </c>
      <c r="I143" s="6" t="s">
        <v>2784</v>
      </c>
    </row>
    <row r="144" spans="1:9" ht="30">
      <c r="A144" s="7" t="s">
        <v>372</v>
      </c>
      <c r="B144" s="15">
        <v>46145</v>
      </c>
      <c r="C144" s="5" t="s">
        <v>374</v>
      </c>
      <c r="D144" s="16">
        <v>46148.244444444441</v>
      </c>
      <c r="E144" s="4" t="s">
        <v>33</v>
      </c>
      <c r="F144" s="4" t="s">
        <v>2643</v>
      </c>
      <c r="G144" s="4" t="s">
        <v>2648</v>
      </c>
      <c r="H144" s="6" t="s">
        <v>377</v>
      </c>
      <c r="I144" s="6" t="s">
        <v>2785</v>
      </c>
    </row>
    <row r="145" spans="1:9" ht="30">
      <c r="A145" s="7" t="s">
        <v>378</v>
      </c>
      <c r="B145" s="15">
        <v>46058</v>
      </c>
      <c r="C145" s="5" t="s">
        <v>380</v>
      </c>
      <c r="D145" s="16">
        <v>46059.24722222222</v>
      </c>
      <c r="E145" s="4" t="s">
        <v>17</v>
      </c>
      <c r="F145" s="4" t="s">
        <v>379</v>
      </c>
      <c r="G145" s="4" t="s">
        <v>2640</v>
      </c>
      <c r="H145" s="6" t="s">
        <v>383</v>
      </c>
      <c r="I145" s="6" t="s">
        <v>2786</v>
      </c>
    </row>
    <row r="146" spans="1:9">
      <c r="A146" s="7" t="s">
        <v>378</v>
      </c>
      <c r="B146" s="15">
        <v>46058</v>
      </c>
      <c r="C146" s="5" t="s">
        <v>380</v>
      </c>
      <c r="D146" s="16">
        <v>46059.419444444444</v>
      </c>
      <c r="E146" s="4" t="s">
        <v>26</v>
      </c>
      <c r="F146" s="4" t="s">
        <v>2643</v>
      </c>
      <c r="G146" s="4" t="s">
        <v>2644</v>
      </c>
      <c r="H146" s="6" t="s">
        <v>383</v>
      </c>
      <c r="I146" s="6" t="s">
        <v>2787</v>
      </c>
    </row>
    <row r="147" spans="1:9" ht="30">
      <c r="A147" s="7" t="s">
        <v>378</v>
      </c>
      <c r="B147" s="15">
        <v>46058</v>
      </c>
      <c r="C147" s="5" t="s">
        <v>380</v>
      </c>
      <c r="D147" s="16">
        <v>46061.294444444444</v>
      </c>
      <c r="E147" s="4" t="s">
        <v>33</v>
      </c>
      <c r="F147" s="4" t="s">
        <v>2643</v>
      </c>
      <c r="G147" s="4" t="s">
        <v>2648</v>
      </c>
      <c r="H147" s="6" t="s">
        <v>383</v>
      </c>
      <c r="I147" s="6" t="s">
        <v>2788</v>
      </c>
    </row>
    <row r="148" spans="1:9" ht="30">
      <c r="A148" s="7" t="s">
        <v>384</v>
      </c>
      <c r="B148" s="15">
        <v>46179</v>
      </c>
      <c r="C148" s="5" t="s">
        <v>386</v>
      </c>
      <c r="D148" s="16">
        <v>46180.208333333336</v>
      </c>
      <c r="E148" s="4" t="s">
        <v>17</v>
      </c>
      <c r="F148" s="4" t="s">
        <v>385</v>
      </c>
      <c r="G148" s="4" t="s">
        <v>2640</v>
      </c>
      <c r="H148" s="6" t="s">
        <v>389</v>
      </c>
      <c r="I148" s="6" t="s">
        <v>2789</v>
      </c>
    </row>
    <row r="149" spans="1:9">
      <c r="A149" s="7" t="s">
        <v>384</v>
      </c>
      <c r="B149" s="15">
        <v>46179</v>
      </c>
      <c r="C149" s="5" t="s">
        <v>386</v>
      </c>
      <c r="D149" s="16">
        <v>46180.375</v>
      </c>
      <c r="E149" s="4" t="s">
        <v>26</v>
      </c>
      <c r="F149" s="4" t="s">
        <v>2643</v>
      </c>
      <c r="G149" s="4" t="s">
        <v>2644</v>
      </c>
      <c r="H149" s="6" t="s">
        <v>389</v>
      </c>
      <c r="I149" s="6" t="s">
        <v>2790</v>
      </c>
    </row>
    <row r="150" spans="1:9" ht="30">
      <c r="A150" s="7" t="s">
        <v>384</v>
      </c>
      <c r="B150" s="15">
        <v>46179</v>
      </c>
      <c r="C150" s="5" t="s">
        <v>386</v>
      </c>
      <c r="D150" s="16">
        <v>46181.25</v>
      </c>
      <c r="E150" s="4" t="s">
        <v>48</v>
      </c>
      <c r="F150" s="4" t="s">
        <v>2643</v>
      </c>
      <c r="G150" s="4" t="s">
        <v>2655</v>
      </c>
      <c r="H150" s="6" t="s">
        <v>389</v>
      </c>
      <c r="I150" s="6" t="s">
        <v>2791</v>
      </c>
    </row>
    <row r="151" spans="1:9" ht="30">
      <c r="A151" s="7" t="s">
        <v>390</v>
      </c>
      <c r="B151" s="15">
        <v>46031</v>
      </c>
      <c r="C151" s="5" t="s">
        <v>392</v>
      </c>
      <c r="D151" s="16">
        <v>46032.254861111112</v>
      </c>
      <c r="E151" s="4" t="s">
        <v>17</v>
      </c>
      <c r="F151" s="4" t="s">
        <v>391</v>
      </c>
      <c r="G151" s="4" t="s">
        <v>2640</v>
      </c>
      <c r="H151" s="6" t="s">
        <v>395</v>
      </c>
      <c r="I151" s="6" t="s">
        <v>2792</v>
      </c>
    </row>
    <row r="152" spans="1:9" ht="30">
      <c r="A152" s="7" t="s">
        <v>396</v>
      </c>
      <c r="B152" s="15">
        <v>46065</v>
      </c>
      <c r="C152" s="5" t="s">
        <v>398</v>
      </c>
      <c r="D152" s="16">
        <v>46066.301388888889</v>
      </c>
      <c r="E152" s="4" t="s">
        <v>17</v>
      </c>
      <c r="F152" s="4" t="s">
        <v>397</v>
      </c>
      <c r="G152" s="4" t="s">
        <v>2640</v>
      </c>
      <c r="H152" s="6" t="s">
        <v>401</v>
      </c>
      <c r="I152" s="6" t="s">
        <v>2793</v>
      </c>
    </row>
    <row r="153" spans="1:9">
      <c r="A153" s="7" t="s">
        <v>396</v>
      </c>
      <c r="B153" s="15">
        <v>46065</v>
      </c>
      <c r="C153" s="5" t="s">
        <v>398</v>
      </c>
      <c r="D153" s="16">
        <v>46066.469444444447</v>
      </c>
      <c r="E153" s="4" t="s">
        <v>26</v>
      </c>
      <c r="F153" s="4" t="s">
        <v>2643</v>
      </c>
      <c r="G153" s="4" t="s">
        <v>2644</v>
      </c>
      <c r="H153" s="6" t="s">
        <v>401</v>
      </c>
      <c r="I153" s="6" t="s">
        <v>2794</v>
      </c>
    </row>
    <row r="154" spans="1:9" ht="30">
      <c r="A154" s="7" t="s">
        <v>402</v>
      </c>
      <c r="B154" s="15">
        <v>46096</v>
      </c>
      <c r="C154" s="5" t="s">
        <v>404</v>
      </c>
      <c r="D154" s="16">
        <v>46097.347916666666</v>
      </c>
      <c r="E154" s="4" t="s">
        <v>17</v>
      </c>
      <c r="F154" s="4" t="s">
        <v>403</v>
      </c>
      <c r="G154" s="4" t="s">
        <v>2640</v>
      </c>
      <c r="H154" s="6" t="s">
        <v>407</v>
      </c>
      <c r="I154" s="6" t="s">
        <v>2795</v>
      </c>
    </row>
    <row r="155" spans="1:9">
      <c r="A155" s="7" t="s">
        <v>402</v>
      </c>
      <c r="B155" s="15">
        <v>46096</v>
      </c>
      <c r="C155" s="5" t="s">
        <v>404</v>
      </c>
      <c r="D155" s="16">
        <v>46097.51666666667</v>
      </c>
      <c r="E155" s="4" t="s">
        <v>26</v>
      </c>
      <c r="F155" s="4" t="s">
        <v>2643</v>
      </c>
      <c r="G155" s="4" t="s">
        <v>2644</v>
      </c>
      <c r="H155" s="6" t="s">
        <v>407</v>
      </c>
      <c r="I155" s="6" t="s">
        <v>2796</v>
      </c>
    </row>
    <row r="156" spans="1:9" ht="30">
      <c r="A156" s="7" t="s">
        <v>402</v>
      </c>
      <c r="B156" s="15">
        <v>46096</v>
      </c>
      <c r="C156" s="5" t="s">
        <v>404</v>
      </c>
      <c r="D156" s="16">
        <v>46099.39166666667</v>
      </c>
      <c r="E156" s="4" t="s">
        <v>33</v>
      </c>
      <c r="F156" s="4" t="s">
        <v>2643</v>
      </c>
      <c r="G156" s="4" t="s">
        <v>2648</v>
      </c>
      <c r="H156" s="6" t="s">
        <v>407</v>
      </c>
      <c r="I156" s="6" t="s">
        <v>2797</v>
      </c>
    </row>
    <row r="157" spans="1:9" ht="30">
      <c r="A157" s="7" t="s">
        <v>408</v>
      </c>
      <c r="B157" s="15">
        <v>46130</v>
      </c>
      <c r="C157" s="5" t="s">
        <v>410</v>
      </c>
      <c r="D157" s="16">
        <v>46131.061111111114</v>
      </c>
      <c r="E157" s="4" t="s">
        <v>17</v>
      </c>
      <c r="F157" s="4" t="s">
        <v>409</v>
      </c>
      <c r="G157" s="4" t="s">
        <v>2640</v>
      </c>
      <c r="H157" s="6" t="s">
        <v>413</v>
      </c>
      <c r="I157" s="6" t="s">
        <v>2798</v>
      </c>
    </row>
    <row r="158" spans="1:9">
      <c r="A158" s="7" t="s">
        <v>408</v>
      </c>
      <c r="B158" s="15">
        <v>46130</v>
      </c>
      <c r="C158" s="5" t="s">
        <v>410</v>
      </c>
      <c r="D158" s="16">
        <v>46131.230555555558</v>
      </c>
      <c r="E158" s="4" t="s">
        <v>26</v>
      </c>
      <c r="F158" s="4" t="s">
        <v>2643</v>
      </c>
      <c r="G158" s="4" t="s">
        <v>2644</v>
      </c>
      <c r="H158" s="6" t="s">
        <v>413</v>
      </c>
      <c r="I158" s="6" t="s">
        <v>2799</v>
      </c>
    </row>
    <row r="159" spans="1:9" ht="30">
      <c r="A159" s="7" t="s">
        <v>408</v>
      </c>
      <c r="B159" s="15">
        <v>46130</v>
      </c>
      <c r="C159" s="5" t="s">
        <v>410</v>
      </c>
      <c r="D159" s="16">
        <v>46133.105555555558</v>
      </c>
      <c r="E159" s="4" t="s">
        <v>33</v>
      </c>
      <c r="F159" s="4" t="s">
        <v>2643</v>
      </c>
      <c r="G159" s="4" t="s">
        <v>2648</v>
      </c>
      <c r="H159" s="6" t="s">
        <v>413</v>
      </c>
      <c r="I159" s="6" t="s">
        <v>2800</v>
      </c>
    </row>
    <row r="160" spans="1:9" ht="30">
      <c r="A160" s="7" t="s">
        <v>414</v>
      </c>
      <c r="B160" s="15">
        <v>46163</v>
      </c>
      <c r="C160" s="5" t="s">
        <v>416</v>
      </c>
      <c r="D160" s="16">
        <v>46164.107638888891</v>
      </c>
      <c r="E160" s="4" t="s">
        <v>17</v>
      </c>
      <c r="F160" s="4" t="s">
        <v>415</v>
      </c>
      <c r="G160" s="4" t="s">
        <v>2640</v>
      </c>
      <c r="H160" s="6" t="s">
        <v>419</v>
      </c>
      <c r="I160" s="6" t="s">
        <v>2801</v>
      </c>
    </row>
    <row r="161" spans="1:9">
      <c r="A161" s="7" t="s">
        <v>414</v>
      </c>
      <c r="B161" s="15">
        <v>46163</v>
      </c>
      <c r="C161" s="5" t="s">
        <v>416</v>
      </c>
      <c r="D161" s="16">
        <v>46164.277777777781</v>
      </c>
      <c r="E161" s="4" t="s">
        <v>26</v>
      </c>
      <c r="F161" s="4" t="s">
        <v>2643</v>
      </c>
      <c r="G161" s="4" t="s">
        <v>2644</v>
      </c>
      <c r="H161" s="6" t="s">
        <v>419</v>
      </c>
      <c r="I161" s="6" t="s">
        <v>2802</v>
      </c>
    </row>
    <row r="162" spans="1:9" ht="30">
      <c r="A162" s="7" t="s">
        <v>414</v>
      </c>
      <c r="B162" s="15">
        <v>46163</v>
      </c>
      <c r="C162" s="5" t="s">
        <v>416</v>
      </c>
      <c r="D162" s="16">
        <v>46165.152777777781</v>
      </c>
      <c r="E162" s="4" t="s">
        <v>48</v>
      </c>
      <c r="F162" s="4" t="s">
        <v>2643</v>
      </c>
      <c r="G162" s="4" t="s">
        <v>2655</v>
      </c>
      <c r="H162" s="6" t="s">
        <v>419</v>
      </c>
      <c r="I162" s="6" t="s">
        <v>2803</v>
      </c>
    </row>
    <row r="163" spans="1:9" ht="30">
      <c r="A163" s="7" t="s">
        <v>420</v>
      </c>
      <c r="B163" s="15">
        <v>46197</v>
      </c>
      <c r="C163" s="5" t="s">
        <v>422</v>
      </c>
      <c r="D163" s="16">
        <v>46198.154166666667</v>
      </c>
      <c r="E163" s="4" t="s">
        <v>17</v>
      </c>
      <c r="F163" s="4" t="s">
        <v>421</v>
      </c>
      <c r="G163" s="4" t="s">
        <v>2640</v>
      </c>
      <c r="H163" s="6" t="s">
        <v>425</v>
      </c>
      <c r="I163" s="6" t="s">
        <v>2804</v>
      </c>
    </row>
    <row r="164" spans="1:9" ht="30">
      <c r="A164" s="7" t="s">
        <v>426</v>
      </c>
      <c r="B164" s="15">
        <v>46024</v>
      </c>
      <c r="C164" s="5" t="s">
        <v>428</v>
      </c>
      <c r="D164" s="16">
        <v>46025.200694444444</v>
      </c>
      <c r="E164" s="4" t="s">
        <v>17</v>
      </c>
      <c r="F164" s="4" t="s">
        <v>427</v>
      </c>
      <c r="G164" s="4" t="s">
        <v>2640</v>
      </c>
      <c r="H164" s="6" t="s">
        <v>431</v>
      </c>
      <c r="I164" s="6" t="s">
        <v>2805</v>
      </c>
    </row>
    <row r="165" spans="1:9">
      <c r="A165" s="7" t="s">
        <v>426</v>
      </c>
      <c r="B165" s="15">
        <v>46024</v>
      </c>
      <c r="C165" s="5" t="s">
        <v>428</v>
      </c>
      <c r="D165" s="16">
        <v>46025.37222222222</v>
      </c>
      <c r="E165" s="4" t="s">
        <v>26</v>
      </c>
      <c r="F165" s="4" t="s">
        <v>2643</v>
      </c>
      <c r="G165" s="4" t="s">
        <v>2644</v>
      </c>
      <c r="H165" s="6" t="s">
        <v>431</v>
      </c>
      <c r="I165" s="6" t="s">
        <v>2806</v>
      </c>
    </row>
    <row r="166" spans="1:9" ht="30">
      <c r="A166" s="7" t="s">
        <v>432</v>
      </c>
      <c r="B166" s="15">
        <v>46089</v>
      </c>
      <c r="C166" s="5" t="s">
        <v>434</v>
      </c>
      <c r="D166" s="16">
        <v>46090.252083333333</v>
      </c>
      <c r="E166" s="4" t="s">
        <v>17</v>
      </c>
      <c r="F166" s="4" t="s">
        <v>433</v>
      </c>
      <c r="G166" s="4" t="s">
        <v>2640</v>
      </c>
      <c r="H166" s="6" t="s">
        <v>437</v>
      </c>
      <c r="I166" s="6" t="s">
        <v>2807</v>
      </c>
    </row>
    <row r="167" spans="1:9">
      <c r="A167" s="7" t="s">
        <v>432</v>
      </c>
      <c r="B167" s="15">
        <v>46089</v>
      </c>
      <c r="C167" s="5" t="s">
        <v>434</v>
      </c>
      <c r="D167" s="16">
        <v>46090.425000000003</v>
      </c>
      <c r="E167" s="4" t="s">
        <v>26</v>
      </c>
      <c r="F167" s="4" t="s">
        <v>2643</v>
      </c>
      <c r="G167" s="4" t="s">
        <v>2644</v>
      </c>
      <c r="H167" s="6" t="s">
        <v>437</v>
      </c>
      <c r="I167" s="6" t="s">
        <v>2808</v>
      </c>
    </row>
    <row r="168" spans="1:9" ht="30">
      <c r="A168" s="7" t="s">
        <v>432</v>
      </c>
      <c r="B168" s="15">
        <v>46089</v>
      </c>
      <c r="C168" s="5" t="s">
        <v>434</v>
      </c>
      <c r="D168" s="16">
        <v>46092.3</v>
      </c>
      <c r="E168" s="4" t="s">
        <v>33</v>
      </c>
      <c r="F168" s="4" t="s">
        <v>2643</v>
      </c>
      <c r="G168" s="4" t="s">
        <v>2648</v>
      </c>
      <c r="H168" s="6" t="s">
        <v>437</v>
      </c>
      <c r="I168" s="6" t="s">
        <v>2809</v>
      </c>
    </row>
    <row r="169" spans="1:9" ht="30">
      <c r="A169" s="7" t="s">
        <v>438</v>
      </c>
      <c r="B169" s="15">
        <v>46123</v>
      </c>
      <c r="C169" s="5" t="s">
        <v>440</v>
      </c>
      <c r="D169" s="16">
        <v>46124.298611111109</v>
      </c>
      <c r="E169" s="4" t="s">
        <v>17</v>
      </c>
      <c r="F169" s="4" t="s">
        <v>439</v>
      </c>
      <c r="G169" s="4" t="s">
        <v>2640</v>
      </c>
      <c r="H169" s="6" t="s">
        <v>443</v>
      </c>
      <c r="I169" s="6" t="s">
        <v>2810</v>
      </c>
    </row>
    <row r="170" spans="1:9">
      <c r="A170" s="7" t="s">
        <v>438</v>
      </c>
      <c r="B170" s="15">
        <v>46123</v>
      </c>
      <c r="C170" s="5" t="s">
        <v>440</v>
      </c>
      <c r="D170" s="16">
        <v>46124.472222222219</v>
      </c>
      <c r="E170" s="4" t="s">
        <v>26</v>
      </c>
      <c r="F170" s="4" t="s">
        <v>2643</v>
      </c>
      <c r="G170" s="4" t="s">
        <v>2644</v>
      </c>
      <c r="H170" s="6" t="s">
        <v>443</v>
      </c>
      <c r="I170" s="6" t="s">
        <v>2811</v>
      </c>
    </row>
    <row r="171" spans="1:9" ht="30">
      <c r="A171" s="7" t="s">
        <v>438</v>
      </c>
      <c r="B171" s="15">
        <v>46123</v>
      </c>
      <c r="C171" s="5" t="s">
        <v>440</v>
      </c>
      <c r="D171" s="16">
        <v>46125.347222222219</v>
      </c>
      <c r="E171" s="4" t="s">
        <v>48</v>
      </c>
      <c r="F171" s="4" t="s">
        <v>2643</v>
      </c>
      <c r="G171" s="4" t="s">
        <v>2655</v>
      </c>
      <c r="H171" s="6" t="s">
        <v>443</v>
      </c>
      <c r="I171" s="6" t="s">
        <v>2812</v>
      </c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3"/>
  <sheetViews>
    <sheetView showGridLines="0" zoomScale="150" zoomScaleNormal="100" workbookViewId="0">
      <pane xSplit="1" ySplit="3" topLeftCell="B4" activePane="bottomRight" state="frozen"/>
      <selection pane="topRight"/>
      <selection pane="bottomLeft"/>
      <selection pane="bottomRight" activeCell="A2" sqref="A2:E2"/>
    </sheetView>
  </sheetViews>
  <sheetFormatPr baseColWidth="10" defaultColWidth="8.83203125" defaultRowHeight="15"/>
  <cols>
    <col min="1" max="1" width="38" customWidth="1"/>
    <col min="2" max="2" width="20" customWidth="1"/>
    <col min="3" max="4" width="14" customWidth="1"/>
    <col min="5" max="5" width="18" customWidth="1"/>
    <col min="7" max="7" width="24" customWidth="1"/>
    <col min="8" max="8" width="38" customWidth="1"/>
  </cols>
  <sheetData>
    <row r="1" spans="1:8" ht="30" customHeight="1">
      <c r="A1" s="38" t="s">
        <v>2813</v>
      </c>
      <c r="B1" s="38"/>
      <c r="C1" s="38"/>
      <c r="D1" s="38"/>
      <c r="E1" s="38"/>
      <c r="G1" s="39" t="s">
        <v>2814</v>
      </c>
      <c r="H1" s="39"/>
    </row>
    <row r="2" spans="1:8" ht="28" customHeight="1">
      <c r="A2" s="30" t="s">
        <v>3100</v>
      </c>
      <c r="B2" s="30"/>
      <c r="C2" s="30"/>
      <c r="D2" s="30"/>
      <c r="E2" s="30"/>
      <c r="G2" s="30" t="s">
        <v>3099</v>
      </c>
      <c r="H2" s="30"/>
    </row>
    <row r="3" spans="1:8" ht="34" customHeight="1">
      <c r="A3" s="1" t="s">
        <v>1</v>
      </c>
      <c r="B3" s="2" t="s">
        <v>11</v>
      </c>
      <c r="C3" s="2" t="s">
        <v>2815</v>
      </c>
      <c r="D3" s="2" t="s">
        <v>2816</v>
      </c>
      <c r="E3" s="3" t="s">
        <v>12</v>
      </c>
      <c r="G3" s="18" t="s">
        <v>2817</v>
      </c>
      <c r="H3" s="18" t="s">
        <v>2818</v>
      </c>
    </row>
    <row r="4" spans="1:8">
      <c r="A4" s="10" t="s">
        <v>16</v>
      </c>
      <c r="B4" s="6" t="s">
        <v>20</v>
      </c>
      <c r="C4" s="17" t="b">
        <v>1</v>
      </c>
      <c r="D4" s="13">
        <v>1</v>
      </c>
      <c r="E4" s="6" t="s">
        <v>21</v>
      </c>
      <c r="G4" s="19" t="s">
        <v>2819</v>
      </c>
      <c r="H4" s="20" t="s">
        <v>2820</v>
      </c>
    </row>
    <row r="5" spans="1:8">
      <c r="A5" s="10" t="s">
        <v>25</v>
      </c>
      <c r="B5" s="6" t="s">
        <v>29</v>
      </c>
      <c r="C5" s="17" t="b">
        <v>1</v>
      </c>
      <c r="D5" s="13">
        <v>2</v>
      </c>
      <c r="E5" s="6" t="s">
        <v>30</v>
      </c>
    </row>
    <row r="6" spans="1:8">
      <c r="A6" s="10" t="s">
        <v>32</v>
      </c>
      <c r="B6" s="6" t="s">
        <v>37</v>
      </c>
      <c r="C6" s="17" t="b">
        <v>1</v>
      </c>
      <c r="D6" s="13">
        <v>3</v>
      </c>
      <c r="E6" s="6" t="s">
        <v>38</v>
      </c>
    </row>
    <row r="7" spans="1:8">
      <c r="A7" s="10" t="s">
        <v>40</v>
      </c>
      <c r="B7" s="6" t="s">
        <v>44</v>
      </c>
      <c r="C7" s="17" t="b">
        <v>1</v>
      </c>
      <c r="D7" s="13">
        <v>4</v>
      </c>
      <c r="E7" s="6" t="s">
        <v>45</v>
      </c>
    </row>
    <row r="8" spans="1:8">
      <c r="A8" s="10" t="s">
        <v>47</v>
      </c>
      <c r="B8" s="6" t="s">
        <v>51</v>
      </c>
      <c r="C8" s="17" t="b">
        <v>1</v>
      </c>
      <c r="D8" s="13">
        <v>5</v>
      </c>
      <c r="E8" s="6" t="s">
        <v>52</v>
      </c>
    </row>
    <row r="9" spans="1:8">
      <c r="A9" s="10" t="s">
        <v>54</v>
      </c>
      <c r="B9" s="6" t="s">
        <v>57</v>
      </c>
      <c r="C9" s="17" t="b">
        <v>1</v>
      </c>
      <c r="D9" s="13">
        <v>6</v>
      </c>
      <c r="E9" s="6" t="s">
        <v>58</v>
      </c>
    </row>
    <row r="10" spans="1:8">
      <c r="A10" s="10" t="s">
        <v>60</v>
      </c>
      <c r="B10" s="6" t="s">
        <v>63</v>
      </c>
      <c r="C10" s="17" t="b">
        <v>1</v>
      </c>
      <c r="D10" s="13">
        <v>7</v>
      </c>
      <c r="E10" s="6" t="s">
        <v>64</v>
      </c>
    </row>
    <row r="11" spans="1:8">
      <c r="A11" s="10" t="s">
        <v>66</v>
      </c>
      <c r="B11" s="6" t="s">
        <v>69</v>
      </c>
      <c r="C11" s="17" t="b">
        <v>1</v>
      </c>
      <c r="D11" s="13">
        <v>8</v>
      </c>
      <c r="E11" s="6" t="s">
        <v>70</v>
      </c>
    </row>
    <row r="12" spans="1:8">
      <c r="A12" s="10" t="s">
        <v>72</v>
      </c>
      <c r="B12" s="6" t="s">
        <v>75</v>
      </c>
      <c r="C12" s="17" t="b">
        <v>1</v>
      </c>
      <c r="D12" s="13">
        <v>9</v>
      </c>
      <c r="E12" s="6" t="s">
        <v>76</v>
      </c>
    </row>
    <row r="13" spans="1:8">
      <c r="A13" s="10" t="s">
        <v>78</v>
      </c>
      <c r="B13" s="6" t="s">
        <v>81</v>
      </c>
      <c r="C13" s="17" t="b">
        <v>1</v>
      </c>
      <c r="D13" s="13">
        <v>10</v>
      </c>
      <c r="E13" s="6" t="s">
        <v>82</v>
      </c>
    </row>
    <row r="14" spans="1:8">
      <c r="A14" s="10" t="s">
        <v>84</v>
      </c>
      <c r="B14" s="6" t="s">
        <v>87</v>
      </c>
      <c r="C14" s="17" t="b">
        <v>1</v>
      </c>
      <c r="D14" s="13">
        <v>11</v>
      </c>
      <c r="E14" s="6" t="s">
        <v>88</v>
      </c>
    </row>
    <row r="15" spans="1:8">
      <c r="A15" s="10" t="s">
        <v>90</v>
      </c>
      <c r="B15" s="6" t="s">
        <v>93</v>
      </c>
      <c r="C15" s="17" t="b">
        <v>1</v>
      </c>
      <c r="D15" s="13">
        <v>12</v>
      </c>
      <c r="E15" s="6" t="s">
        <v>94</v>
      </c>
    </row>
    <row r="16" spans="1:8">
      <c r="A16" s="10" t="s">
        <v>96</v>
      </c>
      <c r="B16" s="6" t="s">
        <v>99</v>
      </c>
      <c r="C16" s="17" t="b">
        <v>1</v>
      </c>
      <c r="D16" s="13">
        <v>13</v>
      </c>
      <c r="E16" s="6" t="s">
        <v>100</v>
      </c>
    </row>
    <row r="17" spans="1:5">
      <c r="A17" s="10" t="s">
        <v>102</v>
      </c>
      <c r="B17" s="6" t="s">
        <v>105</v>
      </c>
      <c r="C17" s="17" t="b">
        <v>1</v>
      </c>
      <c r="D17" s="13">
        <v>14</v>
      </c>
      <c r="E17" s="6" t="s">
        <v>106</v>
      </c>
    </row>
    <row r="18" spans="1:5">
      <c r="A18" s="10" t="s">
        <v>108</v>
      </c>
      <c r="B18" s="6" t="s">
        <v>111</v>
      </c>
      <c r="C18" s="17" t="b">
        <v>1</v>
      </c>
      <c r="D18" s="13">
        <v>15</v>
      </c>
      <c r="E18" s="6" t="s">
        <v>112</v>
      </c>
    </row>
    <row r="19" spans="1:5">
      <c r="A19" s="10" t="s">
        <v>114</v>
      </c>
      <c r="B19" s="6" t="s">
        <v>117</v>
      </c>
      <c r="C19" s="17" t="b">
        <v>1</v>
      </c>
      <c r="D19" s="13">
        <v>16</v>
      </c>
      <c r="E19" s="6" t="s">
        <v>118</v>
      </c>
    </row>
    <row r="20" spans="1:5">
      <c r="A20" s="10" t="s">
        <v>120</v>
      </c>
      <c r="B20" s="6" t="s">
        <v>123</v>
      </c>
      <c r="C20" s="17" t="b">
        <v>1</v>
      </c>
      <c r="D20" s="13">
        <v>17</v>
      </c>
      <c r="E20" s="6" t="s">
        <v>124</v>
      </c>
    </row>
    <row r="21" spans="1:5">
      <c r="A21" s="10" t="s">
        <v>126</v>
      </c>
      <c r="B21" s="6" t="s">
        <v>129</v>
      </c>
      <c r="C21" s="17" t="b">
        <v>1</v>
      </c>
      <c r="D21" s="13">
        <v>18</v>
      </c>
      <c r="E21" s="6" t="s">
        <v>130</v>
      </c>
    </row>
    <row r="22" spans="1:5">
      <c r="A22" s="10" t="s">
        <v>132</v>
      </c>
      <c r="B22" s="6" t="s">
        <v>135</v>
      </c>
      <c r="C22" s="17" t="b">
        <v>1</v>
      </c>
      <c r="D22" s="13">
        <v>19</v>
      </c>
      <c r="E22" s="6" t="s">
        <v>136</v>
      </c>
    </row>
    <row r="23" spans="1:5">
      <c r="A23" s="10" t="s">
        <v>138</v>
      </c>
      <c r="B23" s="6" t="s">
        <v>141</v>
      </c>
      <c r="C23" s="17" t="b">
        <v>1</v>
      </c>
      <c r="D23" s="13">
        <v>20</v>
      </c>
      <c r="E23" s="6" t="s">
        <v>142</v>
      </c>
    </row>
    <row r="24" spans="1:5">
      <c r="A24" s="10" t="s">
        <v>144</v>
      </c>
      <c r="B24" s="6" t="s">
        <v>147</v>
      </c>
      <c r="C24" s="17" t="b">
        <v>1</v>
      </c>
      <c r="D24" s="13">
        <v>21</v>
      </c>
      <c r="E24" s="6" t="s">
        <v>148</v>
      </c>
    </row>
    <row r="25" spans="1:5">
      <c r="A25" s="10" t="s">
        <v>150</v>
      </c>
      <c r="B25" s="6" t="s">
        <v>153</v>
      </c>
      <c r="C25" s="17" t="b">
        <v>1</v>
      </c>
      <c r="D25" s="13">
        <v>22</v>
      </c>
      <c r="E25" s="6" t="s">
        <v>154</v>
      </c>
    </row>
    <row r="26" spans="1:5">
      <c r="A26" s="10" t="s">
        <v>156</v>
      </c>
      <c r="B26" s="6" t="s">
        <v>159</v>
      </c>
      <c r="C26" s="17" t="b">
        <v>1</v>
      </c>
      <c r="D26" s="13">
        <v>23</v>
      </c>
      <c r="E26" s="6" t="s">
        <v>160</v>
      </c>
    </row>
    <row r="27" spans="1:5">
      <c r="A27" s="10" t="s">
        <v>162</v>
      </c>
      <c r="B27" s="6" t="s">
        <v>165</v>
      </c>
      <c r="C27" s="17" t="b">
        <v>1</v>
      </c>
      <c r="D27" s="13">
        <v>24</v>
      </c>
      <c r="E27" s="6" t="s">
        <v>166</v>
      </c>
    </row>
    <row r="28" spans="1:5">
      <c r="A28" s="10" t="s">
        <v>168</v>
      </c>
      <c r="B28" s="6" t="s">
        <v>171</v>
      </c>
      <c r="C28" s="17" t="b">
        <v>1</v>
      </c>
      <c r="D28" s="13">
        <v>25</v>
      </c>
      <c r="E28" s="6" t="s">
        <v>172</v>
      </c>
    </row>
    <row r="29" spans="1:5">
      <c r="A29" s="10" t="s">
        <v>174</v>
      </c>
      <c r="B29" s="6" t="s">
        <v>177</v>
      </c>
      <c r="C29" s="17" t="b">
        <v>1</v>
      </c>
      <c r="D29" s="13">
        <v>26</v>
      </c>
      <c r="E29" s="6" t="s">
        <v>178</v>
      </c>
    </row>
    <row r="30" spans="1:5">
      <c r="A30" s="10" t="s">
        <v>180</v>
      </c>
      <c r="B30" s="6" t="s">
        <v>183</v>
      </c>
      <c r="C30" s="17" t="b">
        <v>1</v>
      </c>
      <c r="D30" s="13">
        <v>27</v>
      </c>
      <c r="E30" s="6" t="s">
        <v>184</v>
      </c>
    </row>
    <row r="31" spans="1:5">
      <c r="A31" s="10" t="s">
        <v>186</v>
      </c>
      <c r="B31" s="6" t="s">
        <v>189</v>
      </c>
      <c r="C31" s="17" t="b">
        <v>1</v>
      </c>
      <c r="D31" s="13">
        <v>28</v>
      </c>
      <c r="E31" s="6" t="s">
        <v>190</v>
      </c>
    </row>
    <row r="32" spans="1:5">
      <c r="A32" s="10" t="s">
        <v>192</v>
      </c>
      <c r="B32" s="6" t="s">
        <v>195</v>
      </c>
      <c r="C32" s="17" t="b">
        <v>1</v>
      </c>
      <c r="D32" s="13">
        <v>29</v>
      </c>
      <c r="E32" s="6" t="s">
        <v>196</v>
      </c>
    </row>
    <row r="33" spans="1:5">
      <c r="A33" s="10" t="s">
        <v>198</v>
      </c>
      <c r="B33" s="6" t="s">
        <v>201</v>
      </c>
      <c r="C33" s="17" t="b">
        <v>1</v>
      </c>
      <c r="D33" s="13">
        <v>30</v>
      </c>
      <c r="E33" s="6" t="s">
        <v>202</v>
      </c>
    </row>
    <row r="34" spans="1:5">
      <c r="A34" s="10" t="s">
        <v>204</v>
      </c>
      <c r="B34" s="6" t="s">
        <v>207</v>
      </c>
      <c r="C34" s="17" t="b">
        <v>1</v>
      </c>
      <c r="D34" s="13">
        <v>31</v>
      </c>
      <c r="E34" s="6" t="s">
        <v>208</v>
      </c>
    </row>
    <row r="35" spans="1:5">
      <c r="A35" s="10" t="s">
        <v>210</v>
      </c>
      <c r="B35" s="6" t="s">
        <v>213</v>
      </c>
      <c r="C35" s="17" t="b">
        <v>1</v>
      </c>
      <c r="D35" s="13">
        <v>32</v>
      </c>
      <c r="E35" s="6" t="s">
        <v>214</v>
      </c>
    </row>
    <row r="36" spans="1:5">
      <c r="A36" s="10" t="s">
        <v>216</v>
      </c>
      <c r="B36" s="6" t="s">
        <v>219</v>
      </c>
      <c r="C36" s="17" t="b">
        <v>1</v>
      </c>
      <c r="D36" s="13">
        <v>33</v>
      </c>
      <c r="E36" s="6" t="s">
        <v>220</v>
      </c>
    </row>
    <row r="37" spans="1:5">
      <c r="A37" s="10" t="s">
        <v>222</v>
      </c>
      <c r="B37" s="6" t="s">
        <v>225</v>
      </c>
      <c r="C37" s="17" t="b">
        <v>1</v>
      </c>
      <c r="D37" s="13">
        <v>34</v>
      </c>
      <c r="E37" s="6" t="s">
        <v>226</v>
      </c>
    </row>
    <row r="38" spans="1:5">
      <c r="A38" s="10" t="s">
        <v>228</v>
      </c>
      <c r="B38" s="6" t="s">
        <v>231</v>
      </c>
      <c r="C38" s="17" t="b">
        <v>1</v>
      </c>
      <c r="D38" s="13">
        <v>35</v>
      </c>
      <c r="E38" s="6" t="s">
        <v>232</v>
      </c>
    </row>
    <row r="39" spans="1:5">
      <c r="A39" s="10" t="s">
        <v>234</v>
      </c>
      <c r="B39" s="6" t="s">
        <v>237</v>
      </c>
      <c r="C39" s="17" t="b">
        <v>1</v>
      </c>
      <c r="D39" s="13">
        <v>36</v>
      </c>
      <c r="E39" s="6" t="s">
        <v>238</v>
      </c>
    </row>
    <row r="40" spans="1:5">
      <c r="A40" s="10" t="s">
        <v>240</v>
      </c>
      <c r="B40" s="6" t="s">
        <v>243</v>
      </c>
      <c r="C40" s="17" t="b">
        <v>1</v>
      </c>
      <c r="D40" s="13">
        <v>37</v>
      </c>
      <c r="E40" s="6" t="s">
        <v>244</v>
      </c>
    </row>
    <row r="41" spans="1:5">
      <c r="A41" s="10" t="s">
        <v>246</v>
      </c>
      <c r="B41" s="6" t="s">
        <v>249</v>
      </c>
      <c r="C41" s="17" t="b">
        <v>1</v>
      </c>
      <c r="D41" s="13">
        <v>38</v>
      </c>
      <c r="E41" s="6" t="s">
        <v>250</v>
      </c>
    </row>
    <row r="42" spans="1:5">
      <c r="A42" s="10" t="s">
        <v>252</v>
      </c>
      <c r="B42" s="6" t="s">
        <v>255</v>
      </c>
      <c r="C42" s="17" t="b">
        <v>1</v>
      </c>
      <c r="D42" s="13">
        <v>39</v>
      </c>
      <c r="E42" s="6" t="s">
        <v>256</v>
      </c>
    </row>
    <row r="43" spans="1:5">
      <c r="A43" s="10" t="s">
        <v>258</v>
      </c>
      <c r="B43" s="6" t="s">
        <v>261</v>
      </c>
      <c r="C43" s="17" t="b">
        <v>1</v>
      </c>
      <c r="D43" s="13">
        <v>40</v>
      </c>
      <c r="E43" s="6" t="s">
        <v>262</v>
      </c>
    </row>
    <row r="44" spans="1:5">
      <c r="A44" s="10" t="s">
        <v>264</v>
      </c>
      <c r="B44" s="6" t="s">
        <v>267</v>
      </c>
      <c r="C44" s="17" t="b">
        <v>1</v>
      </c>
      <c r="D44" s="13">
        <v>41</v>
      </c>
      <c r="E44" s="6" t="s">
        <v>268</v>
      </c>
    </row>
    <row r="45" spans="1:5">
      <c r="A45" s="10" t="s">
        <v>270</v>
      </c>
      <c r="B45" s="6" t="s">
        <v>273</v>
      </c>
      <c r="C45" s="17" t="b">
        <v>1</v>
      </c>
      <c r="D45" s="13">
        <v>42</v>
      </c>
      <c r="E45" s="6" t="s">
        <v>274</v>
      </c>
    </row>
    <row r="46" spans="1:5">
      <c r="A46" s="10" t="s">
        <v>276</v>
      </c>
      <c r="B46" s="6" t="s">
        <v>279</v>
      </c>
      <c r="C46" s="17" t="b">
        <v>1</v>
      </c>
      <c r="D46" s="13">
        <v>43</v>
      </c>
      <c r="E46" s="6" t="s">
        <v>280</v>
      </c>
    </row>
    <row r="47" spans="1:5">
      <c r="A47" s="10" t="s">
        <v>282</v>
      </c>
      <c r="B47" s="6" t="s">
        <v>285</v>
      </c>
      <c r="C47" s="17" t="b">
        <v>1</v>
      </c>
      <c r="D47" s="13">
        <v>44</v>
      </c>
      <c r="E47" s="6" t="s">
        <v>286</v>
      </c>
    </row>
    <row r="48" spans="1:5">
      <c r="A48" s="10" t="s">
        <v>288</v>
      </c>
      <c r="B48" s="6" t="s">
        <v>291</v>
      </c>
      <c r="C48" s="17" t="b">
        <v>1</v>
      </c>
      <c r="D48" s="13">
        <v>45</v>
      </c>
      <c r="E48" s="6" t="s">
        <v>292</v>
      </c>
    </row>
    <row r="49" spans="1:5">
      <c r="A49" s="10" t="s">
        <v>294</v>
      </c>
      <c r="B49" s="6" t="s">
        <v>297</v>
      </c>
      <c r="C49" s="17" t="b">
        <v>1</v>
      </c>
      <c r="D49" s="13">
        <v>46</v>
      </c>
      <c r="E49" s="6" t="s">
        <v>298</v>
      </c>
    </row>
    <row r="50" spans="1:5">
      <c r="A50" s="10" t="s">
        <v>300</v>
      </c>
      <c r="B50" s="6" t="s">
        <v>303</v>
      </c>
      <c r="C50" s="17" t="b">
        <v>1</v>
      </c>
      <c r="D50" s="13">
        <v>47</v>
      </c>
      <c r="E50" s="6" t="s">
        <v>304</v>
      </c>
    </row>
    <row r="51" spans="1:5">
      <c r="A51" s="10" t="s">
        <v>306</v>
      </c>
      <c r="B51" s="6" t="s">
        <v>309</v>
      </c>
      <c r="C51" s="17" t="b">
        <v>1</v>
      </c>
      <c r="D51" s="13">
        <v>48</v>
      </c>
      <c r="E51" s="6" t="s">
        <v>310</v>
      </c>
    </row>
    <row r="52" spans="1:5">
      <c r="A52" s="10" t="s">
        <v>312</v>
      </c>
      <c r="B52" s="6" t="s">
        <v>315</v>
      </c>
      <c r="C52" s="17" t="b">
        <v>1</v>
      </c>
      <c r="D52" s="13">
        <v>49</v>
      </c>
      <c r="E52" s="6" t="s">
        <v>316</v>
      </c>
    </row>
    <row r="53" spans="1:5">
      <c r="A53" s="10" t="s">
        <v>318</v>
      </c>
      <c r="B53" s="6" t="s">
        <v>321</v>
      </c>
      <c r="C53" s="17" t="b">
        <v>1</v>
      </c>
      <c r="D53" s="13">
        <v>50</v>
      </c>
      <c r="E53" s="6" t="s">
        <v>322</v>
      </c>
    </row>
    <row r="54" spans="1:5">
      <c r="A54" s="10" t="s">
        <v>324</v>
      </c>
      <c r="B54" s="6" t="s">
        <v>327</v>
      </c>
      <c r="C54" s="17" t="b">
        <v>1</v>
      </c>
      <c r="D54" s="13">
        <v>51</v>
      </c>
      <c r="E54" s="6" t="s">
        <v>328</v>
      </c>
    </row>
    <row r="55" spans="1:5">
      <c r="A55" s="10" t="s">
        <v>330</v>
      </c>
      <c r="B55" s="6" t="s">
        <v>333</v>
      </c>
      <c r="C55" s="17" t="b">
        <v>1</v>
      </c>
      <c r="D55" s="13">
        <v>52</v>
      </c>
      <c r="E55" s="6" t="s">
        <v>334</v>
      </c>
    </row>
    <row r="56" spans="1:5">
      <c r="A56" s="10" t="s">
        <v>336</v>
      </c>
      <c r="B56" s="6" t="s">
        <v>339</v>
      </c>
      <c r="C56" s="17" t="b">
        <v>1</v>
      </c>
      <c r="D56" s="13">
        <v>53</v>
      </c>
      <c r="E56" s="6" t="s">
        <v>340</v>
      </c>
    </row>
    <row r="57" spans="1:5">
      <c r="A57" s="10" t="s">
        <v>342</v>
      </c>
      <c r="B57" s="6" t="s">
        <v>345</v>
      </c>
      <c r="C57" s="17" t="b">
        <v>1</v>
      </c>
      <c r="D57" s="13">
        <v>54</v>
      </c>
      <c r="E57" s="6" t="s">
        <v>346</v>
      </c>
    </row>
    <row r="58" spans="1:5">
      <c r="A58" s="10" t="s">
        <v>348</v>
      </c>
      <c r="B58" s="6" t="s">
        <v>351</v>
      </c>
      <c r="C58" s="17" t="b">
        <v>1</v>
      </c>
      <c r="D58" s="13">
        <v>55</v>
      </c>
      <c r="E58" s="6" t="s">
        <v>352</v>
      </c>
    </row>
    <row r="59" spans="1:5">
      <c r="A59" s="10" t="s">
        <v>354</v>
      </c>
      <c r="B59" s="6" t="s">
        <v>357</v>
      </c>
      <c r="C59" s="17" t="b">
        <v>1</v>
      </c>
      <c r="D59" s="13">
        <v>56</v>
      </c>
      <c r="E59" s="6" t="s">
        <v>358</v>
      </c>
    </row>
    <row r="60" spans="1:5">
      <c r="A60" s="10" t="s">
        <v>360</v>
      </c>
      <c r="B60" s="6" t="s">
        <v>363</v>
      </c>
      <c r="C60" s="17" t="b">
        <v>1</v>
      </c>
      <c r="D60" s="13">
        <v>57</v>
      </c>
      <c r="E60" s="6" t="s">
        <v>364</v>
      </c>
    </row>
    <row r="61" spans="1:5">
      <c r="A61" s="10" t="s">
        <v>366</v>
      </c>
      <c r="B61" s="6" t="s">
        <v>369</v>
      </c>
      <c r="C61" s="17" t="b">
        <v>1</v>
      </c>
      <c r="D61" s="13">
        <v>58</v>
      </c>
      <c r="E61" s="6" t="s">
        <v>370</v>
      </c>
    </row>
    <row r="62" spans="1:5">
      <c r="A62" s="10" t="s">
        <v>372</v>
      </c>
      <c r="B62" s="6" t="s">
        <v>375</v>
      </c>
      <c r="C62" s="17" t="b">
        <v>1</v>
      </c>
      <c r="D62" s="13">
        <v>59</v>
      </c>
      <c r="E62" s="6" t="s">
        <v>376</v>
      </c>
    </row>
    <row r="63" spans="1:5">
      <c r="A63" s="10" t="s">
        <v>384</v>
      </c>
      <c r="B63" s="6" t="s">
        <v>387</v>
      </c>
      <c r="C63" s="17" t="b">
        <v>1</v>
      </c>
      <c r="D63" s="13">
        <v>60</v>
      </c>
      <c r="E63" s="6" t="s">
        <v>388</v>
      </c>
    </row>
    <row r="64" spans="1:5">
      <c r="A64" s="10" t="s">
        <v>390</v>
      </c>
      <c r="B64" s="6" t="s">
        <v>393</v>
      </c>
      <c r="C64" s="17" t="b">
        <v>1</v>
      </c>
      <c r="D64" s="13">
        <v>61</v>
      </c>
      <c r="E64" s="6" t="s">
        <v>394</v>
      </c>
    </row>
    <row r="65" spans="1:5">
      <c r="A65" s="10" t="s">
        <v>396</v>
      </c>
      <c r="B65" s="6" t="s">
        <v>399</v>
      </c>
      <c r="C65" s="17" t="b">
        <v>1</v>
      </c>
      <c r="D65" s="13">
        <v>62</v>
      </c>
      <c r="E65" s="6" t="s">
        <v>400</v>
      </c>
    </row>
    <row r="66" spans="1:5">
      <c r="A66" s="10" t="s">
        <v>402</v>
      </c>
      <c r="B66" s="6" t="s">
        <v>405</v>
      </c>
      <c r="C66" s="17" t="b">
        <v>1</v>
      </c>
      <c r="D66" s="13">
        <v>63</v>
      </c>
      <c r="E66" s="6" t="s">
        <v>406</v>
      </c>
    </row>
    <row r="67" spans="1:5">
      <c r="A67" s="10" t="s">
        <v>408</v>
      </c>
      <c r="B67" s="6" t="s">
        <v>411</v>
      </c>
      <c r="C67" s="17" t="b">
        <v>1</v>
      </c>
      <c r="D67" s="13">
        <v>64</v>
      </c>
      <c r="E67" s="6" t="s">
        <v>412</v>
      </c>
    </row>
    <row r="68" spans="1:5">
      <c r="A68" s="10" t="s">
        <v>414</v>
      </c>
      <c r="B68" s="6" t="s">
        <v>417</v>
      </c>
      <c r="C68" s="17" t="b">
        <v>1</v>
      </c>
      <c r="D68" s="13">
        <v>65</v>
      </c>
      <c r="E68" s="6" t="s">
        <v>418</v>
      </c>
    </row>
    <row r="69" spans="1:5">
      <c r="A69" s="10" t="s">
        <v>420</v>
      </c>
      <c r="B69" s="6" t="s">
        <v>423</v>
      </c>
      <c r="C69" s="17" t="b">
        <v>1</v>
      </c>
      <c r="D69" s="13">
        <v>66</v>
      </c>
      <c r="E69" s="6" t="s">
        <v>424</v>
      </c>
    </row>
    <row r="70" spans="1:5">
      <c r="A70" s="10" t="s">
        <v>426</v>
      </c>
      <c r="B70" s="6" t="s">
        <v>429</v>
      </c>
      <c r="C70" s="17" t="b">
        <v>1</v>
      </c>
      <c r="D70" s="13">
        <v>67</v>
      </c>
      <c r="E70" s="6" t="s">
        <v>430</v>
      </c>
    </row>
    <row r="71" spans="1:5">
      <c r="A71" s="10" t="s">
        <v>378</v>
      </c>
      <c r="B71" s="6" t="s">
        <v>381</v>
      </c>
      <c r="C71" s="17" t="b">
        <v>1</v>
      </c>
      <c r="D71" s="13">
        <v>68</v>
      </c>
      <c r="E71" s="6" t="s">
        <v>382</v>
      </c>
    </row>
    <row r="72" spans="1:5">
      <c r="A72" s="10" t="s">
        <v>432</v>
      </c>
      <c r="B72" s="6" t="s">
        <v>435</v>
      </c>
      <c r="C72" s="17" t="b">
        <v>1</v>
      </c>
      <c r="D72" s="13">
        <v>69</v>
      </c>
      <c r="E72" s="6" t="s">
        <v>436</v>
      </c>
    </row>
    <row r="73" spans="1:5">
      <c r="A73" s="10" t="s">
        <v>438</v>
      </c>
      <c r="B73" s="6" t="s">
        <v>441</v>
      </c>
      <c r="C73" s="17" t="b">
        <v>1</v>
      </c>
      <c r="D73" s="13">
        <v>70</v>
      </c>
      <c r="E73" s="6" t="s">
        <v>442</v>
      </c>
    </row>
    <row r="74" spans="1:5">
      <c r="A74" s="10" t="s">
        <v>2821</v>
      </c>
      <c r="B74" s="6" t="s">
        <v>2822</v>
      </c>
      <c r="C74" s="17" t="b">
        <v>0</v>
      </c>
      <c r="D74" s="13">
        <v>71</v>
      </c>
      <c r="E74" s="6" t="s">
        <v>2823</v>
      </c>
    </row>
    <row r="75" spans="1:5">
      <c r="A75" s="10" t="s">
        <v>2824</v>
      </c>
      <c r="B75" s="6" t="s">
        <v>2825</v>
      </c>
      <c r="C75" s="17" t="b">
        <v>0</v>
      </c>
      <c r="D75" s="13">
        <v>72</v>
      </c>
      <c r="E75" s="6" t="s">
        <v>2826</v>
      </c>
    </row>
    <row r="76" spans="1:5">
      <c r="A76" s="10" t="s">
        <v>2827</v>
      </c>
      <c r="B76" s="6" t="s">
        <v>2828</v>
      </c>
      <c r="C76" s="17" t="b">
        <v>0</v>
      </c>
      <c r="D76" s="13">
        <v>73</v>
      </c>
      <c r="E76" s="6" t="s">
        <v>2829</v>
      </c>
    </row>
    <row r="77" spans="1:5">
      <c r="A77" s="10" t="s">
        <v>2830</v>
      </c>
      <c r="B77" s="6" t="s">
        <v>2831</v>
      </c>
      <c r="C77" s="17" t="b">
        <v>0</v>
      </c>
      <c r="D77" s="13">
        <v>74</v>
      </c>
      <c r="E77" s="6" t="s">
        <v>2832</v>
      </c>
    </row>
    <row r="78" spans="1:5">
      <c r="A78" s="10" t="s">
        <v>2833</v>
      </c>
      <c r="B78" s="6" t="s">
        <v>2834</v>
      </c>
      <c r="C78" s="17" t="b">
        <v>0</v>
      </c>
      <c r="D78" s="13">
        <v>75</v>
      </c>
      <c r="E78" s="6" t="s">
        <v>2835</v>
      </c>
    </row>
    <row r="79" spans="1:5">
      <c r="A79" s="10" t="s">
        <v>2836</v>
      </c>
      <c r="B79" s="6" t="s">
        <v>2837</v>
      </c>
      <c r="C79" s="17" t="b">
        <v>0</v>
      </c>
      <c r="D79" s="13">
        <v>76</v>
      </c>
      <c r="E79" s="6" t="s">
        <v>2838</v>
      </c>
    </row>
    <row r="80" spans="1:5">
      <c r="A80" s="10" t="s">
        <v>2839</v>
      </c>
      <c r="B80" s="6" t="s">
        <v>2840</v>
      </c>
      <c r="C80" s="17" t="b">
        <v>0</v>
      </c>
      <c r="D80" s="13">
        <v>77</v>
      </c>
      <c r="E80" s="6" t="s">
        <v>2841</v>
      </c>
    </row>
    <row r="81" spans="1:5">
      <c r="A81" s="10" t="s">
        <v>2842</v>
      </c>
      <c r="B81" s="6" t="s">
        <v>2843</v>
      </c>
      <c r="C81" s="17" t="b">
        <v>0</v>
      </c>
      <c r="D81" s="13">
        <v>78</v>
      </c>
      <c r="E81" s="6" t="s">
        <v>2844</v>
      </c>
    </row>
    <row r="82" spans="1:5">
      <c r="A82" s="10" t="s">
        <v>2845</v>
      </c>
      <c r="B82" s="6" t="s">
        <v>2846</v>
      </c>
      <c r="C82" s="17" t="b">
        <v>0</v>
      </c>
      <c r="D82" s="13">
        <v>79</v>
      </c>
      <c r="E82" s="6" t="s">
        <v>2847</v>
      </c>
    </row>
    <row r="83" spans="1:5">
      <c r="A83" s="10" t="s">
        <v>2848</v>
      </c>
      <c r="B83" s="6" t="s">
        <v>2849</v>
      </c>
      <c r="C83" s="17" t="b">
        <v>0</v>
      </c>
      <c r="D83" s="13">
        <v>80</v>
      </c>
      <c r="E83" s="6" t="s">
        <v>2850</v>
      </c>
    </row>
    <row r="84" spans="1:5">
      <c r="A84" s="10" t="s">
        <v>2851</v>
      </c>
      <c r="B84" s="6" t="s">
        <v>2852</v>
      </c>
      <c r="C84" s="17" t="b">
        <v>0</v>
      </c>
      <c r="D84" s="13">
        <v>81</v>
      </c>
      <c r="E84" s="6" t="s">
        <v>2853</v>
      </c>
    </row>
    <row r="85" spans="1:5">
      <c r="A85" s="10" t="s">
        <v>2854</v>
      </c>
      <c r="B85" s="6" t="s">
        <v>2855</v>
      </c>
      <c r="C85" s="17" t="b">
        <v>0</v>
      </c>
      <c r="D85" s="13">
        <v>82</v>
      </c>
      <c r="E85" s="6" t="s">
        <v>2856</v>
      </c>
    </row>
    <row r="86" spans="1:5">
      <c r="A86" s="10" t="s">
        <v>2857</v>
      </c>
      <c r="B86" s="6" t="s">
        <v>2858</v>
      </c>
      <c r="C86" s="17" t="b">
        <v>0</v>
      </c>
      <c r="D86" s="13">
        <v>83</v>
      </c>
      <c r="E86" s="6" t="s">
        <v>2859</v>
      </c>
    </row>
    <row r="87" spans="1:5">
      <c r="A87" s="10" t="s">
        <v>2860</v>
      </c>
      <c r="B87" s="6" t="s">
        <v>2861</v>
      </c>
      <c r="C87" s="17" t="b">
        <v>0</v>
      </c>
      <c r="D87" s="13">
        <v>84</v>
      </c>
      <c r="E87" s="6" t="s">
        <v>2862</v>
      </c>
    </row>
    <row r="88" spans="1:5">
      <c r="A88" s="10" t="s">
        <v>2863</v>
      </c>
      <c r="B88" s="6" t="s">
        <v>2864</v>
      </c>
      <c r="C88" s="17" t="b">
        <v>0</v>
      </c>
      <c r="D88" s="13">
        <v>85</v>
      </c>
      <c r="E88" s="6" t="s">
        <v>2865</v>
      </c>
    </row>
    <row r="89" spans="1:5">
      <c r="A89" s="10" t="s">
        <v>2866</v>
      </c>
      <c r="B89" s="6" t="s">
        <v>2867</v>
      </c>
      <c r="C89" s="17" t="b">
        <v>0</v>
      </c>
      <c r="D89" s="13">
        <v>86</v>
      </c>
      <c r="E89" s="6" t="s">
        <v>2868</v>
      </c>
    </row>
    <row r="90" spans="1:5">
      <c r="A90" s="10" t="s">
        <v>2869</v>
      </c>
      <c r="B90" s="6" t="s">
        <v>2870</v>
      </c>
      <c r="C90" s="17" t="b">
        <v>0</v>
      </c>
      <c r="D90" s="13">
        <v>87</v>
      </c>
      <c r="E90" s="6" t="s">
        <v>2871</v>
      </c>
    </row>
    <row r="91" spans="1:5">
      <c r="A91" s="10" t="s">
        <v>2872</v>
      </c>
      <c r="B91" s="6" t="s">
        <v>2873</v>
      </c>
      <c r="C91" s="17" t="b">
        <v>0</v>
      </c>
      <c r="D91" s="13">
        <v>88</v>
      </c>
      <c r="E91" s="6" t="s">
        <v>2874</v>
      </c>
    </row>
    <row r="92" spans="1:5">
      <c r="A92" s="10" t="s">
        <v>2875</v>
      </c>
      <c r="B92" s="6" t="s">
        <v>2876</v>
      </c>
      <c r="C92" s="17" t="b">
        <v>0</v>
      </c>
      <c r="D92" s="13">
        <v>89</v>
      </c>
      <c r="E92" s="6" t="s">
        <v>2877</v>
      </c>
    </row>
    <row r="93" spans="1:5">
      <c r="A93" s="10" t="s">
        <v>2878</v>
      </c>
      <c r="B93" s="6" t="s">
        <v>2879</v>
      </c>
      <c r="C93" s="17" t="b">
        <v>0</v>
      </c>
      <c r="D93" s="13">
        <v>90</v>
      </c>
      <c r="E93" s="6" t="s">
        <v>2880</v>
      </c>
    </row>
    <row r="94" spans="1:5">
      <c r="A94" s="10" t="s">
        <v>2881</v>
      </c>
      <c r="B94" s="6" t="s">
        <v>2882</v>
      </c>
      <c r="C94" s="17" t="b">
        <v>0</v>
      </c>
      <c r="D94" s="13">
        <v>91</v>
      </c>
      <c r="E94" s="6" t="s">
        <v>2883</v>
      </c>
    </row>
    <row r="95" spans="1:5">
      <c r="A95" s="10" t="s">
        <v>2884</v>
      </c>
      <c r="B95" s="6" t="s">
        <v>2885</v>
      </c>
      <c r="C95" s="17" t="b">
        <v>0</v>
      </c>
      <c r="D95" s="13">
        <v>92</v>
      </c>
      <c r="E95" s="6" t="s">
        <v>2886</v>
      </c>
    </row>
    <row r="96" spans="1:5">
      <c r="A96" s="10" t="s">
        <v>2887</v>
      </c>
      <c r="B96" s="6" t="s">
        <v>2888</v>
      </c>
      <c r="C96" s="17" t="b">
        <v>0</v>
      </c>
      <c r="D96" s="13">
        <v>93</v>
      </c>
      <c r="E96" s="6" t="s">
        <v>2889</v>
      </c>
    </row>
    <row r="97" spans="1:5">
      <c r="A97" s="10" t="s">
        <v>2890</v>
      </c>
      <c r="B97" s="6" t="s">
        <v>2891</v>
      </c>
      <c r="C97" s="17" t="b">
        <v>0</v>
      </c>
      <c r="D97" s="13">
        <v>94</v>
      </c>
      <c r="E97" s="6" t="s">
        <v>2892</v>
      </c>
    </row>
    <row r="98" spans="1:5">
      <c r="A98" s="10" t="s">
        <v>2893</v>
      </c>
      <c r="B98" s="6" t="s">
        <v>2894</v>
      </c>
      <c r="C98" s="17" t="b">
        <v>0</v>
      </c>
      <c r="D98" s="13">
        <v>95</v>
      </c>
      <c r="E98" s="6" t="s">
        <v>2895</v>
      </c>
    </row>
    <row r="99" spans="1:5">
      <c r="A99" s="10" t="s">
        <v>2896</v>
      </c>
      <c r="B99" s="6" t="s">
        <v>2897</v>
      </c>
      <c r="C99" s="17" t="b">
        <v>0</v>
      </c>
      <c r="D99" s="13">
        <v>96</v>
      </c>
      <c r="E99" s="6" t="s">
        <v>2898</v>
      </c>
    </row>
    <row r="100" spans="1:5">
      <c r="A100" s="10" t="s">
        <v>2899</v>
      </c>
      <c r="B100" s="6" t="s">
        <v>2900</v>
      </c>
      <c r="C100" s="17" t="b">
        <v>0</v>
      </c>
      <c r="D100" s="13">
        <v>97</v>
      </c>
      <c r="E100" s="6" t="s">
        <v>2901</v>
      </c>
    </row>
    <row r="101" spans="1:5">
      <c r="A101" s="10" t="s">
        <v>2902</v>
      </c>
      <c r="B101" s="6" t="s">
        <v>2903</v>
      </c>
      <c r="C101" s="17" t="b">
        <v>0</v>
      </c>
      <c r="D101" s="13">
        <v>98</v>
      </c>
      <c r="E101" s="6" t="s">
        <v>2904</v>
      </c>
    </row>
    <row r="102" spans="1:5">
      <c r="A102" s="10" t="s">
        <v>2905</v>
      </c>
      <c r="B102" s="6" t="s">
        <v>2906</v>
      </c>
      <c r="C102" s="17" t="b">
        <v>0</v>
      </c>
      <c r="D102" s="13">
        <v>99</v>
      </c>
      <c r="E102" s="6" t="s">
        <v>2907</v>
      </c>
    </row>
    <row r="103" spans="1:5">
      <c r="A103" s="10" t="s">
        <v>2908</v>
      </c>
      <c r="B103" s="6" t="s">
        <v>2909</v>
      </c>
      <c r="C103" s="17" t="b">
        <v>0</v>
      </c>
      <c r="D103" s="13">
        <v>100</v>
      </c>
      <c r="E103" s="6" t="s">
        <v>2910</v>
      </c>
    </row>
    <row r="104" spans="1:5">
      <c r="A104" s="10" t="s">
        <v>2911</v>
      </c>
      <c r="B104" s="6" t="s">
        <v>2912</v>
      </c>
      <c r="C104" s="17" t="b">
        <v>0</v>
      </c>
      <c r="D104" s="13">
        <v>101</v>
      </c>
      <c r="E104" s="6" t="s">
        <v>2913</v>
      </c>
    </row>
    <row r="105" spans="1:5">
      <c r="A105" s="10" t="s">
        <v>2914</v>
      </c>
      <c r="B105" s="6" t="s">
        <v>2915</v>
      </c>
      <c r="C105" s="17" t="b">
        <v>0</v>
      </c>
      <c r="D105" s="13">
        <v>102</v>
      </c>
      <c r="E105" s="6" t="s">
        <v>2916</v>
      </c>
    </row>
    <row r="106" spans="1:5">
      <c r="A106" s="10" t="s">
        <v>2917</v>
      </c>
      <c r="B106" s="6" t="s">
        <v>2918</v>
      </c>
      <c r="C106" s="17" t="b">
        <v>0</v>
      </c>
      <c r="D106" s="13">
        <v>103</v>
      </c>
      <c r="E106" s="6" t="s">
        <v>2919</v>
      </c>
    </row>
    <row r="107" spans="1:5">
      <c r="A107" s="10" t="s">
        <v>2920</v>
      </c>
      <c r="B107" s="6" t="s">
        <v>2921</v>
      </c>
      <c r="C107" s="17" t="b">
        <v>0</v>
      </c>
      <c r="D107" s="13">
        <v>104</v>
      </c>
      <c r="E107" s="6" t="s">
        <v>2922</v>
      </c>
    </row>
    <row r="108" spans="1:5">
      <c r="A108" s="10" t="s">
        <v>2923</v>
      </c>
      <c r="B108" s="6" t="s">
        <v>2924</v>
      </c>
      <c r="C108" s="17" t="b">
        <v>0</v>
      </c>
      <c r="D108" s="13">
        <v>105</v>
      </c>
      <c r="E108" s="6" t="s">
        <v>2925</v>
      </c>
    </row>
    <row r="109" spans="1:5">
      <c r="A109" s="10" t="s">
        <v>2926</v>
      </c>
      <c r="B109" s="6" t="s">
        <v>2927</v>
      </c>
      <c r="C109" s="17" t="b">
        <v>0</v>
      </c>
      <c r="D109" s="13">
        <v>106</v>
      </c>
      <c r="E109" s="6" t="s">
        <v>2928</v>
      </c>
    </row>
    <row r="110" spans="1:5">
      <c r="A110" s="10" t="s">
        <v>2929</v>
      </c>
      <c r="B110" s="6" t="s">
        <v>2930</v>
      </c>
      <c r="C110" s="17" t="b">
        <v>0</v>
      </c>
      <c r="D110" s="13">
        <v>107</v>
      </c>
      <c r="E110" s="6" t="s">
        <v>2931</v>
      </c>
    </row>
    <row r="111" spans="1:5">
      <c r="A111" s="10" t="s">
        <v>2932</v>
      </c>
      <c r="B111" s="6" t="s">
        <v>2933</v>
      </c>
      <c r="C111" s="17" t="b">
        <v>0</v>
      </c>
      <c r="D111" s="13">
        <v>108</v>
      </c>
      <c r="E111" s="6" t="s">
        <v>2934</v>
      </c>
    </row>
    <row r="112" spans="1:5">
      <c r="A112" s="10" t="s">
        <v>2935</v>
      </c>
      <c r="B112" s="6" t="s">
        <v>2936</v>
      </c>
      <c r="C112" s="17" t="b">
        <v>0</v>
      </c>
      <c r="D112" s="13">
        <v>109</v>
      </c>
      <c r="E112" s="6" t="s">
        <v>2937</v>
      </c>
    </row>
    <row r="113" spans="1:5">
      <c r="A113" s="10" t="s">
        <v>2938</v>
      </c>
      <c r="B113" s="6" t="s">
        <v>2939</v>
      </c>
      <c r="C113" s="17" t="b">
        <v>0</v>
      </c>
      <c r="D113" s="13">
        <v>110</v>
      </c>
      <c r="E113" s="6" t="s">
        <v>2940</v>
      </c>
    </row>
    <row r="114" spans="1:5">
      <c r="A114" s="10" t="s">
        <v>2941</v>
      </c>
      <c r="B114" s="6" t="s">
        <v>2942</v>
      </c>
      <c r="C114" s="17" t="b">
        <v>0</v>
      </c>
      <c r="D114" s="13">
        <v>111</v>
      </c>
      <c r="E114" s="6" t="s">
        <v>2943</v>
      </c>
    </row>
    <row r="115" spans="1:5">
      <c r="A115" s="10" t="s">
        <v>2944</v>
      </c>
      <c r="B115" s="6" t="s">
        <v>2945</v>
      </c>
      <c r="C115" s="17" t="b">
        <v>0</v>
      </c>
      <c r="D115" s="13">
        <v>112</v>
      </c>
      <c r="E115" s="6" t="s">
        <v>2946</v>
      </c>
    </row>
    <row r="116" spans="1:5">
      <c r="A116" s="10" t="s">
        <v>2947</v>
      </c>
      <c r="B116" s="6" t="s">
        <v>2948</v>
      </c>
      <c r="C116" s="17" t="b">
        <v>0</v>
      </c>
      <c r="D116" s="13">
        <v>113</v>
      </c>
      <c r="E116" s="6" t="s">
        <v>2949</v>
      </c>
    </row>
    <row r="117" spans="1:5">
      <c r="A117" s="10" t="s">
        <v>2950</v>
      </c>
      <c r="B117" s="6" t="s">
        <v>2951</v>
      </c>
      <c r="C117" s="17" t="b">
        <v>0</v>
      </c>
      <c r="D117" s="13">
        <v>114</v>
      </c>
      <c r="E117" s="6" t="s">
        <v>2952</v>
      </c>
    </row>
    <row r="118" spans="1:5">
      <c r="A118" s="10" t="s">
        <v>2953</v>
      </c>
      <c r="B118" s="6" t="s">
        <v>2954</v>
      </c>
      <c r="C118" s="17" t="b">
        <v>0</v>
      </c>
      <c r="D118" s="13">
        <v>115</v>
      </c>
      <c r="E118" s="6" t="s">
        <v>2955</v>
      </c>
    </row>
    <row r="119" spans="1:5">
      <c r="A119" s="10" t="s">
        <v>2956</v>
      </c>
      <c r="B119" s="6" t="s">
        <v>2957</v>
      </c>
      <c r="C119" s="17" t="b">
        <v>0</v>
      </c>
      <c r="D119" s="13">
        <v>116</v>
      </c>
      <c r="E119" s="6" t="s">
        <v>2958</v>
      </c>
    </row>
    <row r="120" spans="1:5">
      <c r="A120" s="10" t="s">
        <v>2959</v>
      </c>
      <c r="B120" s="6" t="s">
        <v>2960</v>
      </c>
      <c r="C120" s="17" t="b">
        <v>0</v>
      </c>
      <c r="D120" s="13">
        <v>117</v>
      </c>
      <c r="E120" s="6" t="s">
        <v>2961</v>
      </c>
    </row>
    <row r="121" spans="1:5">
      <c r="A121" s="10" t="s">
        <v>2962</v>
      </c>
      <c r="B121" s="6" t="s">
        <v>2963</v>
      </c>
      <c r="C121" s="17" t="b">
        <v>0</v>
      </c>
      <c r="D121" s="13">
        <v>118</v>
      </c>
      <c r="E121" s="6" t="s">
        <v>2964</v>
      </c>
    </row>
    <row r="122" spans="1:5">
      <c r="A122" s="10" t="s">
        <v>2965</v>
      </c>
      <c r="B122" s="6" t="s">
        <v>2966</v>
      </c>
      <c r="C122" s="17" t="b">
        <v>0</v>
      </c>
      <c r="D122" s="13">
        <v>119</v>
      </c>
      <c r="E122" s="6" t="s">
        <v>2967</v>
      </c>
    </row>
    <row r="123" spans="1:5">
      <c r="A123" s="10" t="s">
        <v>2968</v>
      </c>
      <c r="B123" s="6" t="s">
        <v>2969</v>
      </c>
      <c r="C123" s="17" t="b">
        <v>0</v>
      </c>
      <c r="D123" s="13">
        <v>120</v>
      </c>
      <c r="E123" s="6" t="s">
        <v>2970</v>
      </c>
    </row>
    <row r="124" spans="1:5">
      <c r="A124" s="10" t="s">
        <v>2971</v>
      </c>
      <c r="B124" s="6" t="s">
        <v>2972</v>
      </c>
      <c r="C124" s="17" t="b">
        <v>0</v>
      </c>
      <c r="D124" s="13">
        <v>121</v>
      </c>
      <c r="E124" s="6" t="s">
        <v>2973</v>
      </c>
    </row>
    <row r="125" spans="1:5">
      <c r="A125" s="10" t="s">
        <v>2974</v>
      </c>
      <c r="B125" s="6" t="s">
        <v>2975</v>
      </c>
      <c r="C125" s="17" t="b">
        <v>0</v>
      </c>
      <c r="D125" s="13">
        <v>122</v>
      </c>
      <c r="E125" s="6" t="s">
        <v>2976</v>
      </c>
    </row>
    <row r="126" spans="1:5">
      <c r="A126" s="10" t="s">
        <v>2977</v>
      </c>
      <c r="B126" s="6" t="s">
        <v>2978</v>
      </c>
      <c r="C126" s="17" t="b">
        <v>0</v>
      </c>
      <c r="D126" s="13">
        <v>123</v>
      </c>
      <c r="E126" s="6" t="s">
        <v>2979</v>
      </c>
    </row>
    <row r="127" spans="1:5">
      <c r="A127" s="10" t="s">
        <v>2980</v>
      </c>
      <c r="B127" s="6" t="s">
        <v>2981</v>
      </c>
      <c r="C127" s="17" t="b">
        <v>0</v>
      </c>
      <c r="D127" s="13">
        <v>124</v>
      </c>
      <c r="E127" s="6" t="s">
        <v>2982</v>
      </c>
    </row>
    <row r="128" spans="1:5">
      <c r="A128" s="10" t="s">
        <v>2983</v>
      </c>
      <c r="B128" s="6" t="s">
        <v>2984</v>
      </c>
      <c r="C128" s="17" t="b">
        <v>0</v>
      </c>
      <c r="D128" s="13">
        <v>125</v>
      </c>
      <c r="E128" s="6" t="s">
        <v>2985</v>
      </c>
    </row>
    <row r="129" spans="1:5">
      <c r="A129" s="10" t="s">
        <v>2986</v>
      </c>
      <c r="B129" s="6" t="s">
        <v>2987</v>
      </c>
      <c r="C129" s="17" t="b">
        <v>0</v>
      </c>
      <c r="D129" s="13">
        <v>126</v>
      </c>
      <c r="E129" s="6" t="s">
        <v>2988</v>
      </c>
    </row>
    <row r="130" spans="1:5">
      <c r="A130" s="10" t="s">
        <v>2989</v>
      </c>
      <c r="B130" s="6" t="s">
        <v>2990</v>
      </c>
      <c r="C130" s="17" t="b">
        <v>0</v>
      </c>
      <c r="D130" s="13">
        <v>127</v>
      </c>
      <c r="E130" s="6" t="s">
        <v>2991</v>
      </c>
    </row>
    <row r="131" spans="1:5">
      <c r="A131" s="10" t="s">
        <v>2992</v>
      </c>
      <c r="B131" s="6" t="s">
        <v>2993</v>
      </c>
      <c r="C131" s="17" t="b">
        <v>0</v>
      </c>
      <c r="D131" s="13">
        <v>128</v>
      </c>
      <c r="E131" s="6" t="s">
        <v>2994</v>
      </c>
    </row>
    <row r="132" spans="1:5">
      <c r="A132" s="10" t="s">
        <v>2995</v>
      </c>
      <c r="B132" s="6" t="s">
        <v>2996</v>
      </c>
      <c r="C132" s="17" t="b">
        <v>0</v>
      </c>
      <c r="D132" s="13">
        <v>129</v>
      </c>
      <c r="E132" s="6" t="s">
        <v>2997</v>
      </c>
    </row>
    <row r="133" spans="1:5">
      <c r="A133" s="10" t="s">
        <v>2998</v>
      </c>
      <c r="B133" s="6" t="s">
        <v>2999</v>
      </c>
      <c r="C133" s="17" t="b">
        <v>0</v>
      </c>
      <c r="D133" s="13">
        <v>130</v>
      </c>
      <c r="E133" s="6" t="s">
        <v>3000</v>
      </c>
    </row>
    <row r="134" spans="1:5">
      <c r="A134" s="10" t="s">
        <v>3001</v>
      </c>
      <c r="B134" s="6" t="s">
        <v>3002</v>
      </c>
      <c r="C134" s="17" t="b">
        <v>0</v>
      </c>
      <c r="D134" s="13">
        <v>131</v>
      </c>
      <c r="E134" s="6" t="s">
        <v>3003</v>
      </c>
    </row>
    <row r="135" spans="1:5">
      <c r="A135" s="10" t="s">
        <v>3004</v>
      </c>
      <c r="B135" s="6" t="s">
        <v>3005</v>
      </c>
      <c r="C135" s="17" t="b">
        <v>0</v>
      </c>
      <c r="D135" s="13">
        <v>132</v>
      </c>
      <c r="E135" s="6" t="s">
        <v>3006</v>
      </c>
    </row>
    <row r="136" spans="1:5">
      <c r="A136" s="10" t="s">
        <v>3007</v>
      </c>
      <c r="B136" s="6" t="s">
        <v>3008</v>
      </c>
      <c r="C136" s="17" t="b">
        <v>0</v>
      </c>
      <c r="D136" s="13">
        <v>133</v>
      </c>
      <c r="E136" s="6" t="s">
        <v>3009</v>
      </c>
    </row>
    <row r="137" spans="1:5">
      <c r="A137" s="10" t="s">
        <v>3010</v>
      </c>
      <c r="B137" s="6" t="s">
        <v>3011</v>
      </c>
      <c r="C137" s="17" t="b">
        <v>0</v>
      </c>
      <c r="D137" s="13">
        <v>134</v>
      </c>
      <c r="E137" s="6" t="s">
        <v>3012</v>
      </c>
    </row>
    <row r="138" spans="1:5">
      <c r="A138" s="10" t="s">
        <v>3013</v>
      </c>
      <c r="B138" s="6" t="s">
        <v>3014</v>
      </c>
      <c r="C138" s="17" t="b">
        <v>0</v>
      </c>
      <c r="D138" s="13">
        <v>135</v>
      </c>
      <c r="E138" s="6" t="s">
        <v>3015</v>
      </c>
    </row>
    <row r="139" spans="1:5">
      <c r="A139" s="10" t="s">
        <v>3016</v>
      </c>
      <c r="B139" s="6" t="s">
        <v>3017</v>
      </c>
      <c r="C139" s="17" t="b">
        <v>0</v>
      </c>
      <c r="D139" s="13">
        <v>136</v>
      </c>
      <c r="E139" s="6" t="s">
        <v>3018</v>
      </c>
    </row>
    <row r="140" spans="1:5">
      <c r="A140" s="10" t="s">
        <v>3019</v>
      </c>
      <c r="B140" s="6" t="s">
        <v>3020</v>
      </c>
      <c r="C140" s="17" t="b">
        <v>0</v>
      </c>
      <c r="D140" s="13">
        <v>137</v>
      </c>
      <c r="E140" s="6" t="s">
        <v>3021</v>
      </c>
    </row>
    <row r="141" spans="1:5">
      <c r="A141" s="10" t="s">
        <v>3022</v>
      </c>
      <c r="B141" s="6" t="s">
        <v>3023</v>
      </c>
      <c r="C141" s="17" t="b">
        <v>0</v>
      </c>
      <c r="D141" s="13">
        <v>138</v>
      </c>
      <c r="E141" s="6" t="s">
        <v>3024</v>
      </c>
    </row>
    <row r="142" spans="1:5">
      <c r="A142" s="10" t="s">
        <v>3025</v>
      </c>
      <c r="B142" s="6" t="s">
        <v>3026</v>
      </c>
      <c r="C142" s="17" t="b">
        <v>0</v>
      </c>
      <c r="D142" s="13">
        <v>139</v>
      </c>
      <c r="E142" s="6" t="s">
        <v>3027</v>
      </c>
    </row>
    <row r="143" spans="1:5">
      <c r="A143" s="10" t="s">
        <v>3028</v>
      </c>
      <c r="B143" s="6" t="s">
        <v>3029</v>
      </c>
      <c r="C143" s="17" t="b">
        <v>0</v>
      </c>
      <c r="D143" s="13">
        <v>140</v>
      </c>
      <c r="E143" s="6" t="s">
        <v>3030</v>
      </c>
    </row>
    <row r="144" spans="1:5">
      <c r="A144" s="10" t="s">
        <v>3031</v>
      </c>
      <c r="B144" s="6" t="s">
        <v>3032</v>
      </c>
      <c r="C144" s="17" t="b">
        <v>0</v>
      </c>
      <c r="D144" s="13">
        <v>141</v>
      </c>
      <c r="E144" s="6" t="s">
        <v>3033</v>
      </c>
    </row>
    <row r="145" spans="1:5">
      <c r="A145" s="10" t="s">
        <v>3034</v>
      </c>
      <c r="B145" s="6" t="s">
        <v>3035</v>
      </c>
      <c r="C145" s="17" t="b">
        <v>0</v>
      </c>
      <c r="D145" s="13">
        <v>142</v>
      </c>
      <c r="E145" s="6" t="s">
        <v>3036</v>
      </c>
    </row>
    <row r="146" spans="1:5">
      <c r="A146" s="10" t="s">
        <v>3037</v>
      </c>
      <c r="B146" s="6" t="s">
        <v>3038</v>
      </c>
      <c r="C146" s="17" t="b">
        <v>0</v>
      </c>
      <c r="D146" s="13">
        <v>143</v>
      </c>
      <c r="E146" s="6" t="s">
        <v>3039</v>
      </c>
    </row>
    <row r="147" spans="1:5">
      <c r="A147" s="10" t="s">
        <v>3040</v>
      </c>
      <c r="B147" s="6" t="s">
        <v>3041</v>
      </c>
      <c r="C147" s="17" t="b">
        <v>0</v>
      </c>
      <c r="D147" s="13">
        <v>144</v>
      </c>
      <c r="E147" s="6" t="s">
        <v>3042</v>
      </c>
    </row>
    <row r="148" spans="1:5">
      <c r="A148" s="10" t="s">
        <v>3043</v>
      </c>
      <c r="B148" s="6" t="s">
        <v>3044</v>
      </c>
      <c r="C148" s="17" t="b">
        <v>0</v>
      </c>
      <c r="D148" s="13">
        <v>145</v>
      </c>
      <c r="E148" s="6" t="s">
        <v>3045</v>
      </c>
    </row>
    <row r="149" spans="1:5">
      <c r="A149" s="10" t="s">
        <v>3046</v>
      </c>
      <c r="B149" s="6" t="s">
        <v>3047</v>
      </c>
      <c r="C149" s="17" t="b">
        <v>0</v>
      </c>
      <c r="D149" s="13">
        <v>146</v>
      </c>
      <c r="E149" s="6" t="s">
        <v>3048</v>
      </c>
    </row>
    <row r="150" spans="1:5">
      <c r="A150" s="10" t="s">
        <v>3049</v>
      </c>
      <c r="B150" s="6" t="s">
        <v>3050</v>
      </c>
      <c r="C150" s="17" t="b">
        <v>0</v>
      </c>
      <c r="D150" s="13">
        <v>147</v>
      </c>
      <c r="E150" s="6" t="s">
        <v>3051</v>
      </c>
    </row>
    <row r="151" spans="1:5">
      <c r="A151" s="10" t="s">
        <v>3052</v>
      </c>
      <c r="B151" s="6" t="s">
        <v>3053</v>
      </c>
      <c r="C151" s="17" t="b">
        <v>0</v>
      </c>
      <c r="D151" s="13">
        <v>148</v>
      </c>
      <c r="E151" s="6" t="s">
        <v>3054</v>
      </c>
    </row>
    <row r="152" spans="1:5">
      <c r="A152" s="10" t="s">
        <v>3055</v>
      </c>
      <c r="B152" s="6" t="s">
        <v>3056</v>
      </c>
      <c r="C152" s="17" t="b">
        <v>0</v>
      </c>
      <c r="D152" s="13">
        <v>149</v>
      </c>
      <c r="E152" s="6" t="s">
        <v>3057</v>
      </c>
    </row>
    <row r="153" spans="1:5">
      <c r="A153" s="10" t="s">
        <v>3058</v>
      </c>
      <c r="B153" s="6" t="s">
        <v>3059</v>
      </c>
      <c r="C153" s="17" t="b">
        <v>0</v>
      </c>
      <c r="D153" s="13">
        <v>150</v>
      </c>
      <c r="E153" s="6" t="s">
        <v>3060</v>
      </c>
    </row>
  </sheetData>
  <mergeCells count="4">
    <mergeCell ref="A1:E1"/>
    <mergeCell ref="A2:E2"/>
    <mergeCell ref="G1:H1"/>
    <mergeCell ref="G2:H2"/>
  </mergeCells>
  <conditionalFormatting sqref="A4:E153">
    <cfRule type="expression" dxfId="3" priority="1">
      <formula>$C4=FALSE</formula>
    </cfRule>
  </conditionalFormatting>
  <dataValidations count="6">
    <dataValidation type="custom" sqref="A4:A1048576" xr:uid="{00000000-0002-0000-0600-000000000000}">
      <formula1>$A4&lt;&gt;""</formula1>
    </dataValidation>
    <dataValidation type="custom" sqref="B4:B1048576" xr:uid="{00000000-0002-0000-0600-000001000000}">
      <formula1>AND($B4&lt;&gt;"",COUNTIF($B:$B,$B4)=1)</formula1>
    </dataValidation>
    <dataValidation type="list" sqref="C4:C1048576" xr:uid="{00000000-0002-0000-0600-000002000000}">
      <formula1>"true,false"</formula1>
    </dataValidation>
    <dataValidation type="whole" operator="greaterThanOrEqual" sqref="D4:D1048576" xr:uid="{00000000-0002-0000-0600-000003000000}">
      <formula1>1</formula1>
    </dataValidation>
    <dataValidation type="custom" sqref="E4:E1048576" xr:uid="{00000000-0002-0000-0600-000004000000}">
      <formula1>AND($E4&lt;&gt;"",COUNTIF($E:$E,$E4)=1)</formula1>
    </dataValidation>
    <dataValidation type="custom" sqref="H4" xr:uid="{00000000-0002-0000-0600-000005000000}">
      <formula1>AND($H4&lt;&gt;"",LEN($H4)&lt;=200)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J173"/>
  <sheetViews>
    <sheetView showGridLines="0" tabSelected="1" zoomScale="125" zoomScaleNormal="304" workbookViewId="0">
      <selection activeCell="B3" sqref="B3"/>
    </sheetView>
  </sheetViews>
  <sheetFormatPr baseColWidth="10" defaultColWidth="8.83203125" defaultRowHeight="15"/>
  <cols>
    <col min="1" max="1" width="9" customWidth="1"/>
    <col min="2" max="2" width="30" customWidth="1"/>
    <col min="3" max="3" width="14" customWidth="1"/>
    <col min="4" max="4" width="16" customWidth="1"/>
    <col min="5" max="5" width="14" customWidth="1"/>
    <col min="6" max="6" width="16" customWidth="1"/>
    <col min="7" max="7" width="17" customWidth="1"/>
    <col min="8" max="8" width="21" customWidth="1"/>
    <col min="9" max="9" width="34" customWidth="1"/>
    <col min="10" max="10" width="20" customWidth="1"/>
    <col min="11" max="12" width="4" customWidth="1"/>
    <col min="14" max="36" width="2" customWidth="1"/>
  </cols>
  <sheetData>
    <row r="1" spans="1:36" ht="32" customHeight="1">
      <c r="A1" s="29" t="s">
        <v>3061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</row>
    <row r="2" spans="1:36" ht="30" customHeight="1">
      <c r="A2" s="30" t="s">
        <v>3094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</row>
    <row r="3" spans="1:36">
      <c r="N3" t="s">
        <v>1693</v>
      </c>
      <c r="O3" t="s">
        <v>3062</v>
      </c>
      <c r="Q3" t="s">
        <v>3063</v>
      </c>
      <c r="R3" t="s">
        <v>3064</v>
      </c>
      <c r="T3" t="s">
        <v>3065</v>
      </c>
      <c r="U3" t="s">
        <v>3066</v>
      </c>
      <c r="W3" t="s">
        <v>1</v>
      </c>
      <c r="X3" t="s">
        <v>6</v>
      </c>
      <c r="Y3" t="s">
        <v>3</v>
      </c>
      <c r="Z3" t="s">
        <v>7</v>
      </c>
      <c r="AA3" t="s">
        <v>8</v>
      </c>
      <c r="AB3" t="s">
        <v>2</v>
      </c>
      <c r="AC3" t="s">
        <v>9</v>
      </c>
      <c r="AD3" t="s">
        <v>13</v>
      </c>
      <c r="AE3" t="s">
        <v>1</v>
      </c>
      <c r="AF3" t="s">
        <v>3067</v>
      </c>
      <c r="AG3" t="s">
        <v>3068</v>
      </c>
      <c r="AH3" t="s">
        <v>3069</v>
      </c>
      <c r="AI3" t="s">
        <v>3070</v>
      </c>
      <c r="AJ3" t="s">
        <v>3071</v>
      </c>
    </row>
    <row r="4" spans="1:36">
      <c r="A4" s="31" t="s">
        <v>3072</v>
      </c>
      <c r="B4" s="31"/>
      <c r="C4" s="31"/>
      <c r="D4" s="31" t="s">
        <v>3073</v>
      </c>
      <c r="E4" s="31"/>
      <c r="F4" s="31"/>
      <c r="G4" s="31" t="s">
        <v>3074</v>
      </c>
      <c r="H4" s="31"/>
      <c r="I4" s="31"/>
      <c r="J4" s="31" t="s">
        <v>3075</v>
      </c>
      <c r="K4" s="31"/>
      <c r="L4" s="31"/>
      <c r="N4" t="s">
        <v>3076</v>
      </c>
      <c r="O4">
        <f>SUMPRODUCT(('04 Hazards'!$O$4:$O$1000="BIOLOGICAL")*('04 Hazards'!$R$4:$R$1000=TRUE))</f>
        <v>62</v>
      </c>
      <c r="Q4" t="s">
        <v>33</v>
      </c>
      <c r="R4">
        <f>COUNTIFS($AG$4:$AG$1000,1,'01 assessment'!$C$4:$C$1000,Q4)</f>
        <v>28</v>
      </c>
      <c r="U4">
        <v>150</v>
      </c>
      <c r="W4" t="str">
        <f>IFERROR(INDEX('01 assessment'!$A$4:$A$1000,MATCH(ROWS($W$4:W4),$AJ$4:$AJ$1000,0)),"")</f>
        <v>Accident &amp; Emergency</v>
      </c>
      <c r="X4">
        <f>IFERROR(INDEX('01 assessment'!$F$4:$F$1000,MATCH(ROWS($X$4:X4),$AJ$4:$AJ$1000,0)),"")</f>
        <v>13</v>
      </c>
      <c r="Y4" t="str">
        <f>IFERROR(INDEX('01 assessment'!$C$4:$C$1000,MATCH(ROWS($Y$4:Y4),$AJ$4:$AJ$1000,0)),"")</f>
        <v>SUBMITTED</v>
      </c>
      <c r="Z4">
        <f>IFERROR(INDEX('01 assessment'!$G$4:$G$1000,MATCH(ROWS($Z$4:Z4),$AJ$4:$AJ$1000,0)),"")</f>
        <v>9</v>
      </c>
      <c r="AA4" t="str">
        <f>IFERROR(INDEX('01 assessment'!$H$4:$H$1000,MATCH(ROWS($AA$4:AA4),$AJ$4:$AJ$1000,0)),"")</f>
        <v>HIGH</v>
      </c>
      <c r="AB4">
        <f>IFERROR(INDEX('01 assessment'!$B$4:$B$1000,MATCH(ROWS($AB$4:AB4),$AJ$4:$AJ$1000,0)),"")</f>
        <v>46026</v>
      </c>
      <c r="AC4" t="str">
        <f>IFERROR(INDEX('01 assessment'!$I$4:$I$1000,MATCH(ROWS($AC$4:AC4),$AJ$4:$AJ$1000,0)),"")</f>
        <v>RAH01-2026-001</v>
      </c>
      <c r="AD4" t="str">
        <f>IFERROR(INDEX('01 assessment'!$M$4:$M$1000,MATCH(ROWS($AD$4:AD4),$AJ$4:$AJ$1000,0)),"")</f>
        <v>ASM-2026-001</v>
      </c>
      <c r="AE4" t="str">
        <f>IFERROR(INDEX('01 assessment'!$A$4:$A$1000,MATCH(ROWS($AE$4:AE4),$AI$4:$AI$1000,0)),"")</f>
        <v>Operating Theatre</v>
      </c>
      <c r="AF4">
        <f>IF(AE4="","",INDEX($AH$4:$AH$1000,MATCH(ROWS($AF$4:AF4),$AI$4:$AI$1000,0)))</f>
        <v>63</v>
      </c>
      <c r="AG4">
        <f>IF('01 assessment'!$M4="","",1+COUNTIFS('01 assessment'!$L$4:$L$1000,'01 assessment'!$L4,'01 assessment'!$J$4:$J$1000,"&gt;"&amp;'01 assessment'!$J4)+COUNTIFS('01 assessment'!$L$4:$L$1000,'01 assessment'!$L4,'01 assessment'!$J$4:$J$1000,'01 assessment'!$J4,'01 assessment'!$M$4:$M$1000,"&lt;"&amp;'01 assessment'!$M4))</f>
        <v>1</v>
      </c>
      <c r="AH4">
        <f>IF(OR($AG4&lt;&gt;1,'01 assessment'!$M4=""),"",SUMIFS('04 Hazards'!$K$4:$K$1000,'04 Hazards'!$S$4:$S$1000,'01 assessment'!$M4,'04 Hazards'!$R$4:$R$1000,TRUE,'04 Hazards'!$U$4:$U$1000,TRUE))</f>
        <v>54</v>
      </c>
      <c r="AI4">
        <f>IF(OR($AG4&lt;&gt;1,$AH4&lt;=0),"",1+COUNTIFS($AG$4:$AG$1000,1,$AH$4:$AH$1000,"&gt;"&amp;$AH4)+COUNTIFS($AG$4:$AG$1000,1,$AH$4:$AH$1000,$AH4,'01 assessment'!$A$4:$A$1000,"&lt;"&amp;'01 assessment'!$A4))</f>
        <v>14</v>
      </c>
      <c r="AJ4">
        <f>IF('01 assessment'!$M4="","",1+COUNTIFS('01 assessment'!$A$4:$A$1000,"&lt;"&amp;'01 assessment'!$A4,'01 assessment'!$M$4:$M$1000,"&lt;&gt;")+COUNTIFS('01 assessment'!$A$4:$A$1000,'01 assessment'!$A4,'01 assessment'!$B$4:$B$1000,"&gt;"&amp;'01 assessment'!$B4,'01 assessment'!$M$4:$M$1000,"&lt;&gt;")+COUNTIFS('01 assessment'!$A$4:$A$1000,'01 assessment'!$A4,'01 assessment'!$B$4:$B$1000,'01 assessment'!$B4,'01 assessment'!$M$4:$M$1000,"&lt;"&amp;'01 assessment'!$M4))</f>
        <v>1</v>
      </c>
    </row>
    <row r="5" spans="1:36">
      <c r="A5" s="32">
        <f>COUNTIF('01 assessment'!$M$4:$M$1000,"&lt;&gt;")</f>
        <v>70</v>
      </c>
      <c r="B5" s="33"/>
      <c r="C5" s="34"/>
      <c r="D5" s="32">
        <f>COUNTIF('01 assessment'!$C$4:$C$1000,"SUBMITTED")</f>
        <v>14</v>
      </c>
      <c r="E5" s="33"/>
      <c r="F5" s="34"/>
      <c r="G5" s="32">
        <f>COUNTIF('01 assessment'!$C$4:$C$1000,"IN_REVIEW")</f>
        <v>14</v>
      </c>
      <c r="H5" s="33"/>
      <c r="I5" s="34"/>
      <c r="J5" s="32">
        <f>COUNTIFS('01 assessment'!$G$4:$G$1000,"&gt;=6",'01 assessment'!$G$4:$G$1000,"&lt;=9")</f>
        <v>35</v>
      </c>
      <c r="K5" s="33"/>
      <c r="L5" s="34"/>
      <c r="N5" t="s">
        <v>3077</v>
      </c>
      <c r="O5">
        <f>SUMPRODUCT(('04 Hazards'!$O$4:$O$1000="CHEMICAL")*('04 Hazards'!$R$4:$R$1000=TRUE))</f>
        <v>15</v>
      </c>
      <c r="Q5" t="s">
        <v>17</v>
      </c>
      <c r="R5">
        <f>COUNTIFS($AG$4:$AG$1000,1,'01 assessment'!$C$4:$C$1000,Q5)</f>
        <v>14</v>
      </c>
      <c r="W5" t="str">
        <f>IFERROR(INDEX('01 assessment'!$A$4:$A$1000,MATCH(ROWS($W$4:W5),$AJ$4:$AJ$1000,0)),"")</f>
        <v>Anaesthesia</v>
      </c>
      <c r="X5">
        <f>IFERROR(INDEX('01 assessment'!$F$4:$F$1000,MATCH(ROWS($X$4:X5),$AJ$4:$AJ$1000,0)),"")</f>
        <v>20</v>
      </c>
      <c r="Y5" t="str">
        <f>IFERROR(INDEX('01 assessment'!$C$4:$C$1000,MATCH(ROWS($Y$4:Y5),$AJ$4:$AJ$1000,0)),"")</f>
        <v>IN_REVIEW</v>
      </c>
      <c r="Z5">
        <f>IFERROR(INDEX('01 assessment'!$G$4:$G$1000,MATCH(ROWS($Z$4:Z5),$AJ$4:$AJ$1000,0)),"")</f>
        <v>9</v>
      </c>
      <c r="AA5" t="str">
        <f>IFERROR(INDEX('01 assessment'!$H$4:$H$1000,MATCH(ROWS($AA$4:AA5),$AJ$4:$AJ$1000,0)),"")</f>
        <v>HIGH</v>
      </c>
      <c r="AB5">
        <f>IFERROR(INDEX('01 assessment'!$B$4:$B$1000,MATCH(ROWS($AB$4:AB5),$AJ$4:$AJ$1000,0)),"")</f>
        <v>46060</v>
      </c>
      <c r="AC5" t="str">
        <f>IFERROR(INDEX('01 assessment'!$I$4:$I$1000,MATCH(ROWS($AC$4:AC5),$AJ$4:$AJ$1000,0)),"")</f>
        <v>RAH01-2026-002</v>
      </c>
      <c r="AD5" t="str">
        <f>IFERROR(INDEX('01 assessment'!$M$4:$M$1000,MATCH(ROWS($AD$4:AD5),$AJ$4:$AJ$1000,0)),"")</f>
        <v>ASM-2026-002</v>
      </c>
      <c r="AE5" t="str">
        <f>IFERROR(INDEX('01 assessment'!$A$4:$A$1000,MATCH(ROWS($AE$4:AE5),$AI$4:$AI$1000,0)),"")</f>
        <v>Vaccination Clinic</v>
      </c>
      <c r="AF5">
        <f>IF(AE5="","",INDEX($AH$4:$AH$1000,MATCH(ROWS($AF$4:AF5),$AI$4:$AI$1000,0)))</f>
        <v>63</v>
      </c>
      <c r="AG5">
        <f>IF('01 assessment'!$M5="","",1+COUNTIFS('01 assessment'!$L$4:$L$1000,'01 assessment'!$L5,'01 assessment'!$J$4:$J$1000,"&gt;"&amp;'01 assessment'!$J5)+COUNTIFS('01 assessment'!$L$4:$L$1000,'01 assessment'!$L5,'01 assessment'!$J$4:$J$1000,'01 assessment'!$J5,'01 assessment'!$M$4:$M$1000,"&lt;"&amp;'01 assessment'!$M5))</f>
        <v>1</v>
      </c>
      <c r="AH5">
        <f>IF(OR($AG5&lt;&gt;1,'01 assessment'!$M5=""),"",SUMIFS('04 Hazards'!$K$4:$K$1000,'04 Hazards'!$S$4:$S$1000,'01 assessment'!$M5,'04 Hazards'!$R$4:$R$1000,TRUE,'04 Hazards'!$U$4:$U$1000,TRUE))</f>
        <v>57</v>
      </c>
      <c r="AI5">
        <f>IF(OR($AG5&lt;&gt;1,$AH5&lt;=0),"",1+COUNTIFS($AG$4:$AG$1000,1,$AH$4:$AH$1000,"&gt;"&amp;$AH5)+COUNTIFS($AG$4:$AG$1000,1,$AH$4:$AH$1000,$AH5,'01 assessment'!$A$4:$A$1000,"&lt;"&amp;'01 assessment'!$A5))</f>
        <v>4</v>
      </c>
      <c r="AJ5">
        <f>IF('01 assessment'!$M5="","",1+COUNTIFS('01 assessment'!$A$4:$A$1000,"&lt;"&amp;'01 assessment'!$A5,'01 assessment'!$M$4:$M$1000,"&lt;&gt;")+COUNTIFS('01 assessment'!$A$4:$A$1000,'01 assessment'!$A5,'01 assessment'!$B$4:$B$1000,"&gt;"&amp;'01 assessment'!$B5,'01 assessment'!$M$4:$M$1000,"&lt;&gt;")+COUNTIFS('01 assessment'!$A$4:$A$1000,'01 assessment'!$A5,'01 assessment'!$B$4:$B$1000,'01 assessment'!$B5,'01 assessment'!$M$4:$M$1000,"&lt;"&amp;'01 assessment'!$M5))</f>
        <v>2</v>
      </c>
    </row>
    <row r="6" spans="1:36">
      <c r="A6" s="35"/>
      <c r="B6" s="36"/>
      <c r="C6" s="37"/>
      <c r="D6" s="35"/>
      <c r="E6" s="36"/>
      <c r="F6" s="37"/>
      <c r="G6" s="35"/>
      <c r="H6" s="36"/>
      <c r="I6" s="37"/>
      <c r="J6" s="35"/>
      <c r="K6" s="36"/>
      <c r="L6" s="37"/>
      <c r="N6" t="s">
        <v>3078</v>
      </c>
      <c r="O6">
        <f>SUMPRODUCT(('04 Hazards'!$O$4:$O$1000="ERGONOMIC")*('04 Hazards'!$R$4:$R$1000=TRUE))</f>
        <v>140</v>
      </c>
      <c r="Q6" t="s">
        <v>26</v>
      </c>
      <c r="R6">
        <f>COUNTIFS($AG$4:$AG$1000,1,'01 assessment'!$C$4:$C$1000,Q6)</f>
        <v>14</v>
      </c>
      <c r="W6" t="str">
        <f>IFERROR(INDEX('01 assessment'!$A$4:$A$1000,MATCH(ROWS($W$4:W6),$AJ$4:$AJ$1000,0)),"")</f>
        <v>Cardiology</v>
      </c>
      <c r="X6">
        <f>IFERROR(INDEX('01 assessment'!$F$4:$F$1000,MATCH(ROWS($X$4:X6),$AJ$4:$AJ$1000,0)),"")</f>
        <v>27</v>
      </c>
      <c r="Y6" t="str">
        <f>IFERROR(INDEX('01 assessment'!$C$4:$C$1000,MATCH(ROWS($Y$4:Y6),$AJ$4:$AJ$1000,0)),"")</f>
        <v>CLOSED</v>
      </c>
      <c r="Z6">
        <f>IFERROR(INDEX('01 assessment'!$G$4:$G$1000,MATCH(ROWS($Z$4:Z6),$AJ$4:$AJ$1000,0)),"")</f>
        <v>9</v>
      </c>
      <c r="AA6" t="str">
        <f>IFERROR(INDEX('01 assessment'!$H$4:$H$1000,MATCH(ROWS($AA$4:AA6),$AJ$4:$AJ$1000,0)),"")</f>
        <v>HIGH</v>
      </c>
      <c r="AB6">
        <f>IFERROR(INDEX('01 assessment'!$B$4:$B$1000,MATCH(ROWS($AB$4:AB6),$AJ$4:$AJ$1000,0)),"")</f>
        <v>46091</v>
      </c>
      <c r="AC6" t="str">
        <f>IFERROR(INDEX('01 assessment'!$I$4:$I$1000,MATCH(ROWS($AC$4:AC6),$AJ$4:$AJ$1000,0)),"")</f>
        <v>RAH01-2026-003</v>
      </c>
      <c r="AD6" t="str">
        <f>IFERROR(INDEX('01 assessment'!$M$4:$M$1000,MATCH(ROWS($AD$4:AD6),$AJ$4:$AJ$1000,0)),"")</f>
        <v>ASM-2026-003</v>
      </c>
      <c r="AE6" t="str">
        <f>IFERROR(INDEX('01 assessment'!$A$4:$A$1000,MATCH(ROWS($AE$4:AE6),$AI$4:$AI$1000,0)),"")</f>
        <v>Ward 1</v>
      </c>
      <c r="AF6">
        <f>IF(AE6="","",INDEX($AH$4:$AH$1000,MATCH(ROWS($AF$4:AF6),$AI$4:$AI$1000,0)))</f>
        <v>63</v>
      </c>
      <c r="AG6">
        <f>IF('01 assessment'!$M6="","",1+COUNTIFS('01 assessment'!$L$4:$L$1000,'01 assessment'!$L6,'01 assessment'!$J$4:$J$1000,"&gt;"&amp;'01 assessment'!$J6)+COUNTIFS('01 assessment'!$L$4:$L$1000,'01 assessment'!$L6,'01 assessment'!$J$4:$J$1000,'01 assessment'!$J6,'01 assessment'!$M$4:$M$1000,"&lt;"&amp;'01 assessment'!$M6))</f>
        <v>1</v>
      </c>
      <c r="AH6">
        <f>IF(OR($AG6&lt;&gt;1,'01 assessment'!$M6=""),"",SUMIFS('04 Hazards'!$K$4:$K$1000,'04 Hazards'!$S$4:$S$1000,'01 assessment'!$M6,'04 Hazards'!$R$4:$R$1000,TRUE,'04 Hazards'!$U$4:$U$1000,TRUE))</f>
        <v>48</v>
      </c>
      <c r="AI6">
        <f>IF(OR($AG6&lt;&gt;1,$AH6&lt;=0),"",1+COUNTIFS($AG$4:$AG$1000,1,$AH$4:$AH$1000,"&gt;"&amp;$AH6)+COUNTIFS($AG$4:$AG$1000,1,$AH$4:$AH$1000,$AH6,'01 assessment'!$A$4:$A$1000,"&lt;"&amp;'01 assessment'!$A6))</f>
        <v>27</v>
      </c>
      <c r="AJ6">
        <f>IF('01 assessment'!$M6="","",1+COUNTIFS('01 assessment'!$A$4:$A$1000,"&lt;"&amp;'01 assessment'!$A6,'01 assessment'!$M$4:$M$1000,"&lt;&gt;")+COUNTIFS('01 assessment'!$A$4:$A$1000,'01 assessment'!$A6,'01 assessment'!$B$4:$B$1000,"&gt;"&amp;'01 assessment'!$B6,'01 assessment'!$M$4:$M$1000,"&lt;&gt;")+COUNTIFS('01 assessment'!$A$4:$A$1000,'01 assessment'!$A6,'01 assessment'!$B$4:$B$1000,'01 assessment'!$B6,'01 assessment'!$M$4:$M$1000,"&lt;"&amp;'01 assessment'!$M6))</f>
        <v>3</v>
      </c>
    </row>
    <row r="7" spans="1:36">
      <c r="N7" t="s">
        <v>3079</v>
      </c>
      <c r="O7">
        <f>SUMPRODUCT(('04 Hazards'!$O$4:$O$1000="FIRE_DISASTER")*('04 Hazards'!$R$4:$R$1000=TRUE))</f>
        <v>33</v>
      </c>
      <c r="Q7" t="s">
        <v>48</v>
      </c>
      <c r="R7">
        <f>COUNTIFS($AG$4:$AG$1000,1,'01 assessment'!$C$4:$C$1000,Q7)</f>
        <v>14</v>
      </c>
      <c r="W7" t="str">
        <f>IFERROR(INDEX('01 assessment'!$A$4:$A$1000,MATCH(ROWS($W$4:W7),$AJ$4:$AJ$1000,0)),"")</f>
        <v>Cardiothoracic Surgery</v>
      </c>
      <c r="X7">
        <f>IFERROR(INDEX('01 assessment'!$F$4:$F$1000,MATCH(ROWS($X$4:X7),$AJ$4:$AJ$1000,0)),"")</f>
        <v>34</v>
      </c>
      <c r="Y7" t="str">
        <f>IFERROR(INDEX('01 assessment'!$C$4:$C$1000,MATCH(ROWS($Y$4:Y7),$AJ$4:$AJ$1000,0)),"")</f>
        <v>CLOSED</v>
      </c>
      <c r="Z7">
        <f>IFERROR(INDEX('01 assessment'!$G$4:$G$1000,MATCH(ROWS($Z$4:Z7),$AJ$4:$AJ$1000,0)),"")</f>
        <v>9</v>
      </c>
      <c r="AA7" t="str">
        <f>IFERROR(INDEX('01 assessment'!$H$4:$H$1000,MATCH(ROWS($AA$4:AA7),$AJ$4:$AJ$1000,0)),"")</f>
        <v>HIGH</v>
      </c>
      <c r="AB7">
        <f>IFERROR(INDEX('01 assessment'!$B$4:$B$1000,MATCH(ROWS($AB$4:AB7),$AJ$4:$AJ$1000,0)),"")</f>
        <v>46125</v>
      </c>
      <c r="AC7" t="str">
        <f>IFERROR(INDEX('01 assessment'!$I$4:$I$1000,MATCH(ROWS($AC$4:AC7),$AJ$4:$AJ$1000,0)),"")</f>
        <v>RAH01-2026-004</v>
      </c>
      <c r="AD7" t="str">
        <f>IFERROR(INDEX('01 assessment'!$M$4:$M$1000,MATCH(ROWS($AD$4:AD7),$AJ$4:$AJ$1000,0)),"")</f>
        <v>ASM-2026-004</v>
      </c>
      <c r="AE7" t="str">
        <f>IFERROR(INDEX('01 assessment'!$A$4:$A$1000,MATCH(ROWS($AE$4:AE7),$AI$4:$AI$1000,0)),"")</f>
        <v>Anaesthesia</v>
      </c>
      <c r="AF7">
        <f>IF(AE7="","",INDEX($AH$4:$AH$1000,MATCH(ROWS($AF$4:AF7),$AI$4:$AI$1000,0)))</f>
        <v>57</v>
      </c>
      <c r="AG7">
        <f>IF('01 assessment'!$M7="","",1+COUNTIFS('01 assessment'!$L$4:$L$1000,'01 assessment'!$L7,'01 assessment'!$J$4:$J$1000,"&gt;"&amp;'01 assessment'!$J7)+COUNTIFS('01 assessment'!$L$4:$L$1000,'01 assessment'!$L7,'01 assessment'!$J$4:$J$1000,'01 assessment'!$J7,'01 assessment'!$M$4:$M$1000,"&lt;"&amp;'01 assessment'!$M7))</f>
        <v>1</v>
      </c>
      <c r="AH7">
        <f>IF(OR($AG7&lt;&gt;1,'01 assessment'!$M7=""),"",SUMIFS('04 Hazards'!$K$4:$K$1000,'04 Hazards'!$S$4:$S$1000,'01 assessment'!$M7,'04 Hazards'!$R$4:$R$1000,TRUE,'04 Hazards'!$U$4:$U$1000,TRUE))</f>
        <v>54</v>
      </c>
      <c r="AI7">
        <f>IF(OR($AG7&lt;&gt;1,$AH7&lt;=0),"",1+COUNTIFS($AG$4:$AG$1000,1,$AH$4:$AH$1000,"&gt;"&amp;$AH7)+COUNTIFS($AG$4:$AG$1000,1,$AH$4:$AH$1000,$AH7,'01 assessment'!$A$4:$A$1000,"&lt;"&amp;'01 assessment'!$A7))</f>
        <v>15</v>
      </c>
      <c r="AJ7">
        <f>IF('01 assessment'!$M7="","",1+COUNTIFS('01 assessment'!$A$4:$A$1000,"&lt;"&amp;'01 assessment'!$A7,'01 assessment'!$M$4:$M$1000,"&lt;&gt;")+COUNTIFS('01 assessment'!$A$4:$A$1000,'01 assessment'!$A7,'01 assessment'!$B$4:$B$1000,"&gt;"&amp;'01 assessment'!$B7,'01 assessment'!$M$4:$M$1000,"&lt;&gt;")+COUNTIFS('01 assessment'!$A$4:$A$1000,'01 assessment'!$A7,'01 assessment'!$B$4:$B$1000,'01 assessment'!$B7,'01 assessment'!$M$4:$M$1000,"&lt;"&amp;'01 assessment'!$M7))</f>
        <v>4</v>
      </c>
    </row>
    <row r="8" spans="1:36">
      <c r="N8" t="s">
        <v>3080</v>
      </c>
      <c r="O8">
        <f>SUMPRODUCT(('04 Hazards'!$O$4:$O$1000="INDOOR_AIR_QUALITY")*('04 Hazards'!$R$4:$R$1000=TRUE))</f>
        <v>35</v>
      </c>
      <c r="W8" t="str">
        <f>IFERROR(INDEX('01 assessment'!$A$4:$A$1000,MATCH(ROWS($W$4:W8),$AJ$4:$AJ$1000,0)),"")</f>
        <v>Central Sterile Supply</v>
      </c>
      <c r="X8">
        <f>IFERROR(INDEX('01 assessment'!$F$4:$F$1000,MATCH(ROWS($X$4:X8),$AJ$4:$AJ$1000,0)),"")</f>
        <v>41</v>
      </c>
      <c r="Y8" t="str">
        <f>IFERROR(INDEX('01 assessment'!$C$4:$C$1000,MATCH(ROWS($Y$4:Y8),$AJ$4:$AJ$1000,0)),"")</f>
        <v>RETURNED</v>
      </c>
      <c r="Z8">
        <f>IFERROR(INDEX('01 assessment'!$G$4:$G$1000,MATCH(ROWS($Z$4:Z8),$AJ$4:$AJ$1000,0)),"")</f>
        <v>9</v>
      </c>
      <c r="AA8" t="str">
        <f>IFERROR(INDEX('01 assessment'!$H$4:$H$1000,MATCH(ROWS($AA$4:AA8),$AJ$4:$AJ$1000,0)),"")</f>
        <v>HIGH</v>
      </c>
      <c r="AB8">
        <f>IFERROR(INDEX('01 assessment'!$B$4:$B$1000,MATCH(ROWS($AB$4:AB8),$AJ$4:$AJ$1000,0)),"")</f>
        <v>46158</v>
      </c>
      <c r="AC8" t="str">
        <f>IFERROR(INDEX('01 assessment'!$I$4:$I$1000,MATCH(ROWS($AC$4:AC8),$AJ$4:$AJ$1000,0)),"")</f>
        <v>RAH01-2026-005</v>
      </c>
      <c r="AD8" t="str">
        <f>IFERROR(INDEX('01 assessment'!$M$4:$M$1000,MATCH(ROWS($AD$4:AD8),$AJ$4:$AJ$1000,0)),"")</f>
        <v>ASM-2026-005</v>
      </c>
      <c r="AE8" t="str">
        <f>IFERROR(INDEX('01 assessment'!$A$4:$A$1000,MATCH(ROWS($AE$4:AE8),$AI$4:$AI$1000,0)),"")</f>
        <v>Child Development</v>
      </c>
      <c r="AF8">
        <f>IF(AE8="","",INDEX($AH$4:$AH$1000,MATCH(ROWS($AF$4:AF8),$AI$4:$AI$1000,0)))</f>
        <v>57</v>
      </c>
      <c r="AG8">
        <f>IF('01 assessment'!$M8="","",1+COUNTIFS('01 assessment'!$L$4:$L$1000,'01 assessment'!$L8,'01 assessment'!$J$4:$J$1000,"&gt;"&amp;'01 assessment'!$J8)+COUNTIFS('01 assessment'!$L$4:$L$1000,'01 assessment'!$L8,'01 assessment'!$J$4:$J$1000,'01 assessment'!$J8,'01 assessment'!$M$4:$M$1000,"&lt;"&amp;'01 assessment'!$M8))</f>
        <v>1</v>
      </c>
      <c r="AH8">
        <f>IF(OR($AG8&lt;&gt;1,'01 assessment'!$M8=""),"",SUMIFS('04 Hazards'!$K$4:$K$1000,'04 Hazards'!$S$4:$S$1000,'01 assessment'!$M8,'04 Hazards'!$R$4:$R$1000,TRUE,'04 Hazards'!$U$4:$U$1000,TRUE))</f>
        <v>51</v>
      </c>
      <c r="AI8">
        <f>IF(OR($AG8&lt;&gt;1,$AH8&lt;=0),"",1+COUNTIFS($AG$4:$AG$1000,1,$AH$4:$AH$1000,"&gt;"&amp;$AH8)+COUNTIFS($AG$4:$AG$1000,1,$AH$4:$AH$1000,$AH8,'01 assessment'!$A$4:$A$1000,"&lt;"&amp;'01 assessment'!$A8))</f>
        <v>22</v>
      </c>
      <c r="AJ8">
        <f>IF('01 assessment'!$M8="","",1+COUNTIFS('01 assessment'!$A$4:$A$1000,"&lt;"&amp;'01 assessment'!$A8,'01 assessment'!$M$4:$M$1000,"&lt;&gt;")+COUNTIFS('01 assessment'!$A$4:$A$1000,'01 assessment'!$A8,'01 assessment'!$B$4:$B$1000,"&gt;"&amp;'01 assessment'!$B8,'01 assessment'!$M$4:$M$1000,"&lt;&gt;")+COUNTIFS('01 assessment'!$A$4:$A$1000,'01 assessment'!$A8,'01 assessment'!$B$4:$B$1000,'01 assessment'!$B8,'01 assessment'!$M$4:$M$1000,"&lt;"&amp;'01 assessment'!$M8))</f>
        <v>5</v>
      </c>
    </row>
    <row r="9" spans="1:36">
      <c r="N9" t="s">
        <v>3081</v>
      </c>
      <c r="O9">
        <f>SUMPRODUCT(('04 Hazards'!$O$4:$O$1000="PHYSICAL")*('04 Hazards'!$R$4:$R$1000=TRUE))</f>
        <v>43</v>
      </c>
      <c r="W9" t="str">
        <f>IFERROR(INDEX('01 assessment'!$A$4:$A$1000,MATCH(ROWS($W$4:W9),$AJ$4:$AJ$1000,0)),"")</f>
        <v>Child Development</v>
      </c>
      <c r="X9">
        <f>IFERROR(INDEX('01 assessment'!$F$4:$F$1000,MATCH(ROWS($X$4:X9),$AJ$4:$AJ$1000,0)),"")</f>
        <v>48</v>
      </c>
      <c r="Y9" t="str">
        <f>IFERROR(INDEX('01 assessment'!$C$4:$C$1000,MATCH(ROWS($Y$4:Y9),$AJ$4:$AJ$1000,0)),"")</f>
        <v>SUBMITTED</v>
      </c>
      <c r="Z9">
        <f>IFERROR(INDEX('01 assessment'!$G$4:$G$1000,MATCH(ROWS($Z$4:Z9),$AJ$4:$AJ$1000,0)),"")</f>
        <v>9</v>
      </c>
      <c r="AA9" t="str">
        <f>IFERROR(INDEX('01 assessment'!$H$4:$H$1000,MATCH(ROWS($AA$4:AA9),$AJ$4:$AJ$1000,0)),"")</f>
        <v>HIGH</v>
      </c>
      <c r="AB9">
        <f>IFERROR(INDEX('01 assessment'!$B$4:$B$1000,MATCH(ROWS($AB$4:AB9),$AJ$4:$AJ$1000,0)),"")</f>
        <v>46192</v>
      </c>
      <c r="AC9" t="str">
        <f>IFERROR(INDEX('01 assessment'!$I$4:$I$1000,MATCH(ROWS($AC$4:AC9),$AJ$4:$AJ$1000,0)),"")</f>
        <v>RAH01-2026-006</v>
      </c>
      <c r="AD9" t="str">
        <f>IFERROR(INDEX('01 assessment'!$M$4:$M$1000,MATCH(ROWS($AD$4:AD9),$AJ$4:$AJ$1000,0)),"")</f>
        <v>ASM-2026-006</v>
      </c>
      <c r="AE9" t="str">
        <f>IFERROR(INDEX('01 assessment'!$A$4:$A$1000,MATCH(ROWS($AE$4:AE9),$AI$4:$AI$1000,0)),"")</f>
        <v>Health Promotion</v>
      </c>
      <c r="AF9">
        <f>IF(AE9="","",INDEX($AH$4:$AH$1000,MATCH(ROWS($AF$4:AF9),$AI$4:$AI$1000,0)))</f>
        <v>57</v>
      </c>
      <c r="AG9">
        <f>IF('01 assessment'!$M9="","",1+COUNTIFS('01 assessment'!$L$4:$L$1000,'01 assessment'!$L9,'01 assessment'!$J$4:$J$1000,"&gt;"&amp;'01 assessment'!$J9)+COUNTIFS('01 assessment'!$L$4:$L$1000,'01 assessment'!$L9,'01 assessment'!$J$4:$J$1000,'01 assessment'!$J9,'01 assessment'!$M$4:$M$1000,"&lt;"&amp;'01 assessment'!$M9))</f>
        <v>1</v>
      </c>
      <c r="AH9">
        <f>IF(OR($AG9&lt;&gt;1,'01 assessment'!$M9=""),"",SUMIFS('04 Hazards'!$K$4:$K$1000,'04 Hazards'!$S$4:$S$1000,'01 assessment'!$M9,'04 Hazards'!$R$4:$R$1000,TRUE,'04 Hazards'!$U$4:$U$1000,TRUE))</f>
        <v>57</v>
      </c>
      <c r="AI9">
        <f>IF(OR($AG9&lt;&gt;1,$AH9&lt;=0),"",1+COUNTIFS($AG$4:$AG$1000,1,$AH$4:$AH$1000,"&gt;"&amp;$AH9)+COUNTIFS($AG$4:$AG$1000,1,$AH$4:$AH$1000,$AH9,'01 assessment'!$A$4:$A$1000,"&lt;"&amp;'01 assessment'!$A9))</f>
        <v>5</v>
      </c>
      <c r="AJ9">
        <f>IF('01 assessment'!$M9="","",1+COUNTIFS('01 assessment'!$A$4:$A$1000,"&lt;"&amp;'01 assessment'!$A9,'01 assessment'!$M$4:$M$1000,"&lt;&gt;")+COUNTIFS('01 assessment'!$A$4:$A$1000,'01 assessment'!$A9,'01 assessment'!$B$4:$B$1000,"&gt;"&amp;'01 assessment'!$B9,'01 assessment'!$M$4:$M$1000,"&lt;&gt;")+COUNTIFS('01 assessment'!$A$4:$A$1000,'01 assessment'!$A9,'01 assessment'!$B$4:$B$1000,'01 assessment'!$B9,'01 assessment'!$M$4:$M$1000,"&lt;"&amp;'01 assessment'!$M9))</f>
        <v>6</v>
      </c>
    </row>
    <row r="10" spans="1:36">
      <c r="N10" t="s">
        <v>3082</v>
      </c>
      <c r="O10">
        <f>SUMPRODUCT(('04 Hazards'!$O$4:$O$1000="PSYCHOSOCIAL")*('04 Hazards'!$R$4:$R$1000=TRUE))</f>
        <v>79</v>
      </c>
      <c r="W10" t="str">
        <f>IFERROR(INDEX('01 assessment'!$A$4:$A$1000,MATCH(ROWS($W$4:W10),$AJ$4:$AJ$1000,0)),"")</f>
        <v>Clinical Nutrition</v>
      </c>
      <c r="X10">
        <f>IFERROR(INDEX('01 assessment'!$F$4:$F$1000,MATCH(ROWS($X$4:X10),$AJ$4:$AJ$1000,0)),"")</f>
        <v>55</v>
      </c>
      <c r="Y10" t="str">
        <f>IFERROR(INDEX('01 assessment'!$C$4:$C$1000,MATCH(ROWS($Y$4:Y10),$AJ$4:$AJ$1000,0)),"")</f>
        <v>IN_REVIEW</v>
      </c>
      <c r="Z10">
        <f>IFERROR(INDEX('01 assessment'!$G$4:$G$1000,MATCH(ROWS($Z$4:Z10),$AJ$4:$AJ$1000,0)),"")</f>
        <v>4</v>
      </c>
      <c r="AA10" t="str">
        <f>IFERROR(INDEX('01 assessment'!$H$4:$H$1000,MATCH(ROWS($AA$4:AA10),$AJ$4:$AJ$1000,0)),"")</f>
        <v>MEDIUM</v>
      </c>
      <c r="AB10">
        <f>IFERROR(INDEX('01 assessment'!$B$4:$B$1000,MATCH(ROWS($AB$4:AB10),$AJ$4:$AJ$1000,0)),"")</f>
        <v>46044</v>
      </c>
      <c r="AC10" t="str">
        <f>IFERROR(INDEX('01 assessment'!$I$4:$I$1000,MATCH(ROWS($AC$4:AC10),$AJ$4:$AJ$1000,0)),"")</f>
        <v>RAH01-2026-007</v>
      </c>
      <c r="AD10" t="str">
        <f>IFERROR(INDEX('01 assessment'!$M$4:$M$1000,MATCH(ROWS($AD$4:AD10),$AJ$4:$AJ$1000,0)),"")</f>
        <v>ASM-2026-007</v>
      </c>
      <c r="AE10" t="str">
        <f>IFERROR(INDEX('01 assessment'!$A$4:$A$1000,MATCH(ROWS($AE$4:AE10),$AI$4:$AI$1000,0)),"")</f>
        <v>Laboratory</v>
      </c>
      <c r="AF10">
        <f>IF(AE10="","",INDEX($AH$4:$AH$1000,MATCH(ROWS($AF$4:AF10),$AI$4:$AI$1000,0)))</f>
        <v>57</v>
      </c>
      <c r="AG10">
        <f>IF('01 assessment'!$M10="","",1+COUNTIFS('01 assessment'!$L$4:$L$1000,'01 assessment'!$L10,'01 assessment'!$J$4:$J$1000,"&gt;"&amp;'01 assessment'!$J10)+COUNTIFS('01 assessment'!$L$4:$L$1000,'01 assessment'!$L10,'01 assessment'!$J$4:$J$1000,'01 assessment'!$J10,'01 assessment'!$M$4:$M$1000,"&lt;"&amp;'01 assessment'!$M10))</f>
        <v>1</v>
      </c>
      <c r="AH10">
        <f>IF(OR($AG10&lt;&gt;1,'01 assessment'!$M10=""),"",SUMIFS('04 Hazards'!$K$4:$K$1000,'04 Hazards'!$S$4:$S$1000,'01 assessment'!$M10,'04 Hazards'!$R$4:$R$1000,TRUE,'04 Hazards'!$U$4:$U$1000,TRUE))</f>
        <v>24</v>
      </c>
      <c r="AI10">
        <f>IF(OR($AG10&lt;&gt;1,$AH10&lt;=0),"",1+COUNTIFS($AG$4:$AG$1000,1,$AH$4:$AH$1000,"&gt;"&amp;$AH10)+COUNTIFS($AG$4:$AG$1000,1,$AH$4:$AH$1000,$AH10,'01 assessment'!$A$4:$A$1000,"&lt;"&amp;'01 assessment'!$A10))</f>
        <v>38</v>
      </c>
      <c r="AJ10">
        <f>IF('01 assessment'!$M10="","",1+COUNTIFS('01 assessment'!$A$4:$A$1000,"&lt;"&amp;'01 assessment'!$A10,'01 assessment'!$M$4:$M$1000,"&lt;&gt;")+COUNTIFS('01 assessment'!$A$4:$A$1000,'01 assessment'!$A10,'01 assessment'!$B$4:$B$1000,"&gt;"&amp;'01 assessment'!$B10,'01 assessment'!$M$4:$M$1000,"&lt;&gt;")+COUNTIFS('01 assessment'!$A$4:$A$1000,'01 assessment'!$A10,'01 assessment'!$B$4:$B$1000,'01 assessment'!$B10,'01 assessment'!$M$4:$M$1000,"&lt;"&amp;'01 assessment'!$M10))</f>
        <v>7</v>
      </c>
    </row>
    <row r="11" spans="1:36">
      <c r="N11" t="s">
        <v>3083</v>
      </c>
      <c r="O11">
        <f>SUMPRODUCT(('04 Hazards'!$O$4:$O$1000="SAFETY_ACCIDENT")*('04 Hazards'!$R$4:$R$1000=TRUE))</f>
        <v>78</v>
      </c>
      <c r="W11" t="str">
        <f>IFERROR(INDEX('01 assessment'!$A$4:$A$1000,MATCH(ROWS($W$4:W11),$AJ$4:$AJ$1000,0)),"")</f>
        <v>Dental</v>
      </c>
      <c r="X11">
        <f>IFERROR(INDEX('01 assessment'!$F$4:$F$1000,MATCH(ROWS($X$4:X11),$AJ$4:$AJ$1000,0)),"")</f>
        <v>62</v>
      </c>
      <c r="Y11" t="str">
        <f>IFERROR(INDEX('01 assessment'!$C$4:$C$1000,MATCH(ROWS($Y$4:Y11),$AJ$4:$AJ$1000,0)),"")</f>
        <v>CLOSED</v>
      </c>
      <c r="Z11">
        <f>IFERROR(INDEX('01 assessment'!$G$4:$G$1000,MATCH(ROWS($Z$4:Z11),$AJ$4:$AJ$1000,0)),"")</f>
        <v>9</v>
      </c>
      <c r="AA11" t="str">
        <f>IFERROR(INDEX('01 assessment'!$H$4:$H$1000,MATCH(ROWS($AA$4:AA11),$AJ$4:$AJ$1000,0)),"")</f>
        <v>HIGH</v>
      </c>
      <c r="AB11">
        <f>IFERROR(INDEX('01 assessment'!$B$4:$B$1000,MATCH(ROWS($AB$4:AB11),$AJ$4:$AJ$1000,0)),"")</f>
        <v>46078</v>
      </c>
      <c r="AC11" t="str">
        <f>IFERROR(INDEX('01 assessment'!$I$4:$I$1000,MATCH(ROWS($AC$4:AC11),$AJ$4:$AJ$1000,0)),"")</f>
        <v>RAH01-2026-008</v>
      </c>
      <c r="AD11" t="str">
        <f>IFERROR(INDEX('01 assessment'!$M$4:$M$1000,MATCH(ROWS($AD$4:AD11),$AJ$4:$AJ$1000,0)),"")</f>
        <v>ASM-2026-008</v>
      </c>
      <c r="AE11" t="str">
        <f>IFERROR(INDEX('01 assessment'!$A$4:$A$1000,MATCH(ROWS($AE$4:AE11),$AI$4:$AI$1000,0)),"")</f>
        <v>Laundry</v>
      </c>
      <c r="AF11">
        <f>IF(AE11="","",INDEX($AH$4:$AH$1000,MATCH(ROWS($AF$4:AF11),$AI$4:$AI$1000,0)))</f>
        <v>57</v>
      </c>
      <c r="AG11">
        <f>IF('01 assessment'!$M11="","",1+COUNTIFS('01 assessment'!$L$4:$L$1000,'01 assessment'!$L11,'01 assessment'!$J$4:$J$1000,"&gt;"&amp;'01 assessment'!$J11)+COUNTIFS('01 assessment'!$L$4:$L$1000,'01 assessment'!$L11,'01 assessment'!$J$4:$J$1000,'01 assessment'!$J11,'01 assessment'!$M$4:$M$1000,"&lt;"&amp;'01 assessment'!$M11))</f>
        <v>1</v>
      </c>
      <c r="AH11">
        <f>IF(OR($AG11&lt;&gt;1,'01 assessment'!$M11=""),"",SUMIFS('04 Hazards'!$K$4:$K$1000,'04 Hazards'!$S$4:$S$1000,'01 assessment'!$M11,'04 Hazards'!$R$4:$R$1000,TRUE,'04 Hazards'!$U$4:$U$1000,TRUE))</f>
        <v>51</v>
      </c>
      <c r="AI11">
        <f>IF(OR($AG11&lt;&gt;1,$AH11&lt;=0),"",1+COUNTIFS($AG$4:$AG$1000,1,$AH$4:$AH$1000,"&gt;"&amp;$AH11)+COUNTIFS($AG$4:$AG$1000,1,$AH$4:$AH$1000,$AH11,'01 assessment'!$A$4:$A$1000,"&lt;"&amp;'01 assessment'!$A11))</f>
        <v>23</v>
      </c>
      <c r="AJ11">
        <f>IF('01 assessment'!$M11="","",1+COUNTIFS('01 assessment'!$A$4:$A$1000,"&lt;"&amp;'01 assessment'!$A11,'01 assessment'!$M$4:$M$1000,"&lt;&gt;")+COUNTIFS('01 assessment'!$A$4:$A$1000,'01 assessment'!$A11,'01 assessment'!$B$4:$B$1000,"&gt;"&amp;'01 assessment'!$B11,'01 assessment'!$M$4:$M$1000,"&lt;&gt;")+COUNTIFS('01 assessment'!$A$4:$A$1000,'01 assessment'!$A11,'01 assessment'!$B$4:$B$1000,'01 assessment'!$B11,'01 assessment'!$M$4:$M$1000,"&lt;"&amp;'01 assessment'!$M11))</f>
        <v>8</v>
      </c>
    </row>
    <row r="12" spans="1:36">
      <c r="W12" t="str">
        <f>IFERROR(INDEX('01 assessment'!$A$4:$A$1000,MATCH(ROWS($W$4:W12),$AJ$4:$AJ$1000,0)),"")</f>
        <v>Dermatology</v>
      </c>
      <c r="X12">
        <f>IFERROR(INDEX('01 assessment'!$F$4:$F$1000,MATCH(ROWS($X$4:X12),$AJ$4:$AJ$1000,0)),"")</f>
        <v>11</v>
      </c>
      <c r="Y12" t="str">
        <f>IFERROR(INDEX('01 assessment'!$C$4:$C$1000,MATCH(ROWS($Y$4:Y12),$AJ$4:$AJ$1000,0)),"")</f>
        <v>CLOSED</v>
      </c>
      <c r="Z12">
        <f>IFERROR(INDEX('01 assessment'!$G$4:$G$1000,MATCH(ROWS($Z$4:Z12),$AJ$4:$AJ$1000,0)),"")</f>
        <v>9</v>
      </c>
      <c r="AA12" t="str">
        <f>IFERROR(INDEX('01 assessment'!$H$4:$H$1000,MATCH(ROWS($AA$4:AA12),$AJ$4:$AJ$1000,0)),"")</f>
        <v>HIGH</v>
      </c>
      <c r="AB12">
        <f>IFERROR(INDEX('01 assessment'!$B$4:$B$1000,MATCH(ROWS($AB$4:AB12),$AJ$4:$AJ$1000,0)),"")</f>
        <v>46084</v>
      </c>
      <c r="AC12" t="str">
        <f>IFERROR(INDEX('01 assessment'!$I$4:$I$1000,MATCH(ROWS($AC$4:AC12),$AJ$4:$AJ$1000,0)),"")</f>
        <v>RAH01-2026-009</v>
      </c>
      <c r="AD12" t="str">
        <f>IFERROR(INDEX('01 assessment'!$M$4:$M$1000,MATCH(ROWS($AD$4:AD12),$AJ$4:$AJ$1000,0)),"")</f>
        <v>ASM-2026-009</v>
      </c>
      <c r="AE12" t="str">
        <f>IFERROR(INDEX('01 assessment'!$A$4:$A$1000,MATCH(ROWS($AE$4:AE12),$AI$4:$AI$1000,0)),"")</f>
        <v>Outpatient Department</v>
      </c>
      <c r="AF12">
        <f>IF(AE12="","",INDEX($AH$4:$AH$1000,MATCH(ROWS($AF$4:AF12),$AI$4:$AI$1000,0)))</f>
        <v>57</v>
      </c>
      <c r="AG12">
        <f>IF('01 assessment'!$M12="","",1+COUNTIFS('01 assessment'!$L$4:$L$1000,'01 assessment'!$L12,'01 assessment'!$J$4:$J$1000,"&gt;"&amp;'01 assessment'!$J12)+COUNTIFS('01 assessment'!$L$4:$L$1000,'01 assessment'!$L12,'01 assessment'!$J$4:$J$1000,'01 assessment'!$J12,'01 assessment'!$M$4:$M$1000,"&lt;"&amp;'01 assessment'!$M12))</f>
        <v>1</v>
      </c>
      <c r="AH12">
        <f>IF(OR($AG12&lt;&gt;1,'01 assessment'!$M12=""),"",SUMIFS('04 Hazards'!$K$4:$K$1000,'04 Hazards'!$S$4:$S$1000,'01 assessment'!$M12,'04 Hazards'!$R$4:$R$1000,TRUE,'04 Hazards'!$U$4:$U$1000,TRUE))</f>
        <v>48</v>
      </c>
      <c r="AI12">
        <f>IF(OR($AG12&lt;&gt;1,$AH12&lt;=0),"",1+COUNTIFS($AG$4:$AG$1000,1,$AH$4:$AH$1000,"&gt;"&amp;$AH12)+COUNTIFS($AG$4:$AG$1000,1,$AH$4:$AH$1000,$AH12,'01 assessment'!$A$4:$A$1000,"&lt;"&amp;'01 assessment'!$A12))</f>
        <v>28</v>
      </c>
      <c r="AJ12">
        <f>IF('01 assessment'!$M12="","",1+COUNTIFS('01 assessment'!$A$4:$A$1000,"&lt;"&amp;'01 assessment'!$A12,'01 assessment'!$M$4:$M$1000,"&lt;&gt;")+COUNTIFS('01 assessment'!$A$4:$A$1000,'01 assessment'!$A12,'01 assessment'!$B$4:$B$1000,"&gt;"&amp;'01 assessment'!$B12,'01 assessment'!$M$4:$M$1000,"&lt;&gt;")+COUNTIFS('01 assessment'!$A$4:$A$1000,'01 assessment'!$A12,'01 assessment'!$B$4:$B$1000,'01 assessment'!$B12,'01 assessment'!$M$4:$M$1000,"&lt;"&amp;'01 assessment'!$M12))</f>
        <v>9</v>
      </c>
    </row>
    <row r="13" spans="1:36">
      <c r="W13" t="str">
        <f>IFERROR(INDEX('01 assessment'!$A$4:$A$1000,MATCH(ROWS($W$4:W13),$AJ$4:$AJ$1000,0)),"")</f>
        <v>Diagnostic Imaging</v>
      </c>
      <c r="X13">
        <f>IFERROR(INDEX('01 assessment'!$F$4:$F$1000,MATCH(ROWS($X$4:X13),$AJ$4:$AJ$1000,0)),"")</f>
        <v>18</v>
      </c>
      <c r="Y13" t="str">
        <f>IFERROR(INDEX('01 assessment'!$C$4:$C$1000,MATCH(ROWS($Y$4:Y13),$AJ$4:$AJ$1000,0)),"")</f>
        <v>RETURNED</v>
      </c>
      <c r="Z13">
        <f>IFERROR(INDEX('01 assessment'!$G$4:$G$1000,MATCH(ROWS($Z$4:Z13),$AJ$4:$AJ$1000,0)),"")</f>
        <v>9</v>
      </c>
      <c r="AA13" t="str">
        <f>IFERROR(INDEX('01 assessment'!$H$4:$H$1000,MATCH(ROWS($AA$4:AA13),$AJ$4:$AJ$1000,0)),"")</f>
        <v>HIGH</v>
      </c>
      <c r="AB13">
        <f>IFERROR(INDEX('01 assessment'!$B$4:$B$1000,MATCH(ROWS($AB$4:AB13),$AJ$4:$AJ$1000,0)),"")</f>
        <v>46118</v>
      </c>
      <c r="AC13" t="str">
        <f>IFERROR(INDEX('01 assessment'!$I$4:$I$1000,MATCH(ROWS($AC$4:AC13),$AJ$4:$AJ$1000,0)),"")</f>
        <v>RAH01-2026-010</v>
      </c>
      <c r="AD13" t="str">
        <f>IFERROR(INDEX('01 assessment'!$M$4:$M$1000,MATCH(ROWS($AD$4:AD13),$AJ$4:$AJ$1000,0)),"")</f>
        <v>ASM-2026-010</v>
      </c>
      <c r="AE13" t="str">
        <f>IFERROR(INDEX('01 assessment'!$A$4:$A$1000,MATCH(ROWS($AE$4:AE13),$AI$4:$AI$1000,0)),"")</f>
        <v>Paediatrics</v>
      </c>
      <c r="AF13">
        <f>IF(AE13="","",INDEX($AH$4:$AH$1000,MATCH(ROWS($AF$4:AF13),$AI$4:$AI$1000,0)))</f>
        <v>57</v>
      </c>
      <c r="AG13">
        <f>IF('01 assessment'!$M13="","",1+COUNTIFS('01 assessment'!$L$4:$L$1000,'01 assessment'!$L13,'01 assessment'!$J$4:$J$1000,"&gt;"&amp;'01 assessment'!$J13)+COUNTIFS('01 assessment'!$L$4:$L$1000,'01 assessment'!$L13,'01 assessment'!$J$4:$J$1000,'01 assessment'!$J13,'01 assessment'!$M$4:$M$1000,"&lt;"&amp;'01 assessment'!$M13))</f>
        <v>1</v>
      </c>
      <c r="AH13">
        <f>IF(OR($AG13&lt;&gt;1,'01 assessment'!$M13=""),"",SUMIFS('04 Hazards'!$K$4:$K$1000,'04 Hazards'!$S$4:$S$1000,'01 assessment'!$M13,'04 Hazards'!$R$4:$R$1000,TRUE,'04 Hazards'!$U$4:$U$1000,TRUE))</f>
        <v>54</v>
      </c>
      <c r="AI13">
        <f>IF(OR($AG13&lt;&gt;1,$AH13&lt;=0),"",1+COUNTIFS($AG$4:$AG$1000,1,$AH$4:$AH$1000,"&gt;"&amp;$AH13)+COUNTIFS($AG$4:$AG$1000,1,$AH$4:$AH$1000,$AH13,'01 assessment'!$A$4:$A$1000,"&lt;"&amp;'01 assessment'!$A13))</f>
        <v>16</v>
      </c>
      <c r="AJ13">
        <f>IF('01 assessment'!$M13="","",1+COUNTIFS('01 assessment'!$A$4:$A$1000,"&lt;"&amp;'01 assessment'!$A13,'01 assessment'!$M$4:$M$1000,"&lt;&gt;")+COUNTIFS('01 assessment'!$A$4:$A$1000,'01 assessment'!$A13,'01 assessment'!$B$4:$B$1000,"&gt;"&amp;'01 assessment'!$B13,'01 assessment'!$M$4:$M$1000,"&lt;&gt;")+COUNTIFS('01 assessment'!$A$4:$A$1000,'01 assessment'!$A13,'01 assessment'!$B$4:$B$1000,'01 assessment'!$B13,'01 assessment'!$M$4:$M$1000,"&lt;"&amp;'01 assessment'!$M13))</f>
        <v>10</v>
      </c>
    </row>
    <row r="14" spans="1:36">
      <c r="W14" t="str">
        <f>IFERROR(INDEX('01 assessment'!$A$4:$A$1000,MATCH(ROWS($W$4:W14),$AJ$4:$AJ$1000,0)),"")</f>
        <v>Emergency Medical Service</v>
      </c>
      <c r="X14">
        <f>IFERROR(INDEX('01 assessment'!$F$4:$F$1000,MATCH(ROWS($X$4:X14),$AJ$4:$AJ$1000,0)),"")</f>
        <v>25</v>
      </c>
      <c r="Y14" t="str">
        <f>IFERROR(INDEX('01 assessment'!$C$4:$C$1000,MATCH(ROWS($Y$4:Y14),$AJ$4:$AJ$1000,0)),"")</f>
        <v>SUBMITTED</v>
      </c>
      <c r="Z14">
        <f>IFERROR(INDEX('01 assessment'!$G$4:$G$1000,MATCH(ROWS($Z$4:Z14),$AJ$4:$AJ$1000,0)),"")</f>
        <v>4</v>
      </c>
      <c r="AA14" t="str">
        <f>IFERROR(INDEX('01 assessment'!$H$4:$H$1000,MATCH(ROWS($AA$4:AA14),$AJ$4:$AJ$1000,0)),"")</f>
        <v>MEDIUM</v>
      </c>
      <c r="AB14">
        <f>IFERROR(INDEX('01 assessment'!$B$4:$B$1000,MATCH(ROWS($AB$4:AB14),$AJ$4:$AJ$1000,0)),"")</f>
        <v>46151</v>
      </c>
      <c r="AC14" t="str">
        <f>IFERROR(INDEX('01 assessment'!$I$4:$I$1000,MATCH(ROWS($AC$4:AC14),$AJ$4:$AJ$1000,0)),"")</f>
        <v>RAH01-2026-011</v>
      </c>
      <c r="AD14" t="str">
        <f>IFERROR(INDEX('01 assessment'!$M$4:$M$1000,MATCH(ROWS($AD$4:AD14),$AJ$4:$AJ$1000,0)),"")</f>
        <v>ASM-2026-011</v>
      </c>
      <c r="AG14">
        <f>IF('01 assessment'!$M14="","",1+COUNTIFS('01 assessment'!$L$4:$L$1000,'01 assessment'!$L14,'01 assessment'!$J$4:$J$1000,"&gt;"&amp;'01 assessment'!$J14)+COUNTIFS('01 assessment'!$L$4:$L$1000,'01 assessment'!$L14,'01 assessment'!$J$4:$J$1000,'01 assessment'!$J14,'01 assessment'!$M$4:$M$1000,"&lt;"&amp;'01 assessment'!$M14))</f>
        <v>1</v>
      </c>
      <c r="AH14">
        <f>IF(OR($AG14&lt;&gt;1,'01 assessment'!$M14=""),"",SUMIFS('04 Hazards'!$K$4:$K$1000,'04 Hazards'!$S$4:$S$1000,'01 assessment'!$M14,'04 Hazards'!$R$4:$R$1000,TRUE,'04 Hazards'!$U$4:$U$1000,TRUE))</f>
        <v>20</v>
      </c>
      <c r="AI14">
        <f>IF(OR($AG14&lt;&gt;1,$AH14&lt;=0),"",1+COUNTIFS($AG$4:$AG$1000,1,$AH$4:$AH$1000,"&gt;"&amp;$AH14)+COUNTIFS($AG$4:$AG$1000,1,$AH$4:$AH$1000,$AH14,'01 assessment'!$A$4:$A$1000,"&lt;"&amp;'01 assessment'!$A14))</f>
        <v>45</v>
      </c>
      <c r="AJ14">
        <f>IF('01 assessment'!$M14="","",1+COUNTIFS('01 assessment'!$A$4:$A$1000,"&lt;"&amp;'01 assessment'!$A14,'01 assessment'!$M$4:$M$1000,"&lt;&gt;")+COUNTIFS('01 assessment'!$A$4:$A$1000,'01 assessment'!$A14,'01 assessment'!$B$4:$B$1000,"&gt;"&amp;'01 assessment'!$B14,'01 assessment'!$M$4:$M$1000,"&lt;&gt;")+COUNTIFS('01 assessment'!$A$4:$A$1000,'01 assessment'!$A14,'01 assessment'!$B$4:$B$1000,'01 assessment'!$B14,'01 assessment'!$M$4:$M$1000,"&lt;"&amp;'01 assessment'!$M14))</f>
        <v>11</v>
      </c>
    </row>
    <row r="15" spans="1:36">
      <c r="W15" t="str">
        <f>IFERROR(INDEX('01 assessment'!$A$4:$A$1000,MATCH(ROWS($W$4:W15),$AJ$4:$AJ$1000,0)),"")</f>
        <v>Endocrinology</v>
      </c>
      <c r="X15">
        <f>IFERROR(INDEX('01 assessment'!$F$4:$F$1000,MATCH(ROWS($X$4:X15),$AJ$4:$AJ$1000,0)),"")</f>
        <v>32</v>
      </c>
      <c r="Y15" t="str">
        <f>IFERROR(INDEX('01 assessment'!$C$4:$C$1000,MATCH(ROWS($Y$4:Y15),$AJ$4:$AJ$1000,0)),"")</f>
        <v>IN_REVIEW</v>
      </c>
      <c r="Z15">
        <f>IFERROR(INDEX('01 assessment'!$G$4:$G$1000,MATCH(ROWS($Z$4:Z15),$AJ$4:$AJ$1000,0)),"")</f>
        <v>9</v>
      </c>
      <c r="AA15" t="str">
        <f>IFERROR(INDEX('01 assessment'!$H$4:$H$1000,MATCH(ROWS($AA$4:AA15),$AJ$4:$AJ$1000,0)),"")</f>
        <v>HIGH</v>
      </c>
      <c r="AB15">
        <f>IFERROR(INDEX('01 assessment'!$B$4:$B$1000,MATCH(ROWS($AB$4:AB15),$AJ$4:$AJ$1000,0)),"")</f>
        <v>46185</v>
      </c>
      <c r="AC15" t="str">
        <f>IFERROR(INDEX('01 assessment'!$I$4:$I$1000,MATCH(ROWS($AC$4:AC15),$AJ$4:$AJ$1000,0)),"")</f>
        <v>RAH01-2026-012</v>
      </c>
      <c r="AD15" t="str">
        <f>IFERROR(INDEX('01 assessment'!$M$4:$M$1000,MATCH(ROWS($AD$4:AD15),$AJ$4:$AJ$1000,0)),"")</f>
        <v>ASM-2026-012</v>
      </c>
      <c r="AG15">
        <f>IF('01 assessment'!$M15="","",1+COUNTIFS('01 assessment'!$L$4:$L$1000,'01 assessment'!$L15,'01 assessment'!$J$4:$J$1000,"&gt;"&amp;'01 assessment'!$J15)+COUNTIFS('01 assessment'!$L$4:$L$1000,'01 assessment'!$L15,'01 assessment'!$J$4:$J$1000,'01 assessment'!$J15,'01 assessment'!$M$4:$M$1000,"&lt;"&amp;'01 assessment'!$M15))</f>
        <v>1</v>
      </c>
      <c r="AH15">
        <f>IF(OR($AG15&lt;&gt;1,'01 assessment'!$M15=""),"",SUMIFS('04 Hazards'!$K$4:$K$1000,'04 Hazards'!$S$4:$S$1000,'01 assessment'!$M15,'04 Hazards'!$R$4:$R$1000,TRUE,'04 Hazards'!$U$4:$U$1000,TRUE))</f>
        <v>42</v>
      </c>
      <c r="AI15">
        <f>IF(OR($AG15&lt;&gt;1,$AH15&lt;=0),"",1+COUNTIFS($AG$4:$AG$1000,1,$AH$4:$AH$1000,"&gt;"&amp;$AH15)+COUNTIFS($AG$4:$AG$1000,1,$AH$4:$AH$1000,$AH15,'01 assessment'!$A$4:$A$1000,"&lt;"&amp;'01 assessment'!$A15))</f>
        <v>33</v>
      </c>
      <c r="AJ15">
        <f>IF('01 assessment'!$M15="","",1+COUNTIFS('01 assessment'!$A$4:$A$1000,"&lt;"&amp;'01 assessment'!$A15,'01 assessment'!$M$4:$M$1000,"&lt;&gt;")+COUNTIFS('01 assessment'!$A$4:$A$1000,'01 assessment'!$A15,'01 assessment'!$B$4:$B$1000,"&gt;"&amp;'01 assessment'!$B15,'01 assessment'!$M$4:$M$1000,"&lt;&gt;")+COUNTIFS('01 assessment'!$A$4:$A$1000,'01 assessment'!$A15,'01 assessment'!$B$4:$B$1000,'01 assessment'!$B15,'01 assessment'!$M$4:$M$1000,"&lt;"&amp;'01 assessment'!$M15))</f>
        <v>12</v>
      </c>
    </row>
    <row r="16" spans="1:36">
      <c r="W16" t="str">
        <f>IFERROR(INDEX('01 assessment'!$A$4:$A$1000,MATCH(ROWS($W$4:W16),$AJ$4:$AJ$1000,0)),"")</f>
        <v>ENT</v>
      </c>
      <c r="X16">
        <f>IFERROR(INDEX('01 assessment'!$F$4:$F$1000,MATCH(ROWS($X$4:X16),$AJ$4:$AJ$1000,0)),"")</f>
        <v>39</v>
      </c>
      <c r="Y16" t="str">
        <f>IFERROR(INDEX('01 assessment'!$C$4:$C$1000,MATCH(ROWS($Y$4:Y16),$AJ$4:$AJ$1000,0)),"")</f>
        <v>CLOSED</v>
      </c>
      <c r="Z16">
        <f>IFERROR(INDEX('01 assessment'!$G$4:$G$1000,MATCH(ROWS($Z$4:Z16),$AJ$4:$AJ$1000,0)),"")</f>
        <v>4</v>
      </c>
      <c r="AA16" t="str">
        <f>IFERROR(INDEX('01 assessment'!$H$4:$H$1000,MATCH(ROWS($AA$4:AA16),$AJ$4:$AJ$1000,0)),"")</f>
        <v>MEDIUM</v>
      </c>
      <c r="AB16">
        <f>IFERROR(INDEX('01 assessment'!$B$4:$B$1000,MATCH(ROWS($AB$4:AB16),$AJ$4:$AJ$1000,0)),"")</f>
        <v>46037</v>
      </c>
      <c r="AC16" t="str">
        <f>IFERROR(INDEX('01 assessment'!$I$4:$I$1000,MATCH(ROWS($AC$4:AC16),$AJ$4:$AJ$1000,0)),"")</f>
        <v>RAH01-2026-013</v>
      </c>
      <c r="AD16" t="str">
        <f>IFERROR(INDEX('01 assessment'!$M$4:$M$1000,MATCH(ROWS($AD$4:AD16),$AJ$4:$AJ$1000,0)),"")</f>
        <v>ASM-2026-013</v>
      </c>
      <c r="AG16">
        <f>IF('01 assessment'!$M16="","",1+COUNTIFS('01 assessment'!$L$4:$L$1000,'01 assessment'!$L16,'01 assessment'!$J$4:$J$1000,"&gt;"&amp;'01 assessment'!$J16)+COUNTIFS('01 assessment'!$L$4:$L$1000,'01 assessment'!$L16,'01 assessment'!$J$4:$J$1000,'01 assessment'!$J16,'01 assessment'!$M$4:$M$1000,"&lt;"&amp;'01 assessment'!$M16))</f>
        <v>1</v>
      </c>
      <c r="AH16">
        <f>IF(OR($AG16&lt;&gt;1,'01 assessment'!$M16=""),"",SUMIFS('04 Hazards'!$K$4:$K$1000,'04 Hazards'!$S$4:$S$1000,'01 assessment'!$M16,'04 Hazards'!$R$4:$R$1000,TRUE,'04 Hazards'!$U$4:$U$1000,TRUE))</f>
        <v>24</v>
      </c>
      <c r="AI16">
        <f>IF(OR($AG16&lt;&gt;1,$AH16&lt;=0),"",1+COUNTIFS($AG$4:$AG$1000,1,$AH$4:$AH$1000,"&gt;"&amp;$AH16)+COUNTIFS($AG$4:$AG$1000,1,$AH$4:$AH$1000,$AH16,'01 assessment'!$A$4:$A$1000,"&lt;"&amp;'01 assessment'!$A16))</f>
        <v>39</v>
      </c>
      <c r="AJ16">
        <f>IF('01 assessment'!$M16="","",1+COUNTIFS('01 assessment'!$A$4:$A$1000,"&lt;"&amp;'01 assessment'!$A16,'01 assessment'!$M$4:$M$1000,"&lt;&gt;")+COUNTIFS('01 assessment'!$A$4:$A$1000,'01 assessment'!$A16,'01 assessment'!$B$4:$B$1000,"&gt;"&amp;'01 assessment'!$B16,'01 assessment'!$M$4:$M$1000,"&lt;&gt;")+COUNTIFS('01 assessment'!$A$4:$A$1000,'01 assessment'!$A16,'01 assessment'!$B$4:$B$1000,'01 assessment'!$B16,'01 assessment'!$M$4:$M$1000,"&lt;"&amp;'01 assessment'!$M16))</f>
        <v>13</v>
      </c>
    </row>
    <row r="17" spans="1:36">
      <c r="W17" t="str">
        <f>IFERROR(INDEX('01 assessment'!$A$4:$A$1000,MATCH(ROWS($W$4:W17),$AJ$4:$AJ$1000,0)),"")</f>
        <v>Environmental Health</v>
      </c>
      <c r="X17">
        <f>IFERROR(INDEX('01 assessment'!$F$4:$F$1000,MATCH(ROWS($X$4:X17),$AJ$4:$AJ$1000,0)),"")</f>
        <v>46</v>
      </c>
      <c r="Y17" t="str">
        <f>IFERROR(INDEX('01 assessment'!$C$4:$C$1000,MATCH(ROWS($Y$4:Y17),$AJ$4:$AJ$1000,0)),"")</f>
        <v>CLOSED</v>
      </c>
      <c r="Z17">
        <f>IFERROR(INDEX('01 assessment'!$G$4:$G$1000,MATCH(ROWS($Z$4:Z17),$AJ$4:$AJ$1000,0)),"")</f>
        <v>4</v>
      </c>
      <c r="AA17" t="str">
        <f>IFERROR(INDEX('01 assessment'!$H$4:$H$1000,MATCH(ROWS($AA$4:AA17),$AJ$4:$AJ$1000,0)),"")</f>
        <v>MEDIUM</v>
      </c>
      <c r="AB17">
        <f>IFERROR(INDEX('01 assessment'!$B$4:$B$1000,MATCH(ROWS($AB$4:AB17),$AJ$4:$AJ$1000,0)),"")</f>
        <v>46071</v>
      </c>
      <c r="AC17" t="str">
        <f>IFERROR(INDEX('01 assessment'!$I$4:$I$1000,MATCH(ROWS($AC$4:AC17),$AJ$4:$AJ$1000,0)),"")</f>
        <v>RAH01-2026-014</v>
      </c>
      <c r="AD17" t="str">
        <f>IFERROR(INDEX('01 assessment'!$M$4:$M$1000,MATCH(ROWS($AD$4:AD17),$AJ$4:$AJ$1000,0)),"")</f>
        <v>ASM-2026-014</v>
      </c>
      <c r="AG17">
        <f>IF('01 assessment'!$M17="","",1+COUNTIFS('01 assessment'!$L$4:$L$1000,'01 assessment'!$L17,'01 assessment'!$J$4:$J$1000,"&gt;"&amp;'01 assessment'!$J17)+COUNTIFS('01 assessment'!$L$4:$L$1000,'01 assessment'!$L17,'01 assessment'!$J$4:$J$1000,'01 assessment'!$J17,'01 assessment'!$M$4:$M$1000,"&lt;"&amp;'01 assessment'!$M17))</f>
        <v>1</v>
      </c>
      <c r="AH17">
        <f>IF(OR($AG17&lt;&gt;1,'01 assessment'!$M17=""),"",SUMIFS('04 Hazards'!$K$4:$K$1000,'04 Hazards'!$S$4:$S$1000,'01 assessment'!$M17,'04 Hazards'!$R$4:$R$1000,TRUE,'04 Hazards'!$U$4:$U$1000,TRUE))</f>
        <v>23</v>
      </c>
      <c r="AI17">
        <f>IF(OR($AG17&lt;&gt;1,$AH17&lt;=0),"",1+COUNTIFS($AG$4:$AG$1000,1,$AH$4:$AH$1000,"&gt;"&amp;$AH17)+COUNTIFS($AG$4:$AG$1000,1,$AH$4:$AH$1000,$AH17,'01 assessment'!$A$4:$A$1000,"&lt;"&amp;'01 assessment'!$A17))</f>
        <v>41</v>
      </c>
      <c r="AJ17">
        <f>IF('01 assessment'!$M17="","",1+COUNTIFS('01 assessment'!$A$4:$A$1000,"&lt;"&amp;'01 assessment'!$A17,'01 assessment'!$M$4:$M$1000,"&lt;&gt;")+COUNTIFS('01 assessment'!$A$4:$A$1000,'01 assessment'!$A17,'01 assessment'!$B$4:$B$1000,"&gt;"&amp;'01 assessment'!$B17,'01 assessment'!$M$4:$M$1000,"&lt;&gt;")+COUNTIFS('01 assessment'!$A$4:$A$1000,'01 assessment'!$A17,'01 assessment'!$B$4:$B$1000,'01 assessment'!$B17,'01 assessment'!$M$4:$M$1000,"&lt;"&amp;'01 assessment'!$M17))</f>
        <v>14</v>
      </c>
    </row>
    <row r="18" spans="1:36">
      <c r="W18" t="str">
        <f>IFERROR(INDEX('01 assessment'!$A$4:$A$1000,MATCH(ROWS($W$4:W18),$AJ$4:$AJ$1000,0)),"")</f>
        <v>Eye Clinic</v>
      </c>
      <c r="X18">
        <f>IFERROR(INDEX('01 assessment'!$F$4:$F$1000,MATCH(ROWS($X$4:X18),$AJ$4:$AJ$1000,0)),"")</f>
        <v>53</v>
      </c>
      <c r="Y18" t="str">
        <f>IFERROR(INDEX('01 assessment'!$C$4:$C$1000,MATCH(ROWS($Y$4:Y18),$AJ$4:$AJ$1000,0)),"")</f>
        <v>RETURNED</v>
      </c>
      <c r="Z18">
        <f>IFERROR(INDEX('01 assessment'!$G$4:$G$1000,MATCH(ROWS($Z$4:Z18),$AJ$4:$AJ$1000,0)),"")</f>
        <v>4</v>
      </c>
      <c r="AA18" t="str">
        <f>IFERROR(INDEX('01 assessment'!$H$4:$H$1000,MATCH(ROWS($AA$4:AA18),$AJ$4:$AJ$1000,0)),"")</f>
        <v>MEDIUM</v>
      </c>
      <c r="AB18">
        <f>IFERROR(INDEX('01 assessment'!$B$4:$B$1000,MATCH(ROWS($AB$4:AB18),$AJ$4:$AJ$1000,0)),"")</f>
        <v>46102</v>
      </c>
      <c r="AC18" t="str">
        <f>IFERROR(INDEX('01 assessment'!$I$4:$I$1000,MATCH(ROWS($AC$4:AC18),$AJ$4:$AJ$1000,0)),"")</f>
        <v>RAH01-2026-015</v>
      </c>
      <c r="AD18" t="str">
        <f>IFERROR(INDEX('01 assessment'!$M$4:$M$1000,MATCH(ROWS($AD$4:AD18),$AJ$4:$AJ$1000,0)),"")</f>
        <v>ASM-2026-015</v>
      </c>
      <c r="AG18">
        <f>IF('01 assessment'!$M18="","",1+COUNTIFS('01 assessment'!$L$4:$L$1000,'01 assessment'!$L18,'01 assessment'!$J$4:$J$1000,"&gt;"&amp;'01 assessment'!$J18)+COUNTIFS('01 assessment'!$L$4:$L$1000,'01 assessment'!$L18,'01 assessment'!$J$4:$J$1000,'01 assessment'!$J18,'01 assessment'!$M$4:$M$1000,"&lt;"&amp;'01 assessment'!$M18))</f>
        <v>1</v>
      </c>
      <c r="AH18">
        <f>IF(OR($AG18&lt;&gt;1,'01 assessment'!$M18=""),"",SUMIFS('04 Hazards'!$K$4:$K$1000,'04 Hazards'!$S$4:$S$1000,'01 assessment'!$M18,'04 Hazards'!$R$4:$R$1000,TRUE,'04 Hazards'!$U$4:$U$1000,TRUE))</f>
        <v>20</v>
      </c>
      <c r="AI18">
        <f>IF(OR($AG18&lt;&gt;1,$AH18&lt;=0),"",1+COUNTIFS($AG$4:$AG$1000,1,$AH$4:$AH$1000,"&gt;"&amp;$AH18)+COUNTIFS($AG$4:$AG$1000,1,$AH$4:$AH$1000,$AH18,'01 assessment'!$A$4:$A$1000,"&lt;"&amp;'01 assessment'!$A18))</f>
        <v>46</v>
      </c>
      <c r="AJ18">
        <f>IF('01 assessment'!$M18="","",1+COUNTIFS('01 assessment'!$A$4:$A$1000,"&lt;"&amp;'01 assessment'!$A18,'01 assessment'!$M$4:$M$1000,"&lt;&gt;")+COUNTIFS('01 assessment'!$A$4:$A$1000,'01 assessment'!$A18,'01 assessment'!$B$4:$B$1000,"&gt;"&amp;'01 assessment'!$B18,'01 assessment'!$M$4:$M$1000,"&lt;&gt;")+COUNTIFS('01 assessment'!$A$4:$A$1000,'01 assessment'!$A18,'01 assessment'!$B$4:$B$1000,'01 assessment'!$B18,'01 assessment'!$M$4:$M$1000,"&lt;"&amp;'01 assessment'!$M18))</f>
        <v>15</v>
      </c>
    </row>
    <row r="19" spans="1:36">
      <c r="W19" t="str">
        <f>IFERROR(INDEX('01 assessment'!$A$4:$A$1000,MATCH(ROWS($W$4:W19),$AJ$4:$AJ$1000,0)),"")</f>
        <v>Family Medicine</v>
      </c>
      <c r="X19">
        <f>IFERROR(INDEX('01 assessment'!$F$4:$F$1000,MATCH(ROWS($X$4:X19),$AJ$4:$AJ$1000,0)),"")</f>
        <v>60</v>
      </c>
      <c r="Y19" t="str">
        <f>IFERROR(INDEX('01 assessment'!$C$4:$C$1000,MATCH(ROWS($Y$4:Y19),$AJ$4:$AJ$1000,0)),"")</f>
        <v>SUBMITTED</v>
      </c>
      <c r="Z19">
        <f>IFERROR(INDEX('01 assessment'!$G$4:$G$1000,MATCH(ROWS($Z$4:Z19),$AJ$4:$AJ$1000,0)),"")</f>
        <v>9</v>
      </c>
      <c r="AA19" t="str">
        <f>IFERROR(INDEX('01 assessment'!$H$4:$H$1000,MATCH(ROWS($AA$4:AA19),$AJ$4:$AJ$1000,0)),"")</f>
        <v>HIGH</v>
      </c>
      <c r="AB19">
        <f>IFERROR(INDEX('01 assessment'!$B$4:$B$1000,MATCH(ROWS($AB$4:AB19),$AJ$4:$AJ$1000,0)),"")</f>
        <v>46136</v>
      </c>
      <c r="AC19" t="str">
        <f>IFERROR(INDEX('01 assessment'!$I$4:$I$1000,MATCH(ROWS($AC$4:AC19),$AJ$4:$AJ$1000,0)),"")</f>
        <v>RAH01-2026-016</v>
      </c>
      <c r="AD19" t="str">
        <f>IFERROR(INDEX('01 assessment'!$M$4:$M$1000,MATCH(ROWS($AD$4:AD19),$AJ$4:$AJ$1000,0)),"")</f>
        <v>ASM-2026-016</v>
      </c>
      <c r="AG19">
        <f>IF('01 assessment'!$M19="","",1+COUNTIFS('01 assessment'!$L$4:$L$1000,'01 assessment'!$L19,'01 assessment'!$J$4:$J$1000,"&gt;"&amp;'01 assessment'!$J19)+COUNTIFS('01 assessment'!$L$4:$L$1000,'01 assessment'!$L19,'01 assessment'!$J$4:$J$1000,'01 assessment'!$J19,'01 assessment'!$M$4:$M$1000,"&lt;"&amp;'01 assessment'!$M19))</f>
        <v>1</v>
      </c>
      <c r="AH19">
        <f>IF(OR($AG19&lt;&gt;1,'01 assessment'!$M19=""),"",SUMIFS('04 Hazards'!$K$4:$K$1000,'04 Hazards'!$S$4:$S$1000,'01 assessment'!$M19,'04 Hazards'!$R$4:$R$1000,TRUE,'04 Hazards'!$U$4:$U$1000,TRUE))</f>
        <v>42</v>
      </c>
      <c r="AI19">
        <f>IF(OR($AG19&lt;&gt;1,$AH19&lt;=0),"",1+COUNTIFS($AG$4:$AG$1000,1,$AH$4:$AH$1000,"&gt;"&amp;$AH19)+COUNTIFS($AG$4:$AG$1000,1,$AH$4:$AH$1000,$AH19,'01 assessment'!$A$4:$A$1000,"&lt;"&amp;'01 assessment'!$A19))</f>
        <v>34</v>
      </c>
      <c r="AJ19">
        <f>IF('01 assessment'!$M19="","",1+COUNTIFS('01 assessment'!$A$4:$A$1000,"&lt;"&amp;'01 assessment'!$A19,'01 assessment'!$M$4:$M$1000,"&lt;&gt;")+COUNTIFS('01 assessment'!$A$4:$A$1000,'01 assessment'!$A19,'01 assessment'!$B$4:$B$1000,"&gt;"&amp;'01 assessment'!$B19,'01 assessment'!$M$4:$M$1000,"&lt;&gt;")+COUNTIFS('01 assessment'!$A$4:$A$1000,'01 assessment'!$A19,'01 assessment'!$B$4:$B$1000,'01 assessment'!$B19,'01 assessment'!$M$4:$M$1000,"&lt;"&amp;'01 assessment'!$M19))</f>
        <v>16</v>
      </c>
    </row>
    <row r="20" spans="1:36">
      <c r="W20" t="str">
        <f>IFERROR(INDEX('01 assessment'!$A$4:$A$1000,MATCH(ROWS($W$4:W20),$AJ$4:$AJ$1000,0)),"")</f>
        <v>Gastroenterology</v>
      </c>
      <c r="X20">
        <f>IFERROR(INDEX('01 assessment'!$F$4:$F$1000,MATCH(ROWS($X$4:X20),$AJ$4:$AJ$1000,0)),"")</f>
        <v>9</v>
      </c>
      <c r="Y20" t="str">
        <f>IFERROR(INDEX('01 assessment'!$C$4:$C$1000,MATCH(ROWS($Y$4:Y20),$AJ$4:$AJ$1000,0)),"")</f>
        <v>IN_REVIEW</v>
      </c>
      <c r="Z20">
        <f>IFERROR(INDEX('01 assessment'!$G$4:$G$1000,MATCH(ROWS($Z$4:Z20),$AJ$4:$AJ$1000,0)),"")</f>
        <v>4</v>
      </c>
      <c r="AA20" t="str">
        <f>IFERROR(INDEX('01 assessment'!$H$4:$H$1000,MATCH(ROWS($AA$4:AA20),$AJ$4:$AJ$1000,0)),"")</f>
        <v>MEDIUM</v>
      </c>
      <c r="AB20">
        <f>IFERROR(INDEX('01 assessment'!$B$4:$B$1000,MATCH(ROWS($AB$4:AB20),$AJ$4:$AJ$1000,0)),"")</f>
        <v>46144</v>
      </c>
      <c r="AC20" t="str">
        <f>IFERROR(INDEX('01 assessment'!$I$4:$I$1000,MATCH(ROWS($AC$4:AC20),$AJ$4:$AJ$1000,0)),"")</f>
        <v>RAH01-2026-017</v>
      </c>
      <c r="AD20" t="str">
        <f>IFERROR(INDEX('01 assessment'!$M$4:$M$1000,MATCH(ROWS($AD$4:AD20),$AJ$4:$AJ$1000,0)),"")</f>
        <v>ASM-2026-017</v>
      </c>
      <c r="AG20">
        <f>IF('01 assessment'!$M20="","",1+COUNTIFS('01 assessment'!$L$4:$L$1000,'01 assessment'!$L20,'01 assessment'!$J$4:$J$1000,"&gt;"&amp;'01 assessment'!$J20)+COUNTIFS('01 assessment'!$L$4:$L$1000,'01 assessment'!$L20,'01 assessment'!$J$4:$J$1000,'01 assessment'!$J20,'01 assessment'!$M$4:$M$1000,"&lt;"&amp;'01 assessment'!$M20))</f>
        <v>1</v>
      </c>
      <c r="AH20">
        <f>IF(OR($AG20&lt;&gt;1,'01 assessment'!$M20=""),"",SUMIFS('04 Hazards'!$K$4:$K$1000,'04 Hazards'!$S$4:$S$1000,'01 assessment'!$M20,'04 Hazards'!$R$4:$R$1000,TRUE,'04 Hazards'!$U$4:$U$1000,TRUE))</f>
        <v>20</v>
      </c>
      <c r="AI20">
        <f>IF(OR($AG20&lt;&gt;1,$AH20&lt;=0),"",1+COUNTIFS($AG$4:$AG$1000,1,$AH$4:$AH$1000,"&gt;"&amp;$AH20)+COUNTIFS($AG$4:$AG$1000,1,$AH$4:$AH$1000,$AH20,'01 assessment'!$A$4:$A$1000,"&lt;"&amp;'01 assessment'!$A20))</f>
        <v>47</v>
      </c>
      <c r="AJ20">
        <f>IF('01 assessment'!$M20="","",1+COUNTIFS('01 assessment'!$A$4:$A$1000,"&lt;"&amp;'01 assessment'!$A20,'01 assessment'!$M$4:$M$1000,"&lt;&gt;")+COUNTIFS('01 assessment'!$A$4:$A$1000,'01 assessment'!$A20,'01 assessment'!$B$4:$B$1000,"&gt;"&amp;'01 assessment'!$B20,'01 assessment'!$M$4:$M$1000,"&lt;&gt;")+COUNTIFS('01 assessment'!$A$4:$A$1000,'01 assessment'!$A20,'01 assessment'!$B$4:$B$1000,'01 assessment'!$B20,'01 assessment'!$M$4:$M$1000,"&lt;"&amp;'01 assessment'!$M20))</f>
        <v>17</v>
      </c>
    </row>
    <row r="21" spans="1:36">
      <c r="W21" t="str">
        <f>IFERROR(INDEX('01 assessment'!$A$4:$A$1000,MATCH(ROWS($W$4:W21),$AJ$4:$AJ$1000,0)),"")</f>
        <v>General Surgery</v>
      </c>
      <c r="X21">
        <f>IFERROR(INDEX('01 assessment'!$F$4:$F$1000,MATCH(ROWS($X$4:X21),$AJ$4:$AJ$1000,0)),"")</f>
        <v>16</v>
      </c>
      <c r="Y21" t="str">
        <f>IFERROR(INDEX('01 assessment'!$C$4:$C$1000,MATCH(ROWS($Y$4:Y21),$AJ$4:$AJ$1000,0)),"")</f>
        <v>CLOSED</v>
      </c>
      <c r="Z21">
        <f>IFERROR(INDEX('01 assessment'!$G$4:$G$1000,MATCH(ROWS($Z$4:Z21),$AJ$4:$AJ$1000,0)),"")</f>
        <v>9</v>
      </c>
      <c r="AA21" t="str">
        <f>IFERROR(INDEX('01 assessment'!$H$4:$H$1000,MATCH(ROWS($AA$4:AA21),$AJ$4:$AJ$1000,0)),"")</f>
        <v>HIGH</v>
      </c>
      <c r="AB21">
        <f>IFERROR(INDEX('01 assessment'!$B$4:$B$1000,MATCH(ROWS($AB$4:AB21),$AJ$4:$AJ$1000,0)),"")</f>
        <v>46178</v>
      </c>
      <c r="AC21" t="str">
        <f>IFERROR(INDEX('01 assessment'!$I$4:$I$1000,MATCH(ROWS($AC$4:AC21),$AJ$4:$AJ$1000,0)),"")</f>
        <v>RAH01-2026-018</v>
      </c>
      <c r="AD21" t="str">
        <f>IFERROR(INDEX('01 assessment'!$M$4:$M$1000,MATCH(ROWS($AD$4:AD21),$AJ$4:$AJ$1000,0)),"")</f>
        <v>ASM-2026-018</v>
      </c>
      <c r="AG21">
        <f>IF('01 assessment'!$M21="","",1+COUNTIFS('01 assessment'!$L$4:$L$1000,'01 assessment'!$L21,'01 assessment'!$J$4:$J$1000,"&gt;"&amp;'01 assessment'!$J21)+COUNTIFS('01 assessment'!$L$4:$L$1000,'01 assessment'!$L21,'01 assessment'!$J$4:$J$1000,'01 assessment'!$J21,'01 assessment'!$M$4:$M$1000,"&lt;"&amp;'01 assessment'!$M21))</f>
        <v>1</v>
      </c>
      <c r="AH21">
        <f>IF(OR($AG21&lt;&gt;1,'01 assessment'!$M21=""),"",SUMIFS('04 Hazards'!$K$4:$K$1000,'04 Hazards'!$S$4:$S$1000,'01 assessment'!$M21,'04 Hazards'!$R$4:$R$1000,TRUE,'04 Hazards'!$U$4:$U$1000,TRUE))</f>
        <v>48</v>
      </c>
      <c r="AI21">
        <f>IF(OR($AG21&lt;&gt;1,$AH21&lt;=0),"",1+COUNTIFS($AG$4:$AG$1000,1,$AH$4:$AH$1000,"&gt;"&amp;$AH21)+COUNTIFS($AG$4:$AG$1000,1,$AH$4:$AH$1000,$AH21,'01 assessment'!$A$4:$A$1000,"&lt;"&amp;'01 assessment'!$A21))</f>
        <v>29</v>
      </c>
      <c r="AJ21">
        <f>IF('01 assessment'!$M21="","",1+COUNTIFS('01 assessment'!$A$4:$A$1000,"&lt;"&amp;'01 assessment'!$A21,'01 assessment'!$M$4:$M$1000,"&lt;&gt;")+COUNTIFS('01 assessment'!$A$4:$A$1000,'01 assessment'!$A21,'01 assessment'!$B$4:$B$1000,"&gt;"&amp;'01 assessment'!$B21,'01 assessment'!$M$4:$M$1000,"&lt;&gt;")+COUNTIFS('01 assessment'!$A$4:$A$1000,'01 assessment'!$A21,'01 assessment'!$B$4:$B$1000,'01 assessment'!$B21,'01 assessment'!$M$4:$M$1000,"&lt;"&amp;'01 assessment'!$M21))</f>
        <v>18</v>
      </c>
    </row>
    <row r="22" spans="1:36" ht="16">
      <c r="A22" s="28" t="s">
        <v>3084</v>
      </c>
      <c r="B22" s="28"/>
      <c r="C22" s="28"/>
      <c r="D22" s="28"/>
      <c r="E22" s="28"/>
      <c r="F22" s="28"/>
      <c r="G22" s="28"/>
      <c r="H22" s="28"/>
      <c r="I22" s="28"/>
      <c r="W22" t="str">
        <f>IFERROR(INDEX('01 assessment'!$A$4:$A$1000,MATCH(ROWS($W$4:W22),$AJ$4:$AJ$1000,0)),"")</f>
        <v>Haemodialysis</v>
      </c>
      <c r="X22">
        <f>IFERROR(INDEX('01 assessment'!$F$4:$F$1000,MATCH(ROWS($X$4:X22),$AJ$4:$AJ$1000,0)),"")</f>
        <v>23</v>
      </c>
      <c r="Y22" t="str">
        <f>IFERROR(INDEX('01 assessment'!$C$4:$C$1000,MATCH(ROWS($Y$4:Y22),$AJ$4:$AJ$1000,0)),"")</f>
        <v>CLOSED</v>
      </c>
      <c r="Z22">
        <f>IFERROR(INDEX('01 assessment'!$G$4:$G$1000,MATCH(ROWS($Z$4:Z22),$AJ$4:$AJ$1000,0)),"")</f>
        <v>4</v>
      </c>
      <c r="AA22" t="str">
        <f>IFERROR(INDEX('01 assessment'!$H$4:$H$1000,MATCH(ROWS($AA$4:AA22),$AJ$4:$AJ$1000,0)),"")</f>
        <v>MEDIUM</v>
      </c>
      <c r="AB22">
        <f>IFERROR(INDEX('01 assessment'!$B$4:$B$1000,MATCH(ROWS($AB$4:AB22),$AJ$4:$AJ$1000,0)),"")</f>
        <v>46030</v>
      </c>
      <c r="AC22" t="str">
        <f>IFERROR(INDEX('01 assessment'!$I$4:$I$1000,MATCH(ROWS($AC$4:AC22),$AJ$4:$AJ$1000,0)),"")</f>
        <v>RAH01-2026-019</v>
      </c>
      <c r="AD22" t="str">
        <f>IFERROR(INDEX('01 assessment'!$M$4:$M$1000,MATCH(ROWS($AD$4:AD22),$AJ$4:$AJ$1000,0)),"")</f>
        <v>ASM-2026-019</v>
      </c>
      <c r="AG22">
        <f>IF('01 assessment'!$M22="","",1+COUNTIFS('01 assessment'!$L$4:$L$1000,'01 assessment'!$L22,'01 assessment'!$J$4:$J$1000,"&gt;"&amp;'01 assessment'!$J22)+COUNTIFS('01 assessment'!$L$4:$L$1000,'01 assessment'!$L22,'01 assessment'!$J$4:$J$1000,'01 assessment'!$J22,'01 assessment'!$M$4:$M$1000,"&lt;"&amp;'01 assessment'!$M22))</f>
        <v>1</v>
      </c>
      <c r="AH22">
        <f>IF(OR($AG22&lt;&gt;1,'01 assessment'!$M22=""),"",SUMIFS('04 Hazards'!$K$4:$K$1000,'04 Hazards'!$S$4:$S$1000,'01 assessment'!$M22,'04 Hazards'!$R$4:$R$1000,TRUE,'04 Hazards'!$U$4:$U$1000,TRUE))</f>
        <v>20</v>
      </c>
      <c r="AI22">
        <f>IF(OR($AG22&lt;&gt;1,$AH22&lt;=0),"",1+COUNTIFS($AG$4:$AG$1000,1,$AH$4:$AH$1000,"&gt;"&amp;$AH22)+COUNTIFS($AG$4:$AG$1000,1,$AH$4:$AH$1000,$AH22,'01 assessment'!$A$4:$A$1000,"&lt;"&amp;'01 assessment'!$A22))</f>
        <v>48</v>
      </c>
      <c r="AJ22">
        <f>IF('01 assessment'!$M22="","",1+COUNTIFS('01 assessment'!$A$4:$A$1000,"&lt;"&amp;'01 assessment'!$A22,'01 assessment'!$M$4:$M$1000,"&lt;&gt;")+COUNTIFS('01 assessment'!$A$4:$A$1000,'01 assessment'!$A22,'01 assessment'!$B$4:$B$1000,"&gt;"&amp;'01 assessment'!$B22,'01 assessment'!$M$4:$M$1000,"&lt;&gt;")+COUNTIFS('01 assessment'!$A$4:$A$1000,'01 assessment'!$A22,'01 assessment'!$B$4:$B$1000,'01 assessment'!$B22,'01 assessment'!$M$4:$M$1000,"&lt;"&amp;'01 assessment'!$M22))</f>
        <v>19</v>
      </c>
    </row>
    <row r="23" spans="1:36">
      <c r="A23" s="21" t="s">
        <v>3085</v>
      </c>
      <c r="B23" s="21" t="s">
        <v>3086</v>
      </c>
      <c r="C23" s="21" t="s">
        <v>3087</v>
      </c>
      <c r="D23" s="21" t="s">
        <v>3088</v>
      </c>
      <c r="E23" s="21" t="s">
        <v>3089</v>
      </c>
      <c r="F23" s="21" t="s">
        <v>3090</v>
      </c>
      <c r="G23" s="21" t="s">
        <v>3091</v>
      </c>
      <c r="H23" s="21" t="s">
        <v>3092</v>
      </c>
      <c r="I23" s="21" t="s">
        <v>3093</v>
      </c>
      <c r="W23" t="str">
        <f>IFERROR(INDEX('01 assessment'!$A$4:$A$1000,MATCH(ROWS($W$4:W23),$AJ$4:$AJ$1000,0)),"")</f>
        <v>Health Promotion</v>
      </c>
      <c r="X23">
        <f>IFERROR(INDEX('01 assessment'!$F$4:$F$1000,MATCH(ROWS($X$4:X23),$AJ$4:$AJ$1000,0)),"")</f>
        <v>30</v>
      </c>
      <c r="Y23" t="str">
        <f>IFERROR(INDEX('01 assessment'!$C$4:$C$1000,MATCH(ROWS($Y$4:Y23),$AJ$4:$AJ$1000,0)),"")</f>
        <v>RETURNED</v>
      </c>
      <c r="Z23">
        <f>IFERROR(INDEX('01 assessment'!$G$4:$G$1000,MATCH(ROWS($Z$4:Z23),$AJ$4:$AJ$1000,0)),"")</f>
        <v>9</v>
      </c>
      <c r="AA23" t="str">
        <f>IFERROR(INDEX('01 assessment'!$H$4:$H$1000,MATCH(ROWS($AA$4:AA23),$AJ$4:$AJ$1000,0)),"")</f>
        <v>HIGH</v>
      </c>
      <c r="AB23">
        <f>IFERROR(INDEX('01 assessment'!$B$4:$B$1000,MATCH(ROWS($AB$4:AB23),$AJ$4:$AJ$1000,0)),"")</f>
        <v>46064</v>
      </c>
      <c r="AC23" t="str">
        <f>IFERROR(INDEX('01 assessment'!$I$4:$I$1000,MATCH(ROWS($AC$4:AC23),$AJ$4:$AJ$1000,0)),"")</f>
        <v>RAH01-2026-020</v>
      </c>
      <c r="AD23" t="str">
        <f>IFERROR(INDEX('01 assessment'!$M$4:$M$1000,MATCH(ROWS($AD$4:AD23),$AJ$4:$AJ$1000,0)),"")</f>
        <v>ASM-2026-020</v>
      </c>
      <c r="AG23">
        <f>IF('01 assessment'!$M23="","",1+COUNTIFS('01 assessment'!$L$4:$L$1000,'01 assessment'!$L23,'01 assessment'!$J$4:$J$1000,"&gt;"&amp;'01 assessment'!$J23)+COUNTIFS('01 assessment'!$L$4:$L$1000,'01 assessment'!$L23,'01 assessment'!$J$4:$J$1000,'01 assessment'!$J23,'01 assessment'!$M$4:$M$1000,"&lt;"&amp;'01 assessment'!$M23))</f>
        <v>1</v>
      </c>
      <c r="AH23">
        <f>IF(OR($AG23&lt;&gt;1,'01 assessment'!$M23=""),"",SUMIFS('04 Hazards'!$K$4:$K$1000,'04 Hazards'!$S$4:$S$1000,'01 assessment'!$M23,'04 Hazards'!$R$4:$R$1000,TRUE,'04 Hazards'!$U$4:$U$1000,TRUE))</f>
        <v>57</v>
      </c>
      <c r="AI23">
        <f>IF(OR($AG23&lt;&gt;1,$AH23&lt;=0),"",1+COUNTIFS($AG$4:$AG$1000,1,$AH$4:$AH$1000,"&gt;"&amp;$AH23)+COUNTIFS($AG$4:$AG$1000,1,$AH$4:$AH$1000,$AH23,'01 assessment'!$A$4:$A$1000,"&lt;"&amp;'01 assessment'!$A23))</f>
        <v>6</v>
      </c>
      <c r="AJ23">
        <f>IF('01 assessment'!$M23="","",1+COUNTIFS('01 assessment'!$A$4:$A$1000,"&lt;"&amp;'01 assessment'!$A23,'01 assessment'!$M$4:$M$1000,"&lt;&gt;")+COUNTIFS('01 assessment'!$A$4:$A$1000,'01 assessment'!$A23,'01 assessment'!$B$4:$B$1000,"&gt;"&amp;'01 assessment'!$B23,'01 assessment'!$M$4:$M$1000,"&lt;&gt;")+COUNTIFS('01 assessment'!$A$4:$A$1000,'01 assessment'!$A23,'01 assessment'!$B$4:$B$1000,'01 assessment'!$B23,'01 assessment'!$M$4:$M$1000,"&lt;"&amp;'01 assessment'!$M23))</f>
        <v>20</v>
      </c>
    </row>
    <row r="24" spans="1:36">
      <c r="A24" s="22">
        <v>1</v>
      </c>
      <c r="B24" s="24" t="str">
        <f t="shared" ref="B24:B55" si="0">IFERROR(INDEX($W$4:$AD$153,$A24,1),"")</f>
        <v>Accident &amp; Emergency</v>
      </c>
      <c r="C24" s="22">
        <f t="shared" ref="C24:C55" si="1">IFERROR(INDEX($W$4:$AD$153,$A24,2),"")</f>
        <v>13</v>
      </c>
      <c r="D24" s="22" t="str">
        <f t="shared" ref="D24:D55" si="2">IFERROR(INDEX($W$4:$AD$153,$A24,3),"")</f>
        <v>SUBMITTED</v>
      </c>
      <c r="E24" s="22">
        <f t="shared" ref="E24:E55" si="3">IFERROR(INDEX($W$4:$AD$153,$A24,4),"")</f>
        <v>9</v>
      </c>
      <c r="F24" s="22" t="str">
        <f t="shared" ref="F24:F55" si="4">IFERROR(INDEX($W$4:$AD$153,$A24,5),"")</f>
        <v>HIGH</v>
      </c>
      <c r="G24" s="26">
        <f t="shared" ref="G24:G55" si="5">IFERROR(INDEX($W$4:$AD$153,$A24,6),"")</f>
        <v>46026</v>
      </c>
      <c r="H24" s="22" t="str">
        <f t="shared" ref="H24:H55" si="6">IFERROR(INDEX($W$4:$AD$153,$A24,7),"")</f>
        <v>RAH01-2026-001</v>
      </c>
      <c r="I24" s="22" t="str">
        <f t="shared" ref="I24:I55" si="7">IF(E24="","",IF(E24&gt;=6,"Immediate corrective action",IF(E24&gt;=3,"Document improvement plan","Maintain controls")))</f>
        <v>Immediate corrective action</v>
      </c>
      <c r="T24" t="str">
        <f t="shared" ref="T24:T55" si="8">IFERROR(INDEX($W$4:$AD$153,$A24,8),"")</f>
        <v>ASM-2026-001</v>
      </c>
      <c r="W24" t="str">
        <f>IFERROR(INDEX('01 assessment'!$A$4:$A$1000,MATCH(ROWS($W$4:W24),$AJ$4:$AJ$1000,0)),"")</f>
        <v>Hematology</v>
      </c>
      <c r="X24">
        <f>IFERROR(INDEX('01 assessment'!$F$4:$F$1000,MATCH(ROWS($X$4:X24),$AJ$4:$AJ$1000,0)),"")</f>
        <v>37</v>
      </c>
      <c r="Y24" t="str">
        <f>IFERROR(INDEX('01 assessment'!$C$4:$C$1000,MATCH(ROWS($Y$4:Y24),$AJ$4:$AJ$1000,0)),"")</f>
        <v>SUBMITTED</v>
      </c>
      <c r="Z24">
        <f>IFERROR(INDEX('01 assessment'!$G$4:$G$1000,MATCH(ROWS($Z$4:Z24),$AJ$4:$AJ$1000,0)),"")</f>
        <v>4</v>
      </c>
      <c r="AA24" t="str">
        <f>IFERROR(INDEX('01 assessment'!$H$4:$H$1000,MATCH(ROWS($AA$4:AA24),$AJ$4:$AJ$1000,0)),"")</f>
        <v>MEDIUM</v>
      </c>
      <c r="AB24">
        <f>IFERROR(INDEX('01 assessment'!$B$4:$B$1000,MATCH(ROWS($AB$4:AB24),$AJ$4:$AJ$1000,0)),"")</f>
        <v>46095</v>
      </c>
      <c r="AC24" t="str">
        <f>IFERROR(INDEX('01 assessment'!$I$4:$I$1000,MATCH(ROWS($AC$4:AC24),$AJ$4:$AJ$1000,0)),"")</f>
        <v>RAH01-2026-021</v>
      </c>
      <c r="AD24" t="str">
        <f>IFERROR(INDEX('01 assessment'!$M$4:$M$1000,MATCH(ROWS($AD$4:AD24),$AJ$4:$AJ$1000,0)),"")</f>
        <v>ASM-2026-021</v>
      </c>
      <c r="AG24">
        <f>IF('01 assessment'!$M24="","",1+COUNTIFS('01 assessment'!$L$4:$L$1000,'01 assessment'!$L24,'01 assessment'!$J$4:$J$1000,"&gt;"&amp;'01 assessment'!$J24)+COUNTIFS('01 assessment'!$L$4:$L$1000,'01 assessment'!$L24,'01 assessment'!$J$4:$J$1000,'01 assessment'!$J24,'01 assessment'!$M$4:$M$1000,"&lt;"&amp;'01 assessment'!$M24))</f>
        <v>1</v>
      </c>
      <c r="AH24">
        <f>IF(OR($AG24&lt;&gt;1,'01 assessment'!$M24=""),"",SUMIFS('04 Hazards'!$K$4:$K$1000,'04 Hazards'!$S$4:$S$1000,'01 assessment'!$M24,'04 Hazards'!$R$4:$R$1000,TRUE,'04 Hazards'!$U$4:$U$1000,TRUE))</f>
        <v>26</v>
      </c>
      <c r="AI24">
        <f>IF(OR($AG24&lt;&gt;1,$AH24&lt;=0),"",1+COUNTIFS($AG$4:$AG$1000,1,$AH$4:$AH$1000,"&gt;"&amp;$AH24)+COUNTIFS($AG$4:$AG$1000,1,$AH$4:$AH$1000,$AH24,'01 assessment'!$A$4:$A$1000,"&lt;"&amp;'01 assessment'!$A24))</f>
        <v>37</v>
      </c>
      <c r="AJ24">
        <f>IF('01 assessment'!$M24="","",1+COUNTIFS('01 assessment'!$A$4:$A$1000,"&lt;"&amp;'01 assessment'!$A24,'01 assessment'!$M$4:$M$1000,"&lt;&gt;")+COUNTIFS('01 assessment'!$A$4:$A$1000,'01 assessment'!$A24,'01 assessment'!$B$4:$B$1000,"&gt;"&amp;'01 assessment'!$B24,'01 assessment'!$M$4:$M$1000,"&lt;&gt;")+COUNTIFS('01 assessment'!$A$4:$A$1000,'01 assessment'!$A24,'01 assessment'!$B$4:$B$1000,'01 assessment'!$B24,'01 assessment'!$M$4:$M$1000,"&lt;"&amp;'01 assessment'!$M24))</f>
        <v>21</v>
      </c>
    </row>
    <row r="25" spans="1:36">
      <c r="A25" s="23">
        <v>2</v>
      </c>
      <c r="B25" s="25" t="str">
        <f t="shared" si="0"/>
        <v>Anaesthesia</v>
      </c>
      <c r="C25" s="23">
        <f t="shared" si="1"/>
        <v>20</v>
      </c>
      <c r="D25" s="23" t="str">
        <f t="shared" si="2"/>
        <v>IN_REVIEW</v>
      </c>
      <c r="E25" s="23">
        <f t="shared" si="3"/>
        <v>9</v>
      </c>
      <c r="F25" s="23" t="str">
        <f t="shared" si="4"/>
        <v>HIGH</v>
      </c>
      <c r="G25" s="27">
        <f t="shared" si="5"/>
        <v>46060</v>
      </c>
      <c r="H25" s="23" t="str">
        <f t="shared" si="6"/>
        <v>RAH01-2026-002</v>
      </c>
      <c r="I25" s="23" t="str">
        <f t="shared" si="7"/>
        <v>Immediate corrective action</v>
      </c>
      <c r="T25" t="str">
        <f t="shared" si="8"/>
        <v>ASM-2026-002</v>
      </c>
      <c r="W25" t="str">
        <f>IFERROR(INDEX('01 assessment'!$A$4:$A$1000,MATCH(ROWS($W$4:W25),$AJ$4:$AJ$1000,0)),"")</f>
        <v>ICU 1</v>
      </c>
      <c r="X25">
        <f>IFERROR(INDEX('01 assessment'!$F$4:$F$1000,MATCH(ROWS($X$4:X25),$AJ$4:$AJ$1000,0)),"")</f>
        <v>44</v>
      </c>
      <c r="Y25" t="str">
        <f>IFERROR(INDEX('01 assessment'!$C$4:$C$1000,MATCH(ROWS($Y$4:Y25),$AJ$4:$AJ$1000,0)),"")</f>
        <v>IN_REVIEW</v>
      </c>
      <c r="Z25">
        <f>IFERROR(INDEX('01 assessment'!$G$4:$G$1000,MATCH(ROWS($Z$4:Z25),$AJ$4:$AJ$1000,0)),"")</f>
        <v>9</v>
      </c>
      <c r="AA25" t="str">
        <f>IFERROR(INDEX('01 assessment'!$H$4:$H$1000,MATCH(ROWS($AA$4:AA25),$AJ$4:$AJ$1000,0)),"")</f>
        <v>HIGH</v>
      </c>
      <c r="AB25">
        <f>IFERROR(INDEX('01 assessment'!$B$4:$B$1000,MATCH(ROWS($AB$4:AB25),$AJ$4:$AJ$1000,0)),"")</f>
        <v>46129</v>
      </c>
      <c r="AC25" t="str">
        <f>IFERROR(INDEX('01 assessment'!$I$4:$I$1000,MATCH(ROWS($AC$4:AC25),$AJ$4:$AJ$1000,0)),"")</f>
        <v>RAH01-2026-022</v>
      </c>
      <c r="AD25" t="str">
        <f>IFERROR(INDEX('01 assessment'!$M$4:$M$1000,MATCH(ROWS($AD$4:AD25),$AJ$4:$AJ$1000,0)),"")</f>
        <v>ASM-2026-022</v>
      </c>
      <c r="AG25">
        <f>IF('01 assessment'!$M25="","",1+COUNTIFS('01 assessment'!$L$4:$L$1000,'01 assessment'!$L25,'01 assessment'!$J$4:$J$1000,"&gt;"&amp;'01 assessment'!$J25)+COUNTIFS('01 assessment'!$L$4:$L$1000,'01 assessment'!$L25,'01 assessment'!$J$4:$J$1000,'01 assessment'!$J25,'01 assessment'!$M$4:$M$1000,"&lt;"&amp;'01 assessment'!$M25))</f>
        <v>1</v>
      </c>
      <c r="AH25">
        <f>IF(OR($AG25&lt;&gt;1,'01 assessment'!$M25=""),"",SUMIFS('04 Hazards'!$K$4:$K$1000,'04 Hazards'!$S$4:$S$1000,'01 assessment'!$M25,'04 Hazards'!$R$4:$R$1000,TRUE,'04 Hazards'!$U$4:$U$1000,TRUE))</f>
        <v>54</v>
      </c>
      <c r="AI25">
        <f>IF(OR($AG25&lt;&gt;1,$AH25&lt;=0),"",1+COUNTIFS($AG$4:$AG$1000,1,$AH$4:$AH$1000,"&gt;"&amp;$AH25)+COUNTIFS($AG$4:$AG$1000,1,$AH$4:$AH$1000,$AH25,'01 assessment'!$A$4:$A$1000,"&lt;"&amp;'01 assessment'!$A25))</f>
        <v>17</v>
      </c>
      <c r="AJ25">
        <f>IF('01 assessment'!$M25="","",1+COUNTIFS('01 assessment'!$A$4:$A$1000,"&lt;"&amp;'01 assessment'!$A25,'01 assessment'!$M$4:$M$1000,"&lt;&gt;")+COUNTIFS('01 assessment'!$A$4:$A$1000,'01 assessment'!$A25,'01 assessment'!$B$4:$B$1000,"&gt;"&amp;'01 assessment'!$B25,'01 assessment'!$M$4:$M$1000,"&lt;&gt;")+COUNTIFS('01 assessment'!$A$4:$A$1000,'01 assessment'!$A25,'01 assessment'!$B$4:$B$1000,'01 assessment'!$B25,'01 assessment'!$M$4:$M$1000,"&lt;"&amp;'01 assessment'!$M25))</f>
        <v>22</v>
      </c>
    </row>
    <row r="26" spans="1:36">
      <c r="A26" s="23">
        <v>3</v>
      </c>
      <c r="B26" s="25" t="str">
        <f t="shared" si="0"/>
        <v>Cardiology</v>
      </c>
      <c r="C26" s="23">
        <f t="shared" si="1"/>
        <v>27</v>
      </c>
      <c r="D26" s="23" t="str">
        <f t="shared" si="2"/>
        <v>CLOSED</v>
      </c>
      <c r="E26" s="23">
        <f t="shared" si="3"/>
        <v>9</v>
      </c>
      <c r="F26" s="23" t="str">
        <f t="shared" si="4"/>
        <v>HIGH</v>
      </c>
      <c r="G26" s="27">
        <f t="shared" si="5"/>
        <v>46091</v>
      </c>
      <c r="H26" s="23" t="str">
        <f t="shared" si="6"/>
        <v>RAH01-2026-003</v>
      </c>
      <c r="I26" s="23" t="str">
        <f t="shared" si="7"/>
        <v>Immediate corrective action</v>
      </c>
      <c r="T26" t="str">
        <f t="shared" si="8"/>
        <v>ASM-2026-003</v>
      </c>
      <c r="W26" t="str">
        <f>IFERROR(INDEX('01 assessment'!$A$4:$A$1000,MATCH(ROWS($W$4:W26),$AJ$4:$AJ$1000,0)),"")</f>
        <v>ICU 2</v>
      </c>
      <c r="X26">
        <f>IFERROR(INDEX('01 assessment'!$F$4:$F$1000,MATCH(ROWS($X$4:X26),$AJ$4:$AJ$1000,0)),"")</f>
        <v>51</v>
      </c>
      <c r="Y26" t="str">
        <f>IFERROR(INDEX('01 assessment'!$C$4:$C$1000,MATCH(ROWS($Y$4:Y26),$AJ$4:$AJ$1000,0)),"")</f>
        <v>CLOSED</v>
      </c>
      <c r="Z26">
        <f>IFERROR(INDEX('01 assessment'!$G$4:$G$1000,MATCH(ROWS($Z$4:Z26),$AJ$4:$AJ$1000,0)),"")</f>
        <v>2</v>
      </c>
      <c r="AA26" t="str">
        <f>IFERROR(INDEX('01 assessment'!$H$4:$H$1000,MATCH(ROWS($AA$4:AA26),$AJ$4:$AJ$1000,0)),"")</f>
        <v>LOW</v>
      </c>
      <c r="AB26">
        <f>IFERROR(INDEX('01 assessment'!$B$4:$B$1000,MATCH(ROWS($AB$4:AB26),$AJ$4:$AJ$1000,0)),"")</f>
        <v>46162</v>
      </c>
      <c r="AC26" t="str">
        <f>IFERROR(INDEX('01 assessment'!$I$4:$I$1000,MATCH(ROWS($AC$4:AC26),$AJ$4:$AJ$1000,0)),"")</f>
        <v>RAH01-2026-023</v>
      </c>
      <c r="AD26" t="str">
        <f>IFERROR(INDEX('01 assessment'!$M$4:$M$1000,MATCH(ROWS($AD$4:AD26),$AJ$4:$AJ$1000,0)),"")</f>
        <v>ASM-2026-023</v>
      </c>
      <c r="AG26">
        <f>IF('01 assessment'!$M26="","",1+COUNTIFS('01 assessment'!$L$4:$L$1000,'01 assessment'!$L26,'01 assessment'!$J$4:$J$1000,"&gt;"&amp;'01 assessment'!$J26)+COUNTIFS('01 assessment'!$L$4:$L$1000,'01 assessment'!$L26,'01 assessment'!$J$4:$J$1000,'01 assessment'!$J26,'01 assessment'!$M$4:$M$1000,"&lt;"&amp;'01 assessment'!$M26))</f>
        <v>1</v>
      </c>
      <c r="AH26">
        <f>IF(OR($AG26&lt;&gt;1,'01 assessment'!$M26=""),"",SUMIFS('04 Hazards'!$K$4:$K$1000,'04 Hazards'!$S$4:$S$1000,'01 assessment'!$M26,'04 Hazards'!$R$4:$R$1000,TRUE,'04 Hazards'!$U$4:$U$1000,TRUE))</f>
        <v>10</v>
      </c>
      <c r="AI26">
        <f>IF(OR($AG26&lt;&gt;1,$AH26&lt;=0),"",1+COUNTIFS($AG$4:$AG$1000,1,$AH$4:$AH$1000,"&gt;"&amp;$AH26)+COUNTIFS($AG$4:$AG$1000,1,$AH$4:$AH$1000,$AH26,'01 assessment'!$A$4:$A$1000,"&lt;"&amp;'01 assessment'!$A26))</f>
        <v>56</v>
      </c>
      <c r="AJ26">
        <f>IF('01 assessment'!$M26="","",1+COUNTIFS('01 assessment'!$A$4:$A$1000,"&lt;"&amp;'01 assessment'!$A26,'01 assessment'!$M$4:$M$1000,"&lt;&gt;")+COUNTIFS('01 assessment'!$A$4:$A$1000,'01 assessment'!$A26,'01 assessment'!$B$4:$B$1000,"&gt;"&amp;'01 assessment'!$B26,'01 assessment'!$M$4:$M$1000,"&lt;&gt;")+COUNTIFS('01 assessment'!$A$4:$A$1000,'01 assessment'!$A26,'01 assessment'!$B$4:$B$1000,'01 assessment'!$B26,'01 assessment'!$M$4:$M$1000,"&lt;"&amp;'01 assessment'!$M26))</f>
        <v>23</v>
      </c>
    </row>
    <row r="27" spans="1:36">
      <c r="A27" s="23">
        <v>4</v>
      </c>
      <c r="B27" s="25" t="str">
        <f t="shared" si="0"/>
        <v>Cardiothoracic Surgery</v>
      </c>
      <c r="C27" s="23">
        <f t="shared" si="1"/>
        <v>34</v>
      </c>
      <c r="D27" s="23" t="str">
        <f t="shared" si="2"/>
        <v>CLOSED</v>
      </c>
      <c r="E27" s="23">
        <f t="shared" si="3"/>
        <v>9</v>
      </c>
      <c r="F27" s="23" t="str">
        <f t="shared" si="4"/>
        <v>HIGH</v>
      </c>
      <c r="G27" s="27">
        <f t="shared" si="5"/>
        <v>46125</v>
      </c>
      <c r="H27" s="23" t="str">
        <f t="shared" si="6"/>
        <v>RAH01-2026-004</v>
      </c>
      <c r="I27" s="23" t="str">
        <f t="shared" si="7"/>
        <v>Immediate corrective action</v>
      </c>
      <c r="T27" t="str">
        <f t="shared" si="8"/>
        <v>ASM-2026-004</v>
      </c>
      <c r="W27" t="str">
        <f>IFERROR(INDEX('01 assessment'!$A$4:$A$1000,MATCH(ROWS($W$4:W27),$AJ$4:$AJ$1000,0)),"")</f>
        <v>Infectious Diseases</v>
      </c>
      <c r="X27">
        <f>IFERROR(INDEX('01 assessment'!$F$4:$F$1000,MATCH(ROWS($X$4:X27),$AJ$4:$AJ$1000,0)),"")</f>
        <v>58</v>
      </c>
      <c r="Y27" t="str">
        <f>IFERROR(INDEX('01 assessment'!$C$4:$C$1000,MATCH(ROWS($Y$4:Y27),$AJ$4:$AJ$1000,0)),"")</f>
        <v>CLOSED</v>
      </c>
      <c r="Z27">
        <f>IFERROR(INDEX('01 assessment'!$G$4:$G$1000,MATCH(ROWS($Z$4:Z27),$AJ$4:$AJ$1000,0)),"")</f>
        <v>9</v>
      </c>
      <c r="AA27" t="str">
        <f>IFERROR(INDEX('01 assessment'!$H$4:$H$1000,MATCH(ROWS($AA$4:AA27),$AJ$4:$AJ$1000,0)),"")</f>
        <v>HIGH</v>
      </c>
      <c r="AB27">
        <f>IFERROR(INDEX('01 assessment'!$B$4:$B$1000,MATCH(ROWS($AB$4:AB27),$AJ$4:$AJ$1000,0)),"")</f>
        <v>46196</v>
      </c>
      <c r="AC27" t="str">
        <f>IFERROR(INDEX('01 assessment'!$I$4:$I$1000,MATCH(ROWS($AC$4:AC27),$AJ$4:$AJ$1000,0)),"")</f>
        <v>RAH01-2026-024</v>
      </c>
      <c r="AD27" t="str">
        <f>IFERROR(INDEX('01 assessment'!$M$4:$M$1000,MATCH(ROWS($AD$4:AD27),$AJ$4:$AJ$1000,0)),"")</f>
        <v>ASM-2026-024</v>
      </c>
      <c r="AG27">
        <f>IF('01 assessment'!$M27="","",1+COUNTIFS('01 assessment'!$L$4:$L$1000,'01 assessment'!$L27,'01 assessment'!$J$4:$J$1000,"&gt;"&amp;'01 assessment'!$J27)+COUNTIFS('01 assessment'!$L$4:$L$1000,'01 assessment'!$L27,'01 assessment'!$J$4:$J$1000,'01 assessment'!$J27,'01 assessment'!$M$4:$M$1000,"&lt;"&amp;'01 assessment'!$M27))</f>
        <v>1</v>
      </c>
      <c r="AH27">
        <f>IF(OR($AG27&lt;&gt;1,'01 assessment'!$M27=""),"",SUMIFS('04 Hazards'!$K$4:$K$1000,'04 Hazards'!$S$4:$S$1000,'01 assessment'!$M27,'04 Hazards'!$R$4:$R$1000,TRUE,'04 Hazards'!$U$4:$U$1000,TRUE))</f>
        <v>42</v>
      </c>
      <c r="AI27">
        <f>IF(OR($AG27&lt;&gt;1,$AH27&lt;=0),"",1+COUNTIFS($AG$4:$AG$1000,1,$AH$4:$AH$1000,"&gt;"&amp;$AH27)+COUNTIFS($AG$4:$AG$1000,1,$AH$4:$AH$1000,$AH27,'01 assessment'!$A$4:$A$1000,"&lt;"&amp;'01 assessment'!$A27))</f>
        <v>35</v>
      </c>
      <c r="AJ27">
        <f>IF('01 assessment'!$M27="","",1+COUNTIFS('01 assessment'!$A$4:$A$1000,"&lt;"&amp;'01 assessment'!$A27,'01 assessment'!$M$4:$M$1000,"&lt;&gt;")+COUNTIFS('01 assessment'!$A$4:$A$1000,'01 assessment'!$A27,'01 assessment'!$B$4:$B$1000,"&gt;"&amp;'01 assessment'!$B27,'01 assessment'!$M$4:$M$1000,"&lt;&gt;")+COUNTIFS('01 assessment'!$A$4:$A$1000,'01 assessment'!$A27,'01 assessment'!$B$4:$B$1000,'01 assessment'!$B27,'01 assessment'!$M$4:$M$1000,"&lt;"&amp;'01 assessment'!$M27))</f>
        <v>24</v>
      </c>
    </row>
    <row r="28" spans="1:36">
      <c r="A28" s="23">
        <v>5</v>
      </c>
      <c r="B28" s="25" t="str">
        <f t="shared" si="0"/>
        <v>Central Sterile Supply</v>
      </c>
      <c r="C28" s="23">
        <f t="shared" si="1"/>
        <v>41</v>
      </c>
      <c r="D28" s="23" t="str">
        <f t="shared" si="2"/>
        <v>RETURNED</v>
      </c>
      <c r="E28" s="23">
        <f t="shared" si="3"/>
        <v>9</v>
      </c>
      <c r="F28" s="23" t="str">
        <f t="shared" si="4"/>
        <v>HIGH</v>
      </c>
      <c r="G28" s="27">
        <f t="shared" si="5"/>
        <v>46158</v>
      </c>
      <c r="H28" s="23" t="str">
        <f t="shared" si="6"/>
        <v>RAH01-2026-005</v>
      </c>
      <c r="I28" s="23" t="str">
        <f t="shared" si="7"/>
        <v>Immediate corrective action</v>
      </c>
      <c r="T28" t="str">
        <f t="shared" si="8"/>
        <v>ASM-2026-005</v>
      </c>
      <c r="W28" t="str">
        <f>IFERROR(INDEX('01 assessment'!$A$4:$A$1000,MATCH(ROWS($W$4:W28),$AJ$4:$AJ$1000,0)),"")</f>
        <v>Internal Medicine</v>
      </c>
      <c r="X28">
        <f>IFERROR(INDEX('01 assessment'!$F$4:$F$1000,MATCH(ROWS($X$4:X28),$AJ$4:$AJ$1000,0)),"")</f>
        <v>7</v>
      </c>
      <c r="Y28" t="str">
        <f>IFERROR(INDEX('01 assessment'!$C$4:$C$1000,MATCH(ROWS($Y$4:Y28),$AJ$4:$AJ$1000,0)),"")</f>
        <v>RETURNED</v>
      </c>
      <c r="Z28">
        <f>IFERROR(INDEX('01 assessment'!$G$4:$G$1000,MATCH(ROWS($Z$4:Z28),$AJ$4:$AJ$1000,0)),"")</f>
        <v>4</v>
      </c>
      <c r="AA28" t="str">
        <f>IFERROR(INDEX('01 assessment'!$H$4:$H$1000,MATCH(ROWS($AA$4:AA28),$AJ$4:$AJ$1000,0)),"")</f>
        <v>MEDIUM</v>
      </c>
      <c r="AB28">
        <f>IFERROR(INDEX('01 assessment'!$B$4:$B$1000,MATCH(ROWS($AB$4:AB28),$AJ$4:$AJ$1000,0)),"")</f>
        <v>46023</v>
      </c>
      <c r="AC28" t="str">
        <f>IFERROR(INDEX('01 assessment'!$I$4:$I$1000,MATCH(ROWS($AC$4:AC28),$AJ$4:$AJ$1000,0)),"")</f>
        <v>RAH01-2026-025</v>
      </c>
      <c r="AD28" t="str">
        <f>IFERROR(INDEX('01 assessment'!$M$4:$M$1000,MATCH(ROWS($AD$4:AD28),$AJ$4:$AJ$1000,0)),"")</f>
        <v>ASM-2026-025</v>
      </c>
      <c r="AG28">
        <f>IF('01 assessment'!$M28="","",1+COUNTIFS('01 assessment'!$L$4:$L$1000,'01 assessment'!$L28,'01 assessment'!$J$4:$J$1000,"&gt;"&amp;'01 assessment'!$J28)+COUNTIFS('01 assessment'!$L$4:$L$1000,'01 assessment'!$L28,'01 assessment'!$J$4:$J$1000,'01 assessment'!$J28,'01 assessment'!$M$4:$M$1000,"&lt;"&amp;'01 assessment'!$M28))</f>
        <v>1</v>
      </c>
      <c r="AH28">
        <f>IF(OR($AG28&lt;&gt;1,'01 assessment'!$M28=""),"",SUMIFS('04 Hazards'!$K$4:$K$1000,'04 Hazards'!$S$4:$S$1000,'01 assessment'!$M28,'04 Hazards'!$R$4:$R$1000,TRUE,'04 Hazards'!$U$4:$U$1000,TRUE))</f>
        <v>20</v>
      </c>
      <c r="AI28">
        <f>IF(OR($AG28&lt;&gt;1,$AH28&lt;=0),"",1+COUNTIFS($AG$4:$AG$1000,1,$AH$4:$AH$1000,"&gt;"&amp;$AH28)+COUNTIFS($AG$4:$AG$1000,1,$AH$4:$AH$1000,$AH28,'01 assessment'!$A$4:$A$1000,"&lt;"&amp;'01 assessment'!$A28))</f>
        <v>49</v>
      </c>
      <c r="AJ28">
        <f>IF('01 assessment'!$M28="","",1+COUNTIFS('01 assessment'!$A$4:$A$1000,"&lt;"&amp;'01 assessment'!$A28,'01 assessment'!$M$4:$M$1000,"&lt;&gt;")+COUNTIFS('01 assessment'!$A$4:$A$1000,'01 assessment'!$A28,'01 assessment'!$B$4:$B$1000,"&gt;"&amp;'01 assessment'!$B28,'01 assessment'!$M$4:$M$1000,"&lt;&gt;")+COUNTIFS('01 assessment'!$A$4:$A$1000,'01 assessment'!$A28,'01 assessment'!$B$4:$B$1000,'01 assessment'!$B28,'01 assessment'!$M$4:$M$1000,"&lt;"&amp;'01 assessment'!$M28))</f>
        <v>25</v>
      </c>
    </row>
    <row r="29" spans="1:36">
      <c r="A29" s="23">
        <v>6</v>
      </c>
      <c r="B29" s="25" t="str">
        <f t="shared" si="0"/>
        <v>Child Development</v>
      </c>
      <c r="C29" s="23">
        <f t="shared" si="1"/>
        <v>48</v>
      </c>
      <c r="D29" s="23" t="str">
        <f t="shared" si="2"/>
        <v>SUBMITTED</v>
      </c>
      <c r="E29" s="23">
        <f t="shared" si="3"/>
        <v>9</v>
      </c>
      <c r="F29" s="23" t="str">
        <f t="shared" si="4"/>
        <v>HIGH</v>
      </c>
      <c r="G29" s="27">
        <f t="shared" si="5"/>
        <v>46192</v>
      </c>
      <c r="H29" s="23" t="str">
        <f t="shared" si="6"/>
        <v>RAH01-2026-006</v>
      </c>
      <c r="I29" s="23" t="str">
        <f t="shared" si="7"/>
        <v>Immediate corrective action</v>
      </c>
      <c r="T29" t="str">
        <f t="shared" si="8"/>
        <v>ASM-2026-006</v>
      </c>
      <c r="W29" t="str">
        <f>IFERROR(INDEX('01 assessment'!$A$4:$A$1000,MATCH(ROWS($W$4:W29),$AJ$4:$AJ$1000,0)),"")</f>
        <v>Laboratory</v>
      </c>
      <c r="X29">
        <f>IFERROR(INDEX('01 assessment'!$F$4:$F$1000,MATCH(ROWS($X$4:X29),$AJ$4:$AJ$1000,0)),"")</f>
        <v>14</v>
      </c>
      <c r="Y29" t="str">
        <f>IFERROR(INDEX('01 assessment'!$C$4:$C$1000,MATCH(ROWS($Y$4:Y29),$AJ$4:$AJ$1000,0)),"")</f>
        <v>SUBMITTED</v>
      </c>
      <c r="Z29">
        <f>IFERROR(INDEX('01 assessment'!$G$4:$G$1000,MATCH(ROWS($Z$4:Z29),$AJ$4:$AJ$1000,0)),"")</f>
        <v>9</v>
      </c>
      <c r="AA29" t="str">
        <f>IFERROR(INDEX('01 assessment'!$H$4:$H$1000,MATCH(ROWS($AA$4:AA29),$AJ$4:$AJ$1000,0)),"")</f>
        <v>HIGH</v>
      </c>
      <c r="AB29">
        <f>IFERROR(INDEX('01 assessment'!$B$4:$B$1000,MATCH(ROWS($AB$4:AB29),$AJ$4:$AJ$1000,0)),"")</f>
        <v>46057</v>
      </c>
      <c r="AC29" t="str">
        <f>IFERROR(INDEX('01 assessment'!$I$4:$I$1000,MATCH(ROWS($AC$4:AC29),$AJ$4:$AJ$1000,0)),"")</f>
        <v>RAH01-2026-026</v>
      </c>
      <c r="AD29" t="str">
        <f>IFERROR(INDEX('01 assessment'!$M$4:$M$1000,MATCH(ROWS($AD$4:AD29),$AJ$4:$AJ$1000,0)),"")</f>
        <v>ASM-2026-026</v>
      </c>
      <c r="AG29">
        <f>IF('01 assessment'!$M29="","",1+COUNTIFS('01 assessment'!$L$4:$L$1000,'01 assessment'!$L29,'01 assessment'!$J$4:$J$1000,"&gt;"&amp;'01 assessment'!$J29)+COUNTIFS('01 assessment'!$L$4:$L$1000,'01 assessment'!$L29,'01 assessment'!$J$4:$J$1000,'01 assessment'!$J29,'01 assessment'!$M$4:$M$1000,"&lt;"&amp;'01 assessment'!$M29))</f>
        <v>1</v>
      </c>
      <c r="AH29">
        <f>IF(OR($AG29&lt;&gt;1,'01 assessment'!$M29=""),"",SUMIFS('04 Hazards'!$K$4:$K$1000,'04 Hazards'!$S$4:$S$1000,'01 assessment'!$M29,'04 Hazards'!$R$4:$R$1000,TRUE,'04 Hazards'!$U$4:$U$1000,TRUE))</f>
        <v>57</v>
      </c>
      <c r="AI29">
        <f>IF(OR($AG29&lt;&gt;1,$AH29&lt;=0),"",1+COUNTIFS($AG$4:$AG$1000,1,$AH$4:$AH$1000,"&gt;"&amp;$AH29)+COUNTIFS($AG$4:$AG$1000,1,$AH$4:$AH$1000,$AH29,'01 assessment'!$A$4:$A$1000,"&lt;"&amp;'01 assessment'!$A29))</f>
        <v>7</v>
      </c>
      <c r="AJ29">
        <f>IF('01 assessment'!$M29="","",1+COUNTIFS('01 assessment'!$A$4:$A$1000,"&lt;"&amp;'01 assessment'!$A29,'01 assessment'!$M$4:$M$1000,"&lt;&gt;")+COUNTIFS('01 assessment'!$A$4:$A$1000,'01 assessment'!$A29,'01 assessment'!$B$4:$B$1000,"&gt;"&amp;'01 assessment'!$B29,'01 assessment'!$M$4:$M$1000,"&lt;&gt;")+COUNTIFS('01 assessment'!$A$4:$A$1000,'01 assessment'!$A29,'01 assessment'!$B$4:$B$1000,'01 assessment'!$B29,'01 assessment'!$M$4:$M$1000,"&lt;"&amp;'01 assessment'!$M29))</f>
        <v>26</v>
      </c>
    </row>
    <row r="30" spans="1:36">
      <c r="A30" s="23">
        <v>7</v>
      </c>
      <c r="B30" s="25" t="str">
        <f t="shared" si="0"/>
        <v>Clinical Nutrition</v>
      </c>
      <c r="C30" s="23">
        <f t="shared" si="1"/>
        <v>55</v>
      </c>
      <c r="D30" s="23" t="str">
        <f t="shared" si="2"/>
        <v>IN_REVIEW</v>
      </c>
      <c r="E30" s="23">
        <f t="shared" si="3"/>
        <v>4</v>
      </c>
      <c r="F30" s="23" t="str">
        <f t="shared" si="4"/>
        <v>MEDIUM</v>
      </c>
      <c r="G30" s="27">
        <f t="shared" si="5"/>
        <v>46044</v>
      </c>
      <c r="H30" s="23" t="str">
        <f t="shared" si="6"/>
        <v>RAH01-2026-007</v>
      </c>
      <c r="I30" s="23" t="str">
        <f t="shared" si="7"/>
        <v>Document improvement plan</v>
      </c>
      <c r="T30" t="str">
        <f t="shared" si="8"/>
        <v>ASM-2026-007</v>
      </c>
      <c r="W30" t="str">
        <f>IFERROR(INDEX('01 assessment'!$A$4:$A$1000,MATCH(ROWS($W$4:W30),$AJ$4:$AJ$1000,0)),"")</f>
        <v>Laundry</v>
      </c>
      <c r="X30">
        <f>IFERROR(INDEX('01 assessment'!$F$4:$F$1000,MATCH(ROWS($X$4:X30),$AJ$4:$AJ$1000,0)),"")</f>
        <v>21</v>
      </c>
      <c r="Y30" t="str">
        <f>IFERROR(INDEX('01 assessment'!$C$4:$C$1000,MATCH(ROWS($Y$4:Y30),$AJ$4:$AJ$1000,0)),"")</f>
        <v>IN_REVIEW</v>
      </c>
      <c r="Z30">
        <f>IFERROR(INDEX('01 assessment'!$G$4:$G$1000,MATCH(ROWS($Z$4:Z30),$AJ$4:$AJ$1000,0)),"")</f>
        <v>9</v>
      </c>
      <c r="AA30" t="str">
        <f>IFERROR(INDEX('01 assessment'!$H$4:$H$1000,MATCH(ROWS($AA$4:AA30),$AJ$4:$AJ$1000,0)),"")</f>
        <v>HIGH</v>
      </c>
      <c r="AB30">
        <f>IFERROR(INDEX('01 assessment'!$B$4:$B$1000,MATCH(ROWS($AB$4:AB30),$AJ$4:$AJ$1000,0)),"")</f>
        <v>46088</v>
      </c>
      <c r="AC30" t="str">
        <f>IFERROR(INDEX('01 assessment'!$I$4:$I$1000,MATCH(ROWS($AC$4:AC30),$AJ$4:$AJ$1000,0)),"")</f>
        <v>RAH01-2026-027</v>
      </c>
      <c r="AD30" t="str">
        <f>IFERROR(INDEX('01 assessment'!$M$4:$M$1000,MATCH(ROWS($AD$4:AD30),$AJ$4:$AJ$1000,0)),"")</f>
        <v>ASM-2026-027</v>
      </c>
      <c r="AG30">
        <f>IF('01 assessment'!$M30="","",1+COUNTIFS('01 assessment'!$L$4:$L$1000,'01 assessment'!$L30,'01 assessment'!$J$4:$J$1000,"&gt;"&amp;'01 assessment'!$J30)+COUNTIFS('01 assessment'!$L$4:$L$1000,'01 assessment'!$L30,'01 assessment'!$J$4:$J$1000,'01 assessment'!$J30,'01 assessment'!$M$4:$M$1000,"&lt;"&amp;'01 assessment'!$M30))</f>
        <v>1</v>
      </c>
      <c r="AH30">
        <f>IF(OR($AG30&lt;&gt;1,'01 assessment'!$M30=""),"",SUMIFS('04 Hazards'!$K$4:$K$1000,'04 Hazards'!$S$4:$S$1000,'01 assessment'!$M30,'04 Hazards'!$R$4:$R$1000,TRUE,'04 Hazards'!$U$4:$U$1000,TRUE))</f>
        <v>57</v>
      </c>
      <c r="AI30">
        <f>IF(OR($AG30&lt;&gt;1,$AH30&lt;=0),"",1+COUNTIFS($AG$4:$AG$1000,1,$AH$4:$AH$1000,"&gt;"&amp;$AH30)+COUNTIFS($AG$4:$AG$1000,1,$AH$4:$AH$1000,$AH30,'01 assessment'!$A$4:$A$1000,"&lt;"&amp;'01 assessment'!$A30))</f>
        <v>8</v>
      </c>
      <c r="AJ30">
        <f>IF('01 assessment'!$M30="","",1+COUNTIFS('01 assessment'!$A$4:$A$1000,"&lt;"&amp;'01 assessment'!$A30,'01 assessment'!$M$4:$M$1000,"&lt;&gt;")+COUNTIFS('01 assessment'!$A$4:$A$1000,'01 assessment'!$A30,'01 assessment'!$B$4:$B$1000,"&gt;"&amp;'01 assessment'!$B30,'01 assessment'!$M$4:$M$1000,"&lt;&gt;")+COUNTIFS('01 assessment'!$A$4:$A$1000,'01 assessment'!$A30,'01 assessment'!$B$4:$B$1000,'01 assessment'!$B30,'01 assessment'!$M$4:$M$1000,"&lt;"&amp;'01 assessment'!$M30))</f>
        <v>27</v>
      </c>
    </row>
    <row r="31" spans="1:36">
      <c r="A31" s="23">
        <v>8</v>
      </c>
      <c r="B31" s="25" t="str">
        <f t="shared" si="0"/>
        <v>Dental</v>
      </c>
      <c r="C31" s="23">
        <f t="shared" si="1"/>
        <v>62</v>
      </c>
      <c r="D31" s="23" t="str">
        <f t="shared" si="2"/>
        <v>CLOSED</v>
      </c>
      <c r="E31" s="23">
        <f t="shared" si="3"/>
        <v>9</v>
      </c>
      <c r="F31" s="23" t="str">
        <f t="shared" si="4"/>
        <v>HIGH</v>
      </c>
      <c r="G31" s="27">
        <f t="shared" si="5"/>
        <v>46078</v>
      </c>
      <c r="H31" s="23" t="str">
        <f t="shared" si="6"/>
        <v>RAH01-2026-008</v>
      </c>
      <c r="I31" s="23" t="str">
        <f t="shared" si="7"/>
        <v>Immediate corrective action</v>
      </c>
      <c r="T31" t="str">
        <f t="shared" si="8"/>
        <v>ASM-2026-008</v>
      </c>
      <c r="W31" t="str">
        <f>IFERROR(INDEX('01 assessment'!$A$4:$A$1000,MATCH(ROWS($W$4:W31),$AJ$4:$AJ$1000,0)),"")</f>
        <v>Medical Records</v>
      </c>
      <c r="X31">
        <f>IFERROR(INDEX('01 assessment'!$F$4:$F$1000,MATCH(ROWS($X$4:X31),$AJ$4:$AJ$1000,0)),"")</f>
        <v>28</v>
      </c>
      <c r="Y31" t="str">
        <f>IFERROR(INDEX('01 assessment'!$C$4:$C$1000,MATCH(ROWS($Y$4:Y31),$AJ$4:$AJ$1000,0)),"")</f>
        <v>CLOSED</v>
      </c>
      <c r="Z31">
        <f>IFERROR(INDEX('01 assessment'!$G$4:$G$1000,MATCH(ROWS($Z$4:Z31),$AJ$4:$AJ$1000,0)),"")</f>
        <v>9</v>
      </c>
      <c r="AA31" t="str">
        <f>IFERROR(INDEX('01 assessment'!$H$4:$H$1000,MATCH(ROWS($AA$4:AA31),$AJ$4:$AJ$1000,0)),"")</f>
        <v>HIGH</v>
      </c>
      <c r="AB31">
        <f>IFERROR(INDEX('01 assessment'!$B$4:$B$1000,MATCH(ROWS($AB$4:AB31),$AJ$4:$AJ$1000,0)),"")</f>
        <v>46122</v>
      </c>
      <c r="AC31" t="str">
        <f>IFERROR(INDEX('01 assessment'!$I$4:$I$1000,MATCH(ROWS($AC$4:AC31),$AJ$4:$AJ$1000,0)),"")</f>
        <v>RAH01-2026-028</v>
      </c>
      <c r="AD31" t="str">
        <f>IFERROR(INDEX('01 assessment'!$M$4:$M$1000,MATCH(ROWS($AD$4:AD31),$AJ$4:$AJ$1000,0)),"")</f>
        <v>ASM-2026-028</v>
      </c>
      <c r="AG31">
        <f>IF('01 assessment'!$M31="","",1+COUNTIFS('01 assessment'!$L$4:$L$1000,'01 assessment'!$L31,'01 assessment'!$J$4:$J$1000,"&gt;"&amp;'01 assessment'!$J31)+COUNTIFS('01 assessment'!$L$4:$L$1000,'01 assessment'!$L31,'01 assessment'!$J$4:$J$1000,'01 assessment'!$J31,'01 assessment'!$M$4:$M$1000,"&lt;"&amp;'01 assessment'!$M31))</f>
        <v>1</v>
      </c>
      <c r="AH31">
        <f>IF(OR($AG31&lt;&gt;1,'01 assessment'!$M31=""),"",SUMIFS('04 Hazards'!$K$4:$K$1000,'04 Hazards'!$S$4:$S$1000,'01 assessment'!$M31,'04 Hazards'!$R$4:$R$1000,TRUE,'04 Hazards'!$U$4:$U$1000,TRUE))</f>
        <v>48</v>
      </c>
      <c r="AI31">
        <f>IF(OR($AG31&lt;&gt;1,$AH31&lt;=0),"",1+COUNTIFS($AG$4:$AG$1000,1,$AH$4:$AH$1000,"&gt;"&amp;$AH31)+COUNTIFS($AG$4:$AG$1000,1,$AH$4:$AH$1000,$AH31,'01 assessment'!$A$4:$A$1000,"&lt;"&amp;'01 assessment'!$A31))</f>
        <v>30</v>
      </c>
      <c r="AJ31">
        <f>IF('01 assessment'!$M31="","",1+COUNTIFS('01 assessment'!$A$4:$A$1000,"&lt;"&amp;'01 assessment'!$A31,'01 assessment'!$M$4:$M$1000,"&lt;&gt;")+COUNTIFS('01 assessment'!$A$4:$A$1000,'01 assessment'!$A31,'01 assessment'!$B$4:$B$1000,"&gt;"&amp;'01 assessment'!$B31,'01 assessment'!$M$4:$M$1000,"&lt;&gt;")+COUNTIFS('01 assessment'!$A$4:$A$1000,'01 assessment'!$A31,'01 assessment'!$B$4:$B$1000,'01 assessment'!$B31,'01 assessment'!$M$4:$M$1000,"&lt;"&amp;'01 assessment'!$M31))</f>
        <v>28</v>
      </c>
    </row>
    <row r="32" spans="1:36">
      <c r="A32" s="23">
        <v>9</v>
      </c>
      <c r="B32" s="25" t="str">
        <f t="shared" si="0"/>
        <v>Dermatology</v>
      </c>
      <c r="C32" s="23">
        <f t="shared" si="1"/>
        <v>11</v>
      </c>
      <c r="D32" s="23" t="str">
        <f t="shared" si="2"/>
        <v>CLOSED</v>
      </c>
      <c r="E32" s="23">
        <f t="shared" si="3"/>
        <v>9</v>
      </c>
      <c r="F32" s="23" t="str">
        <f t="shared" si="4"/>
        <v>HIGH</v>
      </c>
      <c r="G32" s="27">
        <f t="shared" si="5"/>
        <v>46084</v>
      </c>
      <c r="H32" s="23" t="str">
        <f t="shared" si="6"/>
        <v>RAH01-2026-009</v>
      </c>
      <c r="I32" s="23" t="str">
        <f t="shared" si="7"/>
        <v>Immediate corrective action</v>
      </c>
      <c r="T32" t="str">
        <f t="shared" si="8"/>
        <v>ASM-2026-009</v>
      </c>
      <c r="W32" t="str">
        <f>IFERROR(INDEX('01 assessment'!$A$4:$A$1000,MATCH(ROWS($W$4:W32),$AJ$4:$AJ$1000,0)),"")</f>
        <v>Neonatal ICU</v>
      </c>
      <c r="X32">
        <f>IFERROR(INDEX('01 assessment'!$F$4:$F$1000,MATCH(ROWS($X$4:X32),$AJ$4:$AJ$1000,0)),"")</f>
        <v>35</v>
      </c>
      <c r="Y32" t="str">
        <f>IFERROR(INDEX('01 assessment'!$C$4:$C$1000,MATCH(ROWS($Y$4:Y32),$AJ$4:$AJ$1000,0)),"")</f>
        <v>CLOSED</v>
      </c>
      <c r="Z32">
        <f>IFERROR(INDEX('01 assessment'!$G$4:$G$1000,MATCH(ROWS($Z$4:Z32),$AJ$4:$AJ$1000,0)),"")</f>
        <v>2</v>
      </c>
      <c r="AA32" t="str">
        <f>IFERROR(INDEX('01 assessment'!$H$4:$H$1000,MATCH(ROWS($AA$4:AA32),$AJ$4:$AJ$1000,0)),"")</f>
        <v>LOW</v>
      </c>
      <c r="AB32">
        <f>IFERROR(INDEX('01 assessment'!$B$4:$B$1000,MATCH(ROWS($AB$4:AB32),$AJ$4:$AJ$1000,0)),"")</f>
        <v>46155</v>
      </c>
      <c r="AC32" t="str">
        <f>IFERROR(INDEX('01 assessment'!$I$4:$I$1000,MATCH(ROWS($AC$4:AC32),$AJ$4:$AJ$1000,0)),"")</f>
        <v>RAH01-2026-029</v>
      </c>
      <c r="AD32" t="str">
        <f>IFERROR(INDEX('01 assessment'!$M$4:$M$1000,MATCH(ROWS($AD$4:AD32),$AJ$4:$AJ$1000,0)),"")</f>
        <v>ASM-2026-029</v>
      </c>
      <c r="AG32">
        <f>IF('01 assessment'!$M32="","",1+COUNTIFS('01 assessment'!$L$4:$L$1000,'01 assessment'!$L32,'01 assessment'!$J$4:$J$1000,"&gt;"&amp;'01 assessment'!$J32)+COUNTIFS('01 assessment'!$L$4:$L$1000,'01 assessment'!$L32,'01 assessment'!$J$4:$J$1000,'01 assessment'!$J32,'01 assessment'!$M$4:$M$1000,"&lt;"&amp;'01 assessment'!$M32))</f>
        <v>1</v>
      </c>
      <c r="AH32">
        <f>IF(OR($AG32&lt;&gt;1,'01 assessment'!$M32=""),"",SUMIFS('04 Hazards'!$K$4:$K$1000,'04 Hazards'!$S$4:$S$1000,'01 assessment'!$M32,'04 Hazards'!$R$4:$R$1000,TRUE,'04 Hazards'!$U$4:$U$1000,TRUE))</f>
        <v>10</v>
      </c>
      <c r="AI32">
        <f>IF(OR($AG32&lt;&gt;1,$AH32&lt;=0),"",1+COUNTIFS($AG$4:$AG$1000,1,$AH$4:$AH$1000,"&gt;"&amp;$AH32)+COUNTIFS($AG$4:$AG$1000,1,$AH$4:$AH$1000,$AH32,'01 assessment'!$A$4:$A$1000,"&lt;"&amp;'01 assessment'!$A32))</f>
        <v>57</v>
      </c>
      <c r="AJ32">
        <f>IF('01 assessment'!$M32="","",1+COUNTIFS('01 assessment'!$A$4:$A$1000,"&lt;"&amp;'01 assessment'!$A32,'01 assessment'!$M$4:$M$1000,"&lt;&gt;")+COUNTIFS('01 assessment'!$A$4:$A$1000,'01 assessment'!$A32,'01 assessment'!$B$4:$B$1000,"&gt;"&amp;'01 assessment'!$B32,'01 assessment'!$M$4:$M$1000,"&lt;&gt;")+COUNTIFS('01 assessment'!$A$4:$A$1000,'01 assessment'!$A32,'01 assessment'!$B$4:$B$1000,'01 assessment'!$B32,'01 assessment'!$M$4:$M$1000,"&lt;"&amp;'01 assessment'!$M32))</f>
        <v>29</v>
      </c>
    </row>
    <row r="33" spans="1:36">
      <c r="A33" s="23">
        <v>10</v>
      </c>
      <c r="B33" s="25" t="str">
        <f t="shared" si="0"/>
        <v>Diagnostic Imaging</v>
      </c>
      <c r="C33" s="23">
        <f t="shared" si="1"/>
        <v>18</v>
      </c>
      <c r="D33" s="23" t="str">
        <f t="shared" si="2"/>
        <v>RETURNED</v>
      </c>
      <c r="E33" s="23">
        <f t="shared" si="3"/>
        <v>9</v>
      </c>
      <c r="F33" s="23" t="str">
        <f t="shared" si="4"/>
        <v>HIGH</v>
      </c>
      <c r="G33" s="27">
        <f t="shared" si="5"/>
        <v>46118</v>
      </c>
      <c r="H33" s="23" t="str">
        <f t="shared" si="6"/>
        <v>RAH01-2026-010</v>
      </c>
      <c r="I33" s="23" t="str">
        <f t="shared" si="7"/>
        <v>Immediate corrective action</v>
      </c>
      <c r="T33" t="str">
        <f t="shared" si="8"/>
        <v>ASM-2026-010</v>
      </c>
      <c r="W33" t="str">
        <f>IFERROR(INDEX('01 assessment'!$A$4:$A$1000,MATCH(ROWS($W$4:W33),$AJ$4:$AJ$1000,0)),"")</f>
        <v>Neurology</v>
      </c>
      <c r="X33">
        <f>IFERROR(INDEX('01 assessment'!$F$4:$F$1000,MATCH(ROWS($X$4:X33),$AJ$4:$AJ$1000,0)),"")</f>
        <v>42</v>
      </c>
      <c r="Y33" t="str">
        <f>IFERROR(INDEX('01 assessment'!$C$4:$C$1000,MATCH(ROWS($Y$4:Y33),$AJ$4:$AJ$1000,0)),"")</f>
        <v>RETURNED</v>
      </c>
      <c r="Z33">
        <f>IFERROR(INDEX('01 assessment'!$G$4:$G$1000,MATCH(ROWS($Z$4:Z33),$AJ$4:$AJ$1000,0)),"")</f>
        <v>4</v>
      </c>
      <c r="AA33" t="str">
        <f>IFERROR(INDEX('01 assessment'!$H$4:$H$1000,MATCH(ROWS($AA$4:AA33),$AJ$4:$AJ$1000,0)),"")</f>
        <v>MEDIUM</v>
      </c>
      <c r="AB33">
        <f>IFERROR(INDEX('01 assessment'!$B$4:$B$1000,MATCH(ROWS($AB$4:AB33),$AJ$4:$AJ$1000,0)),"")</f>
        <v>46189</v>
      </c>
      <c r="AC33" t="str">
        <f>IFERROR(INDEX('01 assessment'!$I$4:$I$1000,MATCH(ROWS($AC$4:AC33),$AJ$4:$AJ$1000,0)),"")</f>
        <v>RAH01-2026-030</v>
      </c>
      <c r="AD33" t="str">
        <f>IFERROR(INDEX('01 assessment'!$M$4:$M$1000,MATCH(ROWS($AD$4:AD33),$AJ$4:$AJ$1000,0)),"")</f>
        <v>ASM-2026-030</v>
      </c>
      <c r="AG33">
        <f>IF('01 assessment'!$M33="","",1+COUNTIFS('01 assessment'!$L$4:$L$1000,'01 assessment'!$L33,'01 assessment'!$J$4:$J$1000,"&gt;"&amp;'01 assessment'!$J33)+COUNTIFS('01 assessment'!$L$4:$L$1000,'01 assessment'!$L33,'01 assessment'!$J$4:$J$1000,'01 assessment'!$J33,'01 assessment'!$M$4:$M$1000,"&lt;"&amp;'01 assessment'!$M33))</f>
        <v>1</v>
      </c>
      <c r="AH33">
        <f>IF(OR($AG33&lt;&gt;1,'01 assessment'!$M33=""),"",SUMIFS('04 Hazards'!$K$4:$K$1000,'04 Hazards'!$S$4:$S$1000,'01 assessment'!$M33,'04 Hazards'!$R$4:$R$1000,TRUE,'04 Hazards'!$U$4:$U$1000,TRUE))</f>
        <v>23</v>
      </c>
      <c r="AI33">
        <f>IF(OR($AG33&lt;&gt;1,$AH33&lt;=0),"",1+COUNTIFS($AG$4:$AG$1000,1,$AH$4:$AH$1000,"&gt;"&amp;$AH33)+COUNTIFS($AG$4:$AG$1000,1,$AH$4:$AH$1000,$AH33,'01 assessment'!$A$4:$A$1000,"&lt;"&amp;'01 assessment'!$A33))</f>
        <v>42</v>
      </c>
      <c r="AJ33">
        <f>IF('01 assessment'!$M33="","",1+COUNTIFS('01 assessment'!$A$4:$A$1000,"&lt;"&amp;'01 assessment'!$A33,'01 assessment'!$M$4:$M$1000,"&lt;&gt;")+COUNTIFS('01 assessment'!$A$4:$A$1000,'01 assessment'!$A33,'01 assessment'!$B$4:$B$1000,"&gt;"&amp;'01 assessment'!$B33,'01 assessment'!$M$4:$M$1000,"&lt;&gt;")+COUNTIFS('01 assessment'!$A$4:$A$1000,'01 assessment'!$A33,'01 assessment'!$B$4:$B$1000,'01 assessment'!$B33,'01 assessment'!$M$4:$M$1000,"&lt;"&amp;'01 assessment'!$M33))</f>
        <v>30</v>
      </c>
    </row>
    <row r="34" spans="1:36">
      <c r="A34" s="23">
        <v>11</v>
      </c>
      <c r="B34" s="25" t="str">
        <f t="shared" si="0"/>
        <v>Emergency Medical Service</v>
      </c>
      <c r="C34" s="23">
        <f t="shared" si="1"/>
        <v>25</v>
      </c>
      <c r="D34" s="23" t="str">
        <f t="shared" si="2"/>
        <v>SUBMITTED</v>
      </c>
      <c r="E34" s="23">
        <f t="shared" si="3"/>
        <v>4</v>
      </c>
      <c r="F34" s="23" t="str">
        <f t="shared" si="4"/>
        <v>MEDIUM</v>
      </c>
      <c r="G34" s="27">
        <f t="shared" si="5"/>
        <v>46151</v>
      </c>
      <c r="H34" s="23" t="str">
        <f t="shared" si="6"/>
        <v>RAH01-2026-011</v>
      </c>
      <c r="I34" s="23" t="str">
        <f t="shared" si="7"/>
        <v>Document improvement plan</v>
      </c>
      <c r="T34" t="str">
        <f t="shared" si="8"/>
        <v>ASM-2026-011</v>
      </c>
      <c r="W34" t="str">
        <f>IFERROR(INDEX('01 assessment'!$A$4:$A$1000,MATCH(ROWS($W$4:W34),$AJ$4:$AJ$1000,0)),"")</f>
        <v>Neurosurgery</v>
      </c>
      <c r="X34">
        <f>IFERROR(INDEX('01 assessment'!$F$4:$F$1000,MATCH(ROWS($X$4:X34),$AJ$4:$AJ$1000,0)),"")</f>
        <v>49</v>
      </c>
      <c r="Y34" t="str">
        <f>IFERROR(INDEX('01 assessment'!$C$4:$C$1000,MATCH(ROWS($Y$4:Y34),$AJ$4:$AJ$1000,0)),"")</f>
        <v>SUBMITTED</v>
      </c>
      <c r="Z34">
        <f>IFERROR(INDEX('01 assessment'!$G$4:$G$1000,MATCH(ROWS($Z$4:Z34),$AJ$4:$AJ$1000,0)),"")</f>
        <v>2</v>
      </c>
      <c r="AA34" t="str">
        <f>IFERROR(INDEX('01 assessment'!$H$4:$H$1000,MATCH(ROWS($AA$4:AA34),$AJ$4:$AJ$1000,0)),"")</f>
        <v>LOW</v>
      </c>
      <c r="AB34">
        <f>IFERROR(INDEX('01 assessment'!$B$4:$B$1000,MATCH(ROWS($AB$4:AB34),$AJ$4:$AJ$1000,0)),"")</f>
        <v>46041</v>
      </c>
      <c r="AC34" t="str">
        <f>IFERROR(INDEX('01 assessment'!$I$4:$I$1000,MATCH(ROWS($AC$4:AC34),$AJ$4:$AJ$1000,0)),"")</f>
        <v>RAH01-2026-031</v>
      </c>
      <c r="AD34" t="str">
        <f>IFERROR(INDEX('01 assessment'!$M$4:$M$1000,MATCH(ROWS($AD$4:AD34),$AJ$4:$AJ$1000,0)),"")</f>
        <v>ASM-2026-031</v>
      </c>
      <c r="AG34">
        <f>IF('01 assessment'!$M34="","",1+COUNTIFS('01 assessment'!$L$4:$L$1000,'01 assessment'!$L34,'01 assessment'!$J$4:$J$1000,"&gt;"&amp;'01 assessment'!$J34)+COUNTIFS('01 assessment'!$L$4:$L$1000,'01 assessment'!$L34,'01 assessment'!$J$4:$J$1000,'01 assessment'!$J34,'01 assessment'!$M$4:$M$1000,"&lt;"&amp;'01 assessment'!$M34))</f>
        <v>1</v>
      </c>
      <c r="AH34">
        <f>IF(OR($AG34&lt;&gt;1,'01 assessment'!$M34=""),"",SUMIFS('04 Hazards'!$K$4:$K$1000,'04 Hazards'!$S$4:$S$1000,'01 assessment'!$M34,'04 Hazards'!$R$4:$R$1000,TRUE,'04 Hazards'!$U$4:$U$1000,TRUE))</f>
        <v>10</v>
      </c>
      <c r="AI34">
        <f>IF(OR($AG34&lt;&gt;1,$AH34&lt;=0),"",1+COUNTIFS($AG$4:$AG$1000,1,$AH$4:$AH$1000,"&gt;"&amp;$AH34)+COUNTIFS($AG$4:$AG$1000,1,$AH$4:$AH$1000,$AH34,'01 assessment'!$A$4:$A$1000,"&lt;"&amp;'01 assessment'!$A34))</f>
        <v>58</v>
      </c>
      <c r="AJ34">
        <f>IF('01 assessment'!$M34="","",1+COUNTIFS('01 assessment'!$A$4:$A$1000,"&lt;"&amp;'01 assessment'!$A34,'01 assessment'!$M$4:$M$1000,"&lt;&gt;")+COUNTIFS('01 assessment'!$A$4:$A$1000,'01 assessment'!$A34,'01 assessment'!$B$4:$B$1000,"&gt;"&amp;'01 assessment'!$B34,'01 assessment'!$M$4:$M$1000,"&lt;&gt;")+COUNTIFS('01 assessment'!$A$4:$A$1000,'01 assessment'!$A34,'01 assessment'!$B$4:$B$1000,'01 assessment'!$B34,'01 assessment'!$M$4:$M$1000,"&lt;"&amp;'01 assessment'!$M34))</f>
        <v>31</v>
      </c>
    </row>
    <row r="35" spans="1:36">
      <c r="A35" s="23">
        <v>12</v>
      </c>
      <c r="B35" s="25" t="str">
        <f t="shared" si="0"/>
        <v>Endocrinology</v>
      </c>
      <c r="C35" s="23">
        <f t="shared" si="1"/>
        <v>32</v>
      </c>
      <c r="D35" s="23" t="str">
        <f t="shared" si="2"/>
        <v>IN_REVIEW</v>
      </c>
      <c r="E35" s="23">
        <f t="shared" si="3"/>
        <v>9</v>
      </c>
      <c r="F35" s="23" t="str">
        <f t="shared" si="4"/>
        <v>HIGH</v>
      </c>
      <c r="G35" s="27">
        <f t="shared" si="5"/>
        <v>46185</v>
      </c>
      <c r="H35" s="23" t="str">
        <f t="shared" si="6"/>
        <v>RAH01-2026-012</v>
      </c>
      <c r="I35" s="23" t="str">
        <f t="shared" si="7"/>
        <v>Immediate corrective action</v>
      </c>
      <c r="T35" t="str">
        <f t="shared" si="8"/>
        <v>ASM-2026-012</v>
      </c>
      <c r="W35" t="str">
        <f>IFERROR(INDEX('01 assessment'!$A$4:$A$1000,MATCH(ROWS($W$4:W35),$AJ$4:$AJ$1000,0)),"")</f>
        <v>Nuclear Medicine</v>
      </c>
      <c r="X35">
        <f>IFERROR(INDEX('01 assessment'!$F$4:$F$1000,MATCH(ROWS($X$4:X35),$AJ$4:$AJ$1000,0)),"")</f>
        <v>56</v>
      </c>
      <c r="Y35" t="str">
        <f>IFERROR(INDEX('01 assessment'!$C$4:$C$1000,MATCH(ROWS($Y$4:Y35),$AJ$4:$AJ$1000,0)),"")</f>
        <v>IN_REVIEW</v>
      </c>
      <c r="Z35">
        <f>IFERROR(INDEX('01 assessment'!$G$4:$G$1000,MATCH(ROWS($Z$4:Z35),$AJ$4:$AJ$1000,0)),"")</f>
        <v>2</v>
      </c>
      <c r="AA35" t="str">
        <f>IFERROR(INDEX('01 assessment'!$H$4:$H$1000,MATCH(ROWS($AA$4:AA35),$AJ$4:$AJ$1000,0)),"")</f>
        <v>LOW</v>
      </c>
      <c r="AB35">
        <f>IFERROR(INDEX('01 assessment'!$B$4:$B$1000,MATCH(ROWS($AB$4:AB35),$AJ$4:$AJ$1000,0)),"")</f>
        <v>46075</v>
      </c>
      <c r="AC35" t="str">
        <f>IFERROR(INDEX('01 assessment'!$I$4:$I$1000,MATCH(ROWS($AC$4:AC35),$AJ$4:$AJ$1000,0)),"")</f>
        <v>RAH01-2026-032</v>
      </c>
      <c r="AD35" t="str">
        <f>IFERROR(INDEX('01 assessment'!$M$4:$M$1000,MATCH(ROWS($AD$4:AD35),$AJ$4:$AJ$1000,0)),"")</f>
        <v>ASM-2026-032</v>
      </c>
      <c r="AG35">
        <f>IF('01 assessment'!$M35="","",1+COUNTIFS('01 assessment'!$L$4:$L$1000,'01 assessment'!$L35,'01 assessment'!$J$4:$J$1000,"&gt;"&amp;'01 assessment'!$J35)+COUNTIFS('01 assessment'!$L$4:$L$1000,'01 assessment'!$L35,'01 assessment'!$J$4:$J$1000,'01 assessment'!$J35,'01 assessment'!$M$4:$M$1000,"&lt;"&amp;'01 assessment'!$M35))</f>
        <v>1</v>
      </c>
      <c r="AH35">
        <f>IF(OR($AG35&lt;&gt;1,'01 assessment'!$M35=""),"",SUMIFS('04 Hazards'!$K$4:$K$1000,'04 Hazards'!$S$4:$S$1000,'01 assessment'!$M35,'04 Hazards'!$R$4:$R$1000,TRUE,'04 Hazards'!$U$4:$U$1000,TRUE))</f>
        <v>9</v>
      </c>
      <c r="AI35">
        <f>IF(OR($AG35&lt;&gt;1,$AH35&lt;=0),"",1+COUNTIFS($AG$4:$AG$1000,1,$AH$4:$AH$1000,"&gt;"&amp;$AH35)+COUNTIFS($AG$4:$AG$1000,1,$AH$4:$AH$1000,$AH35,'01 assessment'!$A$4:$A$1000,"&lt;"&amp;'01 assessment'!$A35))</f>
        <v>68</v>
      </c>
      <c r="AJ35">
        <f>IF('01 assessment'!$M35="","",1+COUNTIFS('01 assessment'!$A$4:$A$1000,"&lt;"&amp;'01 assessment'!$A35,'01 assessment'!$M$4:$M$1000,"&lt;&gt;")+COUNTIFS('01 assessment'!$A$4:$A$1000,'01 assessment'!$A35,'01 assessment'!$B$4:$B$1000,"&gt;"&amp;'01 assessment'!$B35,'01 assessment'!$M$4:$M$1000,"&lt;&gt;")+COUNTIFS('01 assessment'!$A$4:$A$1000,'01 assessment'!$A35,'01 assessment'!$B$4:$B$1000,'01 assessment'!$B35,'01 assessment'!$M$4:$M$1000,"&lt;"&amp;'01 assessment'!$M35))</f>
        <v>32</v>
      </c>
    </row>
    <row r="36" spans="1:36">
      <c r="A36" s="23">
        <v>13</v>
      </c>
      <c r="B36" s="25" t="str">
        <f t="shared" si="0"/>
        <v>ENT</v>
      </c>
      <c r="C36" s="23">
        <f t="shared" si="1"/>
        <v>39</v>
      </c>
      <c r="D36" s="23" t="str">
        <f t="shared" si="2"/>
        <v>CLOSED</v>
      </c>
      <c r="E36" s="23">
        <f t="shared" si="3"/>
        <v>4</v>
      </c>
      <c r="F36" s="23" t="str">
        <f t="shared" si="4"/>
        <v>MEDIUM</v>
      </c>
      <c r="G36" s="27">
        <f t="shared" si="5"/>
        <v>46037</v>
      </c>
      <c r="H36" s="23" t="str">
        <f t="shared" si="6"/>
        <v>RAH01-2026-013</v>
      </c>
      <c r="I36" s="23" t="str">
        <f t="shared" si="7"/>
        <v>Document improvement plan</v>
      </c>
      <c r="T36" t="str">
        <f t="shared" si="8"/>
        <v>ASM-2026-013</v>
      </c>
      <c r="W36" t="str">
        <f>IFERROR(INDEX('01 assessment'!$A$4:$A$1000,MATCH(ROWS($W$4:W36),$AJ$4:$AJ$1000,0)),"")</f>
        <v>Obstetrics</v>
      </c>
      <c r="X36">
        <f>IFERROR(INDEX('01 assessment'!$F$4:$F$1000,MATCH(ROWS($X$4:X36),$AJ$4:$AJ$1000,0)),"")</f>
        <v>63</v>
      </c>
      <c r="Y36" t="str">
        <f>IFERROR(INDEX('01 assessment'!$C$4:$C$1000,MATCH(ROWS($Y$4:Y36),$AJ$4:$AJ$1000,0)),"")</f>
        <v>CLOSED</v>
      </c>
      <c r="Z36">
        <f>IFERROR(INDEX('01 assessment'!$G$4:$G$1000,MATCH(ROWS($Z$4:Z36),$AJ$4:$AJ$1000,0)),"")</f>
        <v>4</v>
      </c>
      <c r="AA36" t="str">
        <f>IFERROR(INDEX('01 assessment'!$H$4:$H$1000,MATCH(ROWS($AA$4:AA36),$AJ$4:$AJ$1000,0)),"")</f>
        <v>MEDIUM</v>
      </c>
      <c r="AB36">
        <f>IFERROR(INDEX('01 assessment'!$B$4:$B$1000,MATCH(ROWS($AB$4:AB36),$AJ$4:$AJ$1000,0)),"")</f>
        <v>46106</v>
      </c>
      <c r="AC36" t="str">
        <f>IFERROR(INDEX('01 assessment'!$I$4:$I$1000,MATCH(ROWS($AC$4:AC36),$AJ$4:$AJ$1000,0)),"")</f>
        <v>RAH01-2026-033</v>
      </c>
      <c r="AD36" t="str">
        <f>IFERROR(INDEX('01 assessment'!$M$4:$M$1000,MATCH(ROWS($AD$4:AD36),$AJ$4:$AJ$1000,0)),"")</f>
        <v>ASM-2026-033</v>
      </c>
      <c r="AG36">
        <f>IF('01 assessment'!$M36="","",1+COUNTIFS('01 assessment'!$L$4:$L$1000,'01 assessment'!$L36,'01 assessment'!$J$4:$J$1000,"&gt;"&amp;'01 assessment'!$J36)+COUNTIFS('01 assessment'!$L$4:$L$1000,'01 assessment'!$L36,'01 assessment'!$J$4:$J$1000,'01 assessment'!$J36,'01 assessment'!$M$4:$M$1000,"&lt;"&amp;'01 assessment'!$M36))</f>
        <v>1</v>
      </c>
      <c r="AH36">
        <f>IF(OR($AG36&lt;&gt;1,'01 assessment'!$M36=""),"",SUMIFS('04 Hazards'!$K$4:$K$1000,'04 Hazards'!$S$4:$S$1000,'01 assessment'!$M36,'04 Hazards'!$R$4:$R$1000,TRUE,'04 Hazards'!$U$4:$U$1000,TRUE))</f>
        <v>20</v>
      </c>
      <c r="AI36">
        <f>IF(OR($AG36&lt;&gt;1,$AH36&lt;=0),"",1+COUNTIFS($AG$4:$AG$1000,1,$AH$4:$AH$1000,"&gt;"&amp;$AH36)+COUNTIFS($AG$4:$AG$1000,1,$AH$4:$AH$1000,$AH36,'01 assessment'!$A$4:$A$1000,"&lt;"&amp;'01 assessment'!$A36))</f>
        <v>50</v>
      </c>
      <c r="AJ36">
        <f>IF('01 assessment'!$M36="","",1+COUNTIFS('01 assessment'!$A$4:$A$1000,"&lt;"&amp;'01 assessment'!$A36,'01 assessment'!$M$4:$M$1000,"&lt;&gt;")+COUNTIFS('01 assessment'!$A$4:$A$1000,'01 assessment'!$A36,'01 assessment'!$B$4:$B$1000,"&gt;"&amp;'01 assessment'!$B36,'01 assessment'!$M$4:$M$1000,"&lt;&gt;")+COUNTIFS('01 assessment'!$A$4:$A$1000,'01 assessment'!$A36,'01 assessment'!$B$4:$B$1000,'01 assessment'!$B36,'01 assessment'!$M$4:$M$1000,"&lt;"&amp;'01 assessment'!$M36))</f>
        <v>33</v>
      </c>
    </row>
    <row r="37" spans="1:36">
      <c r="A37" s="23">
        <v>14</v>
      </c>
      <c r="B37" s="25" t="str">
        <f t="shared" si="0"/>
        <v>Environmental Health</v>
      </c>
      <c r="C37" s="23">
        <f t="shared" si="1"/>
        <v>46</v>
      </c>
      <c r="D37" s="23" t="str">
        <f t="shared" si="2"/>
        <v>CLOSED</v>
      </c>
      <c r="E37" s="23">
        <f t="shared" si="3"/>
        <v>4</v>
      </c>
      <c r="F37" s="23" t="str">
        <f t="shared" si="4"/>
        <v>MEDIUM</v>
      </c>
      <c r="G37" s="27">
        <f t="shared" si="5"/>
        <v>46071</v>
      </c>
      <c r="H37" s="23" t="str">
        <f t="shared" si="6"/>
        <v>RAH01-2026-014</v>
      </c>
      <c r="I37" s="23" t="str">
        <f t="shared" si="7"/>
        <v>Document improvement plan</v>
      </c>
      <c r="T37" t="str">
        <f t="shared" si="8"/>
        <v>ASM-2026-014</v>
      </c>
      <c r="W37" t="str">
        <f>IFERROR(INDEX('01 assessment'!$A$4:$A$1000,MATCH(ROWS($W$4:W37),$AJ$4:$AJ$1000,0)),"")</f>
        <v>Occupational Health</v>
      </c>
      <c r="X37">
        <f>IFERROR(INDEX('01 assessment'!$F$4:$F$1000,MATCH(ROWS($X$4:X37),$AJ$4:$AJ$1000,0)),"")</f>
        <v>12</v>
      </c>
      <c r="Y37" t="str">
        <f>IFERROR(INDEX('01 assessment'!$C$4:$C$1000,MATCH(ROWS($Y$4:Y37),$AJ$4:$AJ$1000,0)),"")</f>
        <v>CLOSED</v>
      </c>
      <c r="Z37">
        <f>IFERROR(INDEX('01 assessment'!$G$4:$G$1000,MATCH(ROWS($Z$4:Z37),$AJ$4:$AJ$1000,0)),"")</f>
        <v>2</v>
      </c>
      <c r="AA37" t="str">
        <f>IFERROR(INDEX('01 assessment'!$H$4:$H$1000,MATCH(ROWS($AA$4:AA37),$AJ$4:$AJ$1000,0)),"")</f>
        <v>LOW</v>
      </c>
      <c r="AB37">
        <f>IFERROR(INDEX('01 assessment'!$B$4:$B$1000,MATCH(ROWS($AB$4:AB37),$AJ$4:$AJ$1000,0)),"")</f>
        <v>46115</v>
      </c>
      <c r="AC37" t="str">
        <f>IFERROR(INDEX('01 assessment'!$I$4:$I$1000,MATCH(ROWS($AC$4:AC37),$AJ$4:$AJ$1000,0)),"")</f>
        <v>RAH01-2026-034</v>
      </c>
      <c r="AD37" t="str">
        <f>IFERROR(INDEX('01 assessment'!$M$4:$M$1000,MATCH(ROWS($AD$4:AD37),$AJ$4:$AJ$1000,0)),"")</f>
        <v>ASM-2026-034</v>
      </c>
      <c r="AG37">
        <f>IF('01 assessment'!$M37="","",1+COUNTIFS('01 assessment'!$L$4:$L$1000,'01 assessment'!$L37,'01 assessment'!$J$4:$J$1000,"&gt;"&amp;'01 assessment'!$J37)+COUNTIFS('01 assessment'!$L$4:$L$1000,'01 assessment'!$L37,'01 assessment'!$J$4:$J$1000,'01 assessment'!$J37,'01 assessment'!$M$4:$M$1000,"&lt;"&amp;'01 assessment'!$M37))</f>
        <v>1</v>
      </c>
      <c r="AH37">
        <f>IF(OR($AG37&lt;&gt;1,'01 assessment'!$M37=""),"",SUMIFS('04 Hazards'!$K$4:$K$1000,'04 Hazards'!$S$4:$S$1000,'01 assessment'!$M37,'04 Hazards'!$R$4:$R$1000,TRUE,'04 Hazards'!$U$4:$U$1000,TRUE))</f>
        <v>10</v>
      </c>
      <c r="AI37">
        <f>IF(OR($AG37&lt;&gt;1,$AH37&lt;=0),"",1+COUNTIFS($AG$4:$AG$1000,1,$AH$4:$AH$1000,"&gt;"&amp;$AH37)+COUNTIFS($AG$4:$AG$1000,1,$AH$4:$AH$1000,$AH37,'01 assessment'!$A$4:$A$1000,"&lt;"&amp;'01 assessment'!$A37))</f>
        <v>59</v>
      </c>
      <c r="AJ37">
        <f>IF('01 assessment'!$M37="","",1+COUNTIFS('01 assessment'!$A$4:$A$1000,"&lt;"&amp;'01 assessment'!$A37,'01 assessment'!$M$4:$M$1000,"&lt;&gt;")+COUNTIFS('01 assessment'!$A$4:$A$1000,'01 assessment'!$A37,'01 assessment'!$B$4:$B$1000,"&gt;"&amp;'01 assessment'!$B37,'01 assessment'!$M$4:$M$1000,"&lt;&gt;")+COUNTIFS('01 assessment'!$A$4:$A$1000,'01 assessment'!$A37,'01 assessment'!$B$4:$B$1000,'01 assessment'!$B37,'01 assessment'!$M$4:$M$1000,"&lt;"&amp;'01 assessment'!$M37))</f>
        <v>34</v>
      </c>
    </row>
    <row r="38" spans="1:36">
      <c r="A38" s="23">
        <v>15</v>
      </c>
      <c r="B38" s="25" t="str">
        <f t="shared" si="0"/>
        <v>Eye Clinic</v>
      </c>
      <c r="C38" s="23">
        <f t="shared" si="1"/>
        <v>53</v>
      </c>
      <c r="D38" s="23" t="str">
        <f t="shared" si="2"/>
        <v>RETURNED</v>
      </c>
      <c r="E38" s="23">
        <f t="shared" si="3"/>
        <v>4</v>
      </c>
      <c r="F38" s="23" t="str">
        <f t="shared" si="4"/>
        <v>MEDIUM</v>
      </c>
      <c r="G38" s="27">
        <f t="shared" si="5"/>
        <v>46102</v>
      </c>
      <c r="H38" s="23" t="str">
        <f t="shared" si="6"/>
        <v>RAH01-2026-015</v>
      </c>
      <c r="I38" s="23" t="str">
        <f t="shared" si="7"/>
        <v>Document improvement plan</v>
      </c>
      <c r="T38" t="str">
        <f t="shared" si="8"/>
        <v>ASM-2026-015</v>
      </c>
      <c r="W38" t="str">
        <f>IFERROR(INDEX('01 assessment'!$A$4:$A$1000,MATCH(ROWS($W$4:W38),$AJ$4:$AJ$1000,0)),"")</f>
        <v>Oncology</v>
      </c>
      <c r="X38">
        <f>IFERROR(INDEX('01 assessment'!$F$4:$F$1000,MATCH(ROWS($X$4:X38),$AJ$4:$AJ$1000,0)),"")</f>
        <v>19</v>
      </c>
      <c r="Y38" t="str">
        <f>IFERROR(INDEX('01 assessment'!$C$4:$C$1000,MATCH(ROWS($Y$4:Y38),$AJ$4:$AJ$1000,0)),"")</f>
        <v>RETURNED</v>
      </c>
      <c r="Z38">
        <f>IFERROR(INDEX('01 assessment'!$G$4:$G$1000,MATCH(ROWS($Z$4:Z38),$AJ$4:$AJ$1000,0)),"")</f>
        <v>2</v>
      </c>
      <c r="AA38" t="str">
        <f>IFERROR(INDEX('01 assessment'!$H$4:$H$1000,MATCH(ROWS($AA$4:AA38),$AJ$4:$AJ$1000,0)),"")</f>
        <v>LOW</v>
      </c>
      <c r="AB38">
        <f>IFERROR(INDEX('01 assessment'!$B$4:$B$1000,MATCH(ROWS($AB$4:AB38),$AJ$4:$AJ$1000,0)),"")</f>
        <v>46148</v>
      </c>
      <c r="AC38" t="str">
        <f>IFERROR(INDEX('01 assessment'!$I$4:$I$1000,MATCH(ROWS($AC$4:AC38),$AJ$4:$AJ$1000,0)),"")</f>
        <v>RAH01-2026-035</v>
      </c>
      <c r="AD38" t="str">
        <f>IFERROR(INDEX('01 assessment'!$M$4:$M$1000,MATCH(ROWS($AD$4:AD38),$AJ$4:$AJ$1000,0)),"")</f>
        <v>ASM-2026-035</v>
      </c>
      <c r="AG38">
        <f>IF('01 assessment'!$M38="","",1+COUNTIFS('01 assessment'!$L$4:$L$1000,'01 assessment'!$L38,'01 assessment'!$J$4:$J$1000,"&gt;"&amp;'01 assessment'!$J38)+COUNTIFS('01 assessment'!$L$4:$L$1000,'01 assessment'!$L38,'01 assessment'!$J$4:$J$1000,'01 assessment'!$J38,'01 assessment'!$M$4:$M$1000,"&lt;"&amp;'01 assessment'!$M38))</f>
        <v>1</v>
      </c>
      <c r="AH38">
        <f>IF(OR($AG38&lt;&gt;1,'01 assessment'!$M38=""),"",SUMIFS('04 Hazards'!$K$4:$K$1000,'04 Hazards'!$S$4:$S$1000,'01 assessment'!$M38,'04 Hazards'!$R$4:$R$1000,TRUE,'04 Hazards'!$U$4:$U$1000,TRUE))</f>
        <v>10</v>
      </c>
      <c r="AI38">
        <f>IF(OR($AG38&lt;&gt;1,$AH38&lt;=0),"",1+COUNTIFS($AG$4:$AG$1000,1,$AH$4:$AH$1000,"&gt;"&amp;$AH38)+COUNTIFS($AG$4:$AG$1000,1,$AH$4:$AH$1000,$AH38,'01 assessment'!$A$4:$A$1000,"&lt;"&amp;'01 assessment'!$A38))</f>
        <v>60</v>
      </c>
      <c r="AJ38">
        <f>IF('01 assessment'!$M38="","",1+COUNTIFS('01 assessment'!$A$4:$A$1000,"&lt;"&amp;'01 assessment'!$A38,'01 assessment'!$M$4:$M$1000,"&lt;&gt;")+COUNTIFS('01 assessment'!$A$4:$A$1000,'01 assessment'!$A38,'01 assessment'!$B$4:$B$1000,"&gt;"&amp;'01 assessment'!$B38,'01 assessment'!$M$4:$M$1000,"&lt;&gt;")+COUNTIFS('01 assessment'!$A$4:$A$1000,'01 assessment'!$A38,'01 assessment'!$B$4:$B$1000,'01 assessment'!$B38,'01 assessment'!$M$4:$M$1000,"&lt;"&amp;'01 assessment'!$M38))</f>
        <v>35</v>
      </c>
    </row>
    <row r="39" spans="1:36">
      <c r="A39" s="23">
        <v>16</v>
      </c>
      <c r="B39" s="25" t="str">
        <f t="shared" si="0"/>
        <v>Family Medicine</v>
      </c>
      <c r="C39" s="23">
        <f t="shared" si="1"/>
        <v>60</v>
      </c>
      <c r="D39" s="23" t="str">
        <f t="shared" si="2"/>
        <v>SUBMITTED</v>
      </c>
      <c r="E39" s="23">
        <f t="shared" si="3"/>
        <v>9</v>
      </c>
      <c r="F39" s="23" t="str">
        <f t="shared" si="4"/>
        <v>HIGH</v>
      </c>
      <c r="G39" s="27">
        <f t="shared" si="5"/>
        <v>46136</v>
      </c>
      <c r="H39" s="23" t="str">
        <f t="shared" si="6"/>
        <v>RAH01-2026-016</v>
      </c>
      <c r="I39" s="23" t="str">
        <f t="shared" si="7"/>
        <v>Immediate corrective action</v>
      </c>
      <c r="T39" t="str">
        <f t="shared" si="8"/>
        <v>ASM-2026-016</v>
      </c>
      <c r="W39" t="str">
        <f>IFERROR(INDEX('01 assessment'!$A$4:$A$1000,MATCH(ROWS($W$4:W39),$AJ$4:$AJ$1000,0)),"")</f>
        <v>Operating Theatre</v>
      </c>
      <c r="X39">
        <f>IFERROR(INDEX('01 assessment'!$F$4:$F$1000,MATCH(ROWS($X$4:X39),$AJ$4:$AJ$1000,0)),"")</f>
        <v>26</v>
      </c>
      <c r="Y39" t="str">
        <f>IFERROR(INDEX('01 assessment'!$C$4:$C$1000,MATCH(ROWS($Y$4:Y39),$AJ$4:$AJ$1000,0)),"")</f>
        <v>SUBMITTED</v>
      </c>
      <c r="Z39">
        <f>IFERROR(INDEX('01 assessment'!$G$4:$G$1000,MATCH(ROWS($Z$4:Z39),$AJ$4:$AJ$1000,0)),"")</f>
        <v>9</v>
      </c>
      <c r="AA39" t="str">
        <f>IFERROR(INDEX('01 assessment'!$H$4:$H$1000,MATCH(ROWS($AA$4:AA39),$AJ$4:$AJ$1000,0)),"")</f>
        <v>HIGH</v>
      </c>
      <c r="AB39">
        <f>IFERROR(INDEX('01 assessment'!$B$4:$B$1000,MATCH(ROWS($AB$4:AB39),$AJ$4:$AJ$1000,0)),"")</f>
        <v>46182</v>
      </c>
      <c r="AC39" t="str">
        <f>IFERROR(INDEX('01 assessment'!$I$4:$I$1000,MATCH(ROWS($AC$4:AC39),$AJ$4:$AJ$1000,0)),"")</f>
        <v>RAH01-2026-036</v>
      </c>
      <c r="AD39" t="str">
        <f>IFERROR(INDEX('01 assessment'!$M$4:$M$1000,MATCH(ROWS($AD$4:AD39),$AJ$4:$AJ$1000,0)),"")</f>
        <v>ASM-2026-036</v>
      </c>
      <c r="AG39">
        <f>IF('01 assessment'!$M39="","",1+COUNTIFS('01 assessment'!$L$4:$L$1000,'01 assessment'!$L39,'01 assessment'!$J$4:$J$1000,"&gt;"&amp;'01 assessment'!$J39)+COUNTIFS('01 assessment'!$L$4:$L$1000,'01 assessment'!$L39,'01 assessment'!$J$4:$J$1000,'01 assessment'!$J39,'01 assessment'!$M$4:$M$1000,"&lt;"&amp;'01 assessment'!$M39))</f>
        <v>1</v>
      </c>
      <c r="AH39">
        <f>IF(OR($AG39&lt;&gt;1,'01 assessment'!$M39=""),"",SUMIFS('04 Hazards'!$K$4:$K$1000,'04 Hazards'!$S$4:$S$1000,'01 assessment'!$M39,'04 Hazards'!$R$4:$R$1000,TRUE,'04 Hazards'!$U$4:$U$1000,TRUE))</f>
        <v>63</v>
      </c>
      <c r="AI39">
        <f>IF(OR($AG39&lt;&gt;1,$AH39&lt;=0),"",1+COUNTIFS($AG$4:$AG$1000,1,$AH$4:$AH$1000,"&gt;"&amp;$AH39)+COUNTIFS($AG$4:$AG$1000,1,$AH$4:$AH$1000,$AH39,'01 assessment'!$A$4:$A$1000,"&lt;"&amp;'01 assessment'!$A39))</f>
        <v>1</v>
      </c>
      <c r="AJ39">
        <f>IF('01 assessment'!$M39="","",1+COUNTIFS('01 assessment'!$A$4:$A$1000,"&lt;"&amp;'01 assessment'!$A39,'01 assessment'!$M$4:$M$1000,"&lt;&gt;")+COUNTIFS('01 assessment'!$A$4:$A$1000,'01 assessment'!$A39,'01 assessment'!$B$4:$B$1000,"&gt;"&amp;'01 assessment'!$B39,'01 assessment'!$M$4:$M$1000,"&lt;&gt;")+COUNTIFS('01 assessment'!$A$4:$A$1000,'01 assessment'!$A39,'01 assessment'!$B$4:$B$1000,'01 assessment'!$B39,'01 assessment'!$M$4:$M$1000,"&lt;"&amp;'01 assessment'!$M39))</f>
        <v>36</v>
      </c>
    </row>
    <row r="40" spans="1:36">
      <c r="A40" s="23">
        <v>17</v>
      </c>
      <c r="B40" s="25" t="str">
        <f t="shared" si="0"/>
        <v>Gastroenterology</v>
      </c>
      <c r="C40" s="23">
        <f t="shared" si="1"/>
        <v>9</v>
      </c>
      <c r="D40" s="23" t="str">
        <f t="shared" si="2"/>
        <v>IN_REVIEW</v>
      </c>
      <c r="E40" s="23">
        <f t="shared" si="3"/>
        <v>4</v>
      </c>
      <c r="F40" s="23" t="str">
        <f t="shared" si="4"/>
        <v>MEDIUM</v>
      </c>
      <c r="G40" s="27">
        <f t="shared" si="5"/>
        <v>46144</v>
      </c>
      <c r="H40" s="23" t="str">
        <f t="shared" si="6"/>
        <v>RAH01-2026-017</v>
      </c>
      <c r="I40" s="23" t="str">
        <f t="shared" si="7"/>
        <v>Document improvement plan</v>
      </c>
      <c r="T40" t="str">
        <f t="shared" si="8"/>
        <v>ASM-2026-017</v>
      </c>
      <c r="W40" t="str">
        <f>IFERROR(INDEX('01 assessment'!$A$4:$A$1000,MATCH(ROWS($W$4:W40),$AJ$4:$AJ$1000,0)),"")</f>
        <v>Orthopaedics</v>
      </c>
      <c r="X40">
        <f>IFERROR(INDEX('01 assessment'!$F$4:$F$1000,MATCH(ROWS($X$4:X40),$AJ$4:$AJ$1000,0)),"")</f>
        <v>33</v>
      </c>
      <c r="Y40" t="str">
        <f>IFERROR(INDEX('01 assessment'!$C$4:$C$1000,MATCH(ROWS($Y$4:Y40),$AJ$4:$AJ$1000,0)),"")</f>
        <v>IN_REVIEW</v>
      </c>
      <c r="Z40">
        <f>IFERROR(INDEX('01 assessment'!$G$4:$G$1000,MATCH(ROWS($Z$4:Z40),$AJ$4:$AJ$1000,0)),"")</f>
        <v>9</v>
      </c>
      <c r="AA40" t="str">
        <f>IFERROR(INDEX('01 assessment'!$H$4:$H$1000,MATCH(ROWS($AA$4:AA40),$AJ$4:$AJ$1000,0)),"")</f>
        <v>HIGH</v>
      </c>
      <c r="AB40">
        <f>IFERROR(INDEX('01 assessment'!$B$4:$B$1000,MATCH(ROWS($AB$4:AB40),$AJ$4:$AJ$1000,0)),"")</f>
        <v>46034</v>
      </c>
      <c r="AC40" t="str">
        <f>IFERROR(INDEX('01 assessment'!$I$4:$I$1000,MATCH(ROWS($AC$4:AC40),$AJ$4:$AJ$1000,0)),"")</f>
        <v>RAH01-2026-037</v>
      </c>
      <c r="AD40" t="str">
        <f>IFERROR(INDEX('01 assessment'!$M$4:$M$1000,MATCH(ROWS($AD$4:AD40),$AJ$4:$AJ$1000,0)),"")</f>
        <v>ASM-2026-037</v>
      </c>
      <c r="AG40">
        <f>IF('01 assessment'!$M40="","",1+COUNTIFS('01 assessment'!$L$4:$L$1000,'01 assessment'!$L40,'01 assessment'!$J$4:$J$1000,"&gt;"&amp;'01 assessment'!$J40)+COUNTIFS('01 assessment'!$L$4:$L$1000,'01 assessment'!$L40,'01 assessment'!$J$4:$J$1000,'01 assessment'!$J40,'01 assessment'!$M$4:$M$1000,"&lt;"&amp;'01 assessment'!$M40))</f>
        <v>1</v>
      </c>
      <c r="AH40">
        <f>IF(OR($AG40&lt;&gt;1,'01 assessment'!$M40=""),"",SUMIFS('04 Hazards'!$K$4:$K$1000,'04 Hazards'!$S$4:$S$1000,'01 assessment'!$M40,'04 Hazards'!$R$4:$R$1000,TRUE,'04 Hazards'!$U$4:$U$1000,TRUE))</f>
        <v>54</v>
      </c>
      <c r="AI40">
        <f>IF(OR($AG40&lt;&gt;1,$AH40&lt;=0),"",1+COUNTIFS($AG$4:$AG$1000,1,$AH$4:$AH$1000,"&gt;"&amp;$AH40)+COUNTIFS($AG$4:$AG$1000,1,$AH$4:$AH$1000,$AH40,'01 assessment'!$A$4:$A$1000,"&lt;"&amp;'01 assessment'!$A40))</f>
        <v>18</v>
      </c>
      <c r="AJ40">
        <f>IF('01 assessment'!$M40="","",1+COUNTIFS('01 assessment'!$A$4:$A$1000,"&lt;"&amp;'01 assessment'!$A40,'01 assessment'!$M$4:$M$1000,"&lt;&gt;")+COUNTIFS('01 assessment'!$A$4:$A$1000,'01 assessment'!$A40,'01 assessment'!$B$4:$B$1000,"&gt;"&amp;'01 assessment'!$B40,'01 assessment'!$M$4:$M$1000,"&lt;&gt;")+COUNTIFS('01 assessment'!$A$4:$A$1000,'01 assessment'!$A40,'01 assessment'!$B$4:$B$1000,'01 assessment'!$B40,'01 assessment'!$M$4:$M$1000,"&lt;"&amp;'01 assessment'!$M40))</f>
        <v>37</v>
      </c>
    </row>
    <row r="41" spans="1:36">
      <c r="A41" s="23">
        <v>18</v>
      </c>
      <c r="B41" s="25" t="str">
        <f t="shared" si="0"/>
        <v>General Surgery</v>
      </c>
      <c r="C41" s="23">
        <f t="shared" si="1"/>
        <v>16</v>
      </c>
      <c r="D41" s="23" t="str">
        <f t="shared" si="2"/>
        <v>CLOSED</v>
      </c>
      <c r="E41" s="23">
        <f t="shared" si="3"/>
        <v>9</v>
      </c>
      <c r="F41" s="23" t="str">
        <f t="shared" si="4"/>
        <v>HIGH</v>
      </c>
      <c r="G41" s="27">
        <f t="shared" si="5"/>
        <v>46178</v>
      </c>
      <c r="H41" s="23" t="str">
        <f t="shared" si="6"/>
        <v>RAH01-2026-018</v>
      </c>
      <c r="I41" s="23" t="str">
        <f t="shared" si="7"/>
        <v>Immediate corrective action</v>
      </c>
      <c r="T41" t="str">
        <f t="shared" si="8"/>
        <v>ASM-2026-018</v>
      </c>
      <c r="W41" t="str">
        <f>IFERROR(INDEX('01 assessment'!$A$4:$A$1000,MATCH(ROWS($W$4:W41),$AJ$4:$AJ$1000,0)),"")</f>
        <v>Outpatient Department</v>
      </c>
      <c r="X41">
        <f>IFERROR(INDEX('01 assessment'!$F$4:$F$1000,MATCH(ROWS($X$4:X41),$AJ$4:$AJ$1000,0)),"")</f>
        <v>40</v>
      </c>
      <c r="Y41" t="str">
        <f>IFERROR(INDEX('01 assessment'!$C$4:$C$1000,MATCH(ROWS($Y$4:Y41),$AJ$4:$AJ$1000,0)),"")</f>
        <v>CLOSED</v>
      </c>
      <c r="Z41">
        <f>IFERROR(INDEX('01 assessment'!$G$4:$G$1000,MATCH(ROWS($Z$4:Z41),$AJ$4:$AJ$1000,0)),"")</f>
        <v>9</v>
      </c>
      <c r="AA41" t="str">
        <f>IFERROR(INDEX('01 assessment'!$H$4:$H$1000,MATCH(ROWS($AA$4:AA41),$AJ$4:$AJ$1000,0)),"")</f>
        <v>HIGH</v>
      </c>
      <c r="AB41">
        <f>IFERROR(INDEX('01 assessment'!$B$4:$B$1000,MATCH(ROWS($AB$4:AB41),$AJ$4:$AJ$1000,0)),"")</f>
        <v>46068</v>
      </c>
      <c r="AC41" t="str">
        <f>IFERROR(INDEX('01 assessment'!$I$4:$I$1000,MATCH(ROWS($AC$4:AC41),$AJ$4:$AJ$1000,0)),"")</f>
        <v>RAH01-2026-038</v>
      </c>
      <c r="AD41" t="str">
        <f>IFERROR(INDEX('01 assessment'!$M$4:$M$1000,MATCH(ROWS($AD$4:AD41),$AJ$4:$AJ$1000,0)),"")</f>
        <v>ASM-2026-038</v>
      </c>
      <c r="AG41">
        <f>IF('01 assessment'!$M41="","",1+COUNTIFS('01 assessment'!$L$4:$L$1000,'01 assessment'!$L41,'01 assessment'!$J$4:$J$1000,"&gt;"&amp;'01 assessment'!$J41)+COUNTIFS('01 assessment'!$L$4:$L$1000,'01 assessment'!$L41,'01 assessment'!$J$4:$J$1000,'01 assessment'!$J41,'01 assessment'!$M$4:$M$1000,"&lt;"&amp;'01 assessment'!$M41))</f>
        <v>1</v>
      </c>
      <c r="AH41">
        <f>IF(OR($AG41&lt;&gt;1,'01 assessment'!$M41=""),"",SUMIFS('04 Hazards'!$K$4:$K$1000,'04 Hazards'!$S$4:$S$1000,'01 assessment'!$M41,'04 Hazards'!$R$4:$R$1000,TRUE,'04 Hazards'!$U$4:$U$1000,TRUE))</f>
        <v>57</v>
      </c>
      <c r="AI41">
        <f>IF(OR($AG41&lt;&gt;1,$AH41&lt;=0),"",1+COUNTIFS($AG$4:$AG$1000,1,$AH$4:$AH$1000,"&gt;"&amp;$AH41)+COUNTIFS($AG$4:$AG$1000,1,$AH$4:$AH$1000,$AH41,'01 assessment'!$A$4:$A$1000,"&lt;"&amp;'01 assessment'!$A41))</f>
        <v>9</v>
      </c>
      <c r="AJ41">
        <f>IF('01 assessment'!$M41="","",1+COUNTIFS('01 assessment'!$A$4:$A$1000,"&lt;"&amp;'01 assessment'!$A41,'01 assessment'!$M$4:$M$1000,"&lt;&gt;")+COUNTIFS('01 assessment'!$A$4:$A$1000,'01 assessment'!$A41,'01 assessment'!$B$4:$B$1000,"&gt;"&amp;'01 assessment'!$B41,'01 assessment'!$M$4:$M$1000,"&lt;&gt;")+COUNTIFS('01 assessment'!$A$4:$A$1000,'01 assessment'!$A41,'01 assessment'!$B$4:$B$1000,'01 assessment'!$B41,'01 assessment'!$M$4:$M$1000,"&lt;"&amp;'01 assessment'!$M41))</f>
        <v>38</v>
      </c>
    </row>
    <row r="42" spans="1:36">
      <c r="A42" s="23">
        <v>19</v>
      </c>
      <c r="B42" s="25" t="str">
        <f t="shared" si="0"/>
        <v>Haemodialysis</v>
      </c>
      <c r="C42" s="23">
        <f t="shared" si="1"/>
        <v>23</v>
      </c>
      <c r="D42" s="23" t="str">
        <f t="shared" si="2"/>
        <v>CLOSED</v>
      </c>
      <c r="E42" s="23">
        <f t="shared" si="3"/>
        <v>4</v>
      </c>
      <c r="F42" s="23" t="str">
        <f t="shared" si="4"/>
        <v>MEDIUM</v>
      </c>
      <c r="G42" s="27">
        <f t="shared" si="5"/>
        <v>46030</v>
      </c>
      <c r="H42" s="23" t="str">
        <f t="shared" si="6"/>
        <v>RAH01-2026-019</v>
      </c>
      <c r="I42" s="23" t="str">
        <f t="shared" si="7"/>
        <v>Document improvement plan</v>
      </c>
      <c r="T42" t="str">
        <f t="shared" si="8"/>
        <v>ASM-2026-019</v>
      </c>
      <c r="W42" t="str">
        <f>IFERROR(INDEX('01 assessment'!$A$4:$A$1000,MATCH(ROWS($W$4:W42),$AJ$4:$AJ$1000,0)),"")</f>
        <v>Paediatrics</v>
      </c>
      <c r="X42">
        <f>IFERROR(INDEX('01 assessment'!$F$4:$F$1000,MATCH(ROWS($X$4:X42),$AJ$4:$AJ$1000,0)),"")</f>
        <v>47</v>
      </c>
      <c r="Y42" t="str">
        <f>IFERROR(INDEX('01 assessment'!$C$4:$C$1000,MATCH(ROWS($Y$4:Y42),$AJ$4:$AJ$1000,0)),"")</f>
        <v>CLOSED</v>
      </c>
      <c r="Z42">
        <f>IFERROR(INDEX('01 assessment'!$G$4:$G$1000,MATCH(ROWS($Z$4:Z42),$AJ$4:$AJ$1000,0)),"")</f>
        <v>9</v>
      </c>
      <c r="AA42" t="str">
        <f>IFERROR(INDEX('01 assessment'!$H$4:$H$1000,MATCH(ROWS($AA$4:AA42),$AJ$4:$AJ$1000,0)),"")</f>
        <v>HIGH</v>
      </c>
      <c r="AB42">
        <f>IFERROR(INDEX('01 assessment'!$B$4:$B$1000,MATCH(ROWS($AB$4:AB42),$AJ$4:$AJ$1000,0)),"")</f>
        <v>46099</v>
      </c>
      <c r="AC42" t="str">
        <f>IFERROR(INDEX('01 assessment'!$I$4:$I$1000,MATCH(ROWS($AC$4:AC42),$AJ$4:$AJ$1000,0)),"")</f>
        <v>RAH01-2026-039</v>
      </c>
      <c r="AD42" t="str">
        <f>IFERROR(INDEX('01 assessment'!$M$4:$M$1000,MATCH(ROWS($AD$4:AD42),$AJ$4:$AJ$1000,0)),"")</f>
        <v>ASM-2026-039</v>
      </c>
      <c r="AG42">
        <f>IF('01 assessment'!$M42="","",1+COUNTIFS('01 assessment'!$L$4:$L$1000,'01 assessment'!$L42,'01 assessment'!$J$4:$J$1000,"&gt;"&amp;'01 assessment'!$J42)+COUNTIFS('01 assessment'!$L$4:$L$1000,'01 assessment'!$L42,'01 assessment'!$J$4:$J$1000,'01 assessment'!$J42,'01 assessment'!$M$4:$M$1000,"&lt;"&amp;'01 assessment'!$M42))</f>
        <v>1</v>
      </c>
      <c r="AH42">
        <f>IF(OR($AG42&lt;&gt;1,'01 assessment'!$M42=""),"",SUMIFS('04 Hazards'!$K$4:$K$1000,'04 Hazards'!$S$4:$S$1000,'01 assessment'!$M42,'04 Hazards'!$R$4:$R$1000,TRUE,'04 Hazards'!$U$4:$U$1000,TRUE))</f>
        <v>57</v>
      </c>
      <c r="AI42">
        <f>IF(OR($AG42&lt;&gt;1,$AH42&lt;=0),"",1+COUNTIFS($AG$4:$AG$1000,1,$AH$4:$AH$1000,"&gt;"&amp;$AH42)+COUNTIFS($AG$4:$AG$1000,1,$AH$4:$AH$1000,$AH42,'01 assessment'!$A$4:$A$1000,"&lt;"&amp;'01 assessment'!$A42))</f>
        <v>10</v>
      </c>
      <c r="AJ42">
        <f>IF('01 assessment'!$M42="","",1+COUNTIFS('01 assessment'!$A$4:$A$1000,"&lt;"&amp;'01 assessment'!$A42,'01 assessment'!$M$4:$M$1000,"&lt;&gt;")+COUNTIFS('01 assessment'!$A$4:$A$1000,'01 assessment'!$A42,'01 assessment'!$B$4:$B$1000,"&gt;"&amp;'01 assessment'!$B42,'01 assessment'!$M$4:$M$1000,"&lt;&gt;")+COUNTIFS('01 assessment'!$A$4:$A$1000,'01 assessment'!$A42,'01 assessment'!$B$4:$B$1000,'01 assessment'!$B42,'01 assessment'!$M$4:$M$1000,"&lt;"&amp;'01 assessment'!$M42))</f>
        <v>39</v>
      </c>
    </row>
    <row r="43" spans="1:36">
      <c r="A43" s="23">
        <v>20</v>
      </c>
      <c r="B43" s="25" t="str">
        <f t="shared" si="0"/>
        <v>Health Promotion</v>
      </c>
      <c r="C43" s="23">
        <f t="shared" si="1"/>
        <v>30</v>
      </c>
      <c r="D43" s="23" t="str">
        <f t="shared" si="2"/>
        <v>RETURNED</v>
      </c>
      <c r="E43" s="23">
        <f t="shared" si="3"/>
        <v>9</v>
      </c>
      <c r="F43" s="23" t="str">
        <f t="shared" si="4"/>
        <v>HIGH</v>
      </c>
      <c r="G43" s="27">
        <f t="shared" si="5"/>
        <v>46064</v>
      </c>
      <c r="H43" s="23" t="str">
        <f t="shared" si="6"/>
        <v>RAH01-2026-020</v>
      </c>
      <c r="I43" s="23" t="str">
        <f t="shared" si="7"/>
        <v>Immediate corrective action</v>
      </c>
      <c r="T43" t="str">
        <f t="shared" si="8"/>
        <v>ASM-2026-020</v>
      </c>
      <c r="W43" t="str">
        <f>IFERROR(INDEX('01 assessment'!$A$4:$A$1000,MATCH(ROWS($W$4:W43),$AJ$4:$AJ$1000,0)),"")</f>
        <v>Pathology</v>
      </c>
      <c r="X43">
        <f>IFERROR(INDEX('01 assessment'!$F$4:$F$1000,MATCH(ROWS($X$4:X43),$AJ$4:$AJ$1000,0)),"")</f>
        <v>54</v>
      </c>
      <c r="Y43" t="str">
        <f>IFERROR(INDEX('01 assessment'!$C$4:$C$1000,MATCH(ROWS($Y$4:Y43),$AJ$4:$AJ$1000,0)),"")</f>
        <v>RETURNED</v>
      </c>
      <c r="Z43">
        <f>IFERROR(INDEX('01 assessment'!$G$4:$G$1000,MATCH(ROWS($Z$4:Z43),$AJ$4:$AJ$1000,0)),"")</f>
        <v>9</v>
      </c>
      <c r="AA43" t="str">
        <f>IFERROR(INDEX('01 assessment'!$H$4:$H$1000,MATCH(ROWS($AA$4:AA43),$AJ$4:$AJ$1000,0)),"")</f>
        <v>HIGH</v>
      </c>
      <c r="AB43">
        <f>IFERROR(INDEX('01 assessment'!$B$4:$B$1000,MATCH(ROWS($AB$4:AB43),$AJ$4:$AJ$1000,0)),"")</f>
        <v>46133</v>
      </c>
      <c r="AC43" t="str">
        <f>IFERROR(INDEX('01 assessment'!$I$4:$I$1000,MATCH(ROWS($AC$4:AC43),$AJ$4:$AJ$1000,0)),"")</f>
        <v>RAH01-2026-040</v>
      </c>
      <c r="AD43" t="str">
        <f>IFERROR(INDEX('01 assessment'!$M$4:$M$1000,MATCH(ROWS($AD$4:AD43),$AJ$4:$AJ$1000,0)),"")</f>
        <v>ASM-2026-040</v>
      </c>
      <c r="AG43">
        <f>IF('01 assessment'!$M43="","",1+COUNTIFS('01 assessment'!$L$4:$L$1000,'01 assessment'!$L43,'01 assessment'!$J$4:$J$1000,"&gt;"&amp;'01 assessment'!$J43)+COUNTIFS('01 assessment'!$L$4:$L$1000,'01 assessment'!$L43,'01 assessment'!$J$4:$J$1000,'01 assessment'!$J43,'01 assessment'!$M$4:$M$1000,"&lt;"&amp;'01 assessment'!$M43))</f>
        <v>1</v>
      </c>
      <c r="AH43">
        <f>IF(OR($AG43&lt;&gt;1,'01 assessment'!$M43=""),"",SUMIFS('04 Hazards'!$K$4:$K$1000,'04 Hazards'!$S$4:$S$1000,'01 assessment'!$M43,'04 Hazards'!$R$4:$R$1000,TRUE,'04 Hazards'!$U$4:$U$1000,TRUE))</f>
        <v>54</v>
      </c>
      <c r="AI43">
        <f>IF(OR($AG43&lt;&gt;1,$AH43&lt;=0),"",1+COUNTIFS($AG$4:$AG$1000,1,$AH$4:$AH$1000,"&gt;"&amp;$AH43)+COUNTIFS($AG$4:$AG$1000,1,$AH$4:$AH$1000,$AH43,'01 assessment'!$A$4:$A$1000,"&lt;"&amp;'01 assessment'!$A43))</f>
        <v>19</v>
      </c>
      <c r="AJ43">
        <f>IF('01 assessment'!$M43="","",1+COUNTIFS('01 assessment'!$A$4:$A$1000,"&lt;"&amp;'01 assessment'!$A43,'01 assessment'!$M$4:$M$1000,"&lt;&gt;")+COUNTIFS('01 assessment'!$A$4:$A$1000,'01 assessment'!$A43,'01 assessment'!$B$4:$B$1000,"&gt;"&amp;'01 assessment'!$B43,'01 assessment'!$M$4:$M$1000,"&lt;&gt;")+COUNTIFS('01 assessment'!$A$4:$A$1000,'01 assessment'!$A43,'01 assessment'!$B$4:$B$1000,'01 assessment'!$B43,'01 assessment'!$M$4:$M$1000,"&lt;"&amp;'01 assessment'!$M43))</f>
        <v>40</v>
      </c>
    </row>
    <row r="44" spans="1:36">
      <c r="A44" s="23">
        <v>21</v>
      </c>
      <c r="B44" s="25" t="str">
        <f t="shared" si="0"/>
        <v>Hematology</v>
      </c>
      <c r="C44" s="23">
        <f t="shared" si="1"/>
        <v>37</v>
      </c>
      <c r="D44" s="23" t="str">
        <f t="shared" si="2"/>
        <v>SUBMITTED</v>
      </c>
      <c r="E44" s="23">
        <f t="shared" si="3"/>
        <v>4</v>
      </c>
      <c r="F44" s="23" t="str">
        <f t="shared" si="4"/>
        <v>MEDIUM</v>
      </c>
      <c r="G44" s="27">
        <f t="shared" si="5"/>
        <v>46095</v>
      </c>
      <c r="H44" s="23" t="str">
        <f t="shared" si="6"/>
        <v>RAH01-2026-021</v>
      </c>
      <c r="I44" s="23" t="str">
        <f t="shared" si="7"/>
        <v>Document improvement plan</v>
      </c>
      <c r="T44" t="str">
        <f t="shared" si="8"/>
        <v>ASM-2026-021</v>
      </c>
      <c r="W44" t="str">
        <f>IFERROR(INDEX('01 assessment'!$A$4:$A$1000,MATCH(ROWS($W$4:W44),$AJ$4:$AJ$1000,0)),"")</f>
        <v>Pharmacy</v>
      </c>
      <c r="X44">
        <f>IFERROR(INDEX('01 assessment'!$F$4:$F$1000,MATCH(ROWS($X$4:X44),$AJ$4:$AJ$1000,0)),"")</f>
        <v>61</v>
      </c>
      <c r="Y44" t="str">
        <f>IFERROR(INDEX('01 assessment'!$C$4:$C$1000,MATCH(ROWS($Y$4:Y44),$AJ$4:$AJ$1000,0)),"")</f>
        <v>SUBMITTED</v>
      </c>
      <c r="Z44">
        <f>IFERROR(INDEX('01 assessment'!$G$4:$G$1000,MATCH(ROWS($Z$4:Z44),$AJ$4:$AJ$1000,0)),"")</f>
        <v>9</v>
      </c>
      <c r="AA44" t="str">
        <f>IFERROR(INDEX('01 assessment'!$H$4:$H$1000,MATCH(ROWS($AA$4:AA44),$AJ$4:$AJ$1000,0)),"")</f>
        <v>HIGH</v>
      </c>
      <c r="AB44">
        <f>IFERROR(INDEX('01 assessment'!$B$4:$B$1000,MATCH(ROWS($AB$4:AB44),$AJ$4:$AJ$1000,0)),"")</f>
        <v>46166</v>
      </c>
      <c r="AC44" t="str">
        <f>IFERROR(INDEX('01 assessment'!$I$4:$I$1000,MATCH(ROWS($AC$4:AC44),$AJ$4:$AJ$1000,0)),"")</f>
        <v>RAH01-2026-041</v>
      </c>
      <c r="AD44" t="str">
        <f>IFERROR(INDEX('01 assessment'!$M$4:$M$1000,MATCH(ROWS($AD$4:AD44),$AJ$4:$AJ$1000,0)),"")</f>
        <v>ASM-2026-041</v>
      </c>
      <c r="AG44">
        <f>IF('01 assessment'!$M44="","",1+COUNTIFS('01 assessment'!$L$4:$L$1000,'01 assessment'!$L44,'01 assessment'!$J$4:$J$1000,"&gt;"&amp;'01 assessment'!$J44)+COUNTIFS('01 assessment'!$L$4:$L$1000,'01 assessment'!$L44,'01 assessment'!$J$4:$J$1000,'01 assessment'!$J44,'01 assessment'!$M$4:$M$1000,"&lt;"&amp;'01 assessment'!$M44))</f>
        <v>1</v>
      </c>
      <c r="AH44">
        <f>IF(OR($AG44&lt;&gt;1,'01 assessment'!$M44=""),"",SUMIFS('04 Hazards'!$K$4:$K$1000,'04 Hazards'!$S$4:$S$1000,'01 assessment'!$M44,'04 Hazards'!$R$4:$R$1000,TRUE,'04 Hazards'!$U$4:$U$1000,TRUE))</f>
        <v>51</v>
      </c>
      <c r="AI44">
        <f>IF(OR($AG44&lt;&gt;1,$AH44&lt;=0),"",1+COUNTIFS($AG$4:$AG$1000,1,$AH$4:$AH$1000,"&gt;"&amp;$AH44)+COUNTIFS($AG$4:$AG$1000,1,$AH$4:$AH$1000,$AH44,'01 assessment'!$A$4:$A$1000,"&lt;"&amp;'01 assessment'!$A44))</f>
        <v>24</v>
      </c>
      <c r="AJ44">
        <f>IF('01 assessment'!$M44="","",1+COUNTIFS('01 assessment'!$A$4:$A$1000,"&lt;"&amp;'01 assessment'!$A44,'01 assessment'!$M$4:$M$1000,"&lt;&gt;")+COUNTIFS('01 assessment'!$A$4:$A$1000,'01 assessment'!$A44,'01 assessment'!$B$4:$B$1000,"&gt;"&amp;'01 assessment'!$B44,'01 assessment'!$M$4:$M$1000,"&lt;&gt;")+COUNTIFS('01 assessment'!$A$4:$A$1000,'01 assessment'!$A44,'01 assessment'!$B$4:$B$1000,'01 assessment'!$B44,'01 assessment'!$M$4:$M$1000,"&lt;"&amp;'01 assessment'!$M44))</f>
        <v>41</v>
      </c>
    </row>
    <row r="45" spans="1:36">
      <c r="A45" s="23">
        <v>22</v>
      </c>
      <c r="B45" s="25" t="str">
        <f t="shared" si="0"/>
        <v>ICU 1</v>
      </c>
      <c r="C45" s="23">
        <f t="shared" si="1"/>
        <v>44</v>
      </c>
      <c r="D45" s="23" t="str">
        <f t="shared" si="2"/>
        <v>IN_REVIEW</v>
      </c>
      <c r="E45" s="23">
        <f t="shared" si="3"/>
        <v>9</v>
      </c>
      <c r="F45" s="23" t="str">
        <f t="shared" si="4"/>
        <v>HIGH</v>
      </c>
      <c r="G45" s="27">
        <f t="shared" si="5"/>
        <v>46129</v>
      </c>
      <c r="H45" s="23" t="str">
        <f t="shared" si="6"/>
        <v>RAH01-2026-022</v>
      </c>
      <c r="I45" s="23" t="str">
        <f t="shared" si="7"/>
        <v>Immediate corrective action</v>
      </c>
      <c r="T45" t="str">
        <f t="shared" si="8"/>
        <v>ASM-2026-022</v>
      </c>
      <c r="W45" t="str">
        <f>IFERROR(INDEX('01 assessment'!$A$4:$A$1000,MATCH(ROWS($W$4:W45),$AJ$4:$AJ$1000,0)),"")</f>
        <v>Physical Therapy</v>
      </c>
      <c r="X45">
        <f>IFERROR(INDEX('01 assessment'!$F$4:$F$1000,MATCH(ROWS($X$4:X45),$AJ$4:$AJ$1000,0)),"")</f>
        <v>10</v>
      </c>
      <c r="Y45" t="str">
        <f>IFERROR(INDEX('01 assessment'!$C$4:$C$1000,MATCH(ROWS($Y$4:Y45),$AJ$4:$AJ$1000,0)),"")</f>
        <v>IN_REVIEW</v>
      </c>
      <c r="Z45">
        <f>IFERROR(INDEX('01 assessment'!$G$4:$G$1000,MATCH(ROWS($Z$4:Z45),$AJ$4:$AJ$1000,0)),"")</f>
        <v>4</v>
      </c>
      <c r="AA45" t="str">
        <f>IFERROR(INDEX('01 assessment'!$H$4:$H$1000,MATCH(ROWS($AA$4:AA45),$AJ$4:$AJ$1000,0)),"")</f>
        <v>MEDIUM</v>
      </c>
      <c r="AB45">
        <f>IFERROR(INDEX('01 assessment'!$B$4:$B$1000,MATCH(ROWS($AB$4:AB45),$AJ$4:$AJ$1000,0)),"")</f>
        <v>46175</v>
      </c>
      <c r="AC45" t="str">
        <f>IFERROR(INDEX('01 assessment'!$I$4:$I$1000,MATCH(ROWS($AC$4:AC45),$AJ$4:$AJ$1000,0)),"")</f>
        <v>RAH01-2026-042</v>
      </c>
      <c r="AD45" t="str">
        <f>IFERROR(INDEX('01 assessment'!$M$4:$M$1000,MATCH(ROWS($AD$4:AD45),$AJ$4:$AJ$1000,0)),"")</f>
        <v>ASM-2026-042</v>
      </c>
      <c r="AG45">
        <f>IF('01 assessment'!$M45="","",1+COUNTIFS('01 assessment'!$L$4:$L$1000,'01 assessment'!$L45,'01 assessment'!$J$4:$J$1000,"&gt;"&amp;'01 assessment'!$J45)+COUNTIFS('01 assessment'!$L$4:$L$1000,'01 assessment'!$L45,'01 assessment'!$J$4:$J$1000,'01 assessment'!$J45,'01 assessment'!$M$4:$M$1000,"&lt;"&amp;'01 assessment'!$M45))</f>
        <v>1</v>
      </c>
      <c r="AH45">
        <f>IF(OR($AG45&lt;&gt;1,'01 assessment'!$M45=""),"",SUMIFS('04 Hazards'!$K$4:$K$1000,'04 Hazards'!$S$4:$S$1000,'01 assessment'!$M45,'04 Hazards'!$R$4:$R$1000,TRUE,'04 Hazards'!$U$4:$U$1000,TRUE))</f>
        <v>30</v>
      </c>
      <c r="AI45">
        <f>IF(OR($AG45&lt;&gt;1,$AH45&lt;=0),"",1+COUNTIFS($AG$4:$AG$1000,1,$AH$4:$AH$1000,"&gt;"&amp;$AH45)+COUNTIFS($AG$4:$AG$1000,1,$AH$4:$AH$1000,$AH45,'01 assessment'!$A$4:$A$1000,"&lt;"&amp;'01 assessment'!$A45))</f>
        <v>36</v>
      </c>
      <c r="AJ45">
        <f>IF('01 assessment'!$M45="","",1+COUNTIFS('01 assessment'!$A$4:$A$1000,"&lt;"&amp;'01 assessment'!$A45,'01 assessment'!$M$4:$M$1000,"&lt;&gt;")+COUNTIFS('01 assessment'!$A$4:$A$1000,'01 assessment'!$A45,'01 assessment'!$B$4:$B$1000,"&gt;"&amp;'01 assessment'!$B45,'01 assessment'!$M$4:$M$1000,"&lt;&gt;")+COUNTIFS('01 assessment'!$A$4:$A$1000,'01 assessment'!$A45,'01 assessment'!$B$4:$B$1000,'01 assessment'!$B45,'01 assessment'!$M$4:$M$1000,"&lt;"&amp;'01 assessment'!$M45))</f>
        <v>42</v>
      </c>
    </row>
    <row r="46" spans="1:36">
      <c r="A46" s="23">
        <v>23</v>
      </c>
      <c r="B46" s="25" t="str">
        <f t="shared" si="0"/>
        <v>ICU 2</v>
      </c>
      <c r="C46" s="23">
        <f t="shared" si="1"/>
        <v>51</v>
      </c>
      <c r="D46" s="23" t="str">
        <f t="shared" si="2"/>
        <v>CLOSED</v>
      </c>
      <c r="E46" s="23">
        <f t="shared" si="3"/>
        <v>2</v>
      </c>
      <c r="F46" s="23" t="str">
        <f t="shared" si="4"/>
        <v>LOW</v>
      </c>
      <c r="G46" s="27">
        <f t="shared" si="5"/>
        <v>46162</v>
      </c>
      <c r="H46" s="23" t="str">
        <f t="shared" si="6"/>
        <v>RAH01-2026-023</v>
      </c>
      <c r="I46" s="23" t="str">
        <f t="shared" si="7"/>
        <v>Maintain controls</v>
      </c>
      <c r="T46" t="str">
        <f t="shared" si="8"/>
        <v>ASM-2026-023</v>
      </c>
      <c r="W46" t="str">
        <f>IFERROR(INDEX('01 assessment'!$A$4:$A$1000,MATCH(ROWS($W$4:W46),$AJ$4:$AJ$1000,0)),"")</f>
        <v>Plastic Surgery</v>
      </c>
      <c r="X46">
        <f>IFERROR(INDEX('01 assessment'!$F$4:$F$1000,MATCH(ROWS($X$4:X46),$AJ$4:$AJ$1000,0)),"")</f>
        <v>17</v>
      </c>
      <c r="Y46" t="str">
        <f>IFERROR(INDEX('01 assessment'!$C$4:$C$1000,MATCH(ROWS($Y$4:Y46),$AJ$4:$AJ$1000,0)),"")</f>
        <v>CLOSED</v>
      </c>
      <c r="Z46">
        <f>IFERROR(INDEX('01 assessment'!$G$4:$G$1000,MATCH(ROWS($Z$4:Z46),$AJ$4:$AJ$1000,0)),"")</f>
        <v>9</v>
      </c>
      <c r="AA46" t="str">
        <f>IFERROR(INDEX('01 assessment'!$H$4:$H$1000,MATCH(ROWS($AA$4:AA46),$AJ$4:$AJ$1000,0)),"")</f>
        <v>HIGH</v>
      </c>
      <c r="AB46">
        <f>IFERROR(INDEX('01 assessment'!$B$4:$B$1000,MATCH(ROWS($AB$4:AB46),$AJ$4:$AJ$1000,0)),"")</f>
        <v>46027</v>
      </c>
      <c r="AC46" t="str">
        <f>IFERROR(INDEX('01 assessment'!$I$4:$I$1000,MATCH(ROWS($AC$4:AC46),$AJ$4:$AJ$1000,0)),"")</f>
        <v>RAH01-2026-043</v>
      </c>
      <c r="AD46" t="str">
        <f>IFERROR(INDEX('01 assessment'!$M$4:$M$1000,MATCH(ROWS($AD$4:AD46),$AJ$4:$AJ$1000,0)),"")</f>
        <v>ASM-2026-043</v>
      </c>
      <c r="AG46">
        <f>IF('01 assessment'!$M46="","",1+COUNTIFS('01 assessment'!$L$4:$L$1000,'01 assessment'!$L46,'01 assessment'!$J$4:$J$1000,"&gt;"&amp;'01 assessment'!$J46)+COUNTIFS('01 assessment'!$L$4:$L$1000,'01 assessment'!$L46,'01 assessment'!$J$4:$J$1000,'01 assessment'!$J46,'01 assessment'!$M$4:$M$1000,"&lt;"&amp;'01 assessment'!$M46))</f>
        <v>1</v>
      </c>
      <c r="AH46">
        <f>IF(OR($AG46&lt;&gt;1,'01 assessment'!$M46=""),"",SUMIFS('04 Hazards'!$K$4:$K$1000,'04 Hazards'!$S$4:$S$1000,'01 assessment'!$M46,'04 Hazards'!$R$4:$R$1000,TRUE,'04 Hazards'!$U$4:$U$1000,TRUE))</f>
        <v>54</v>
      </c>
      <c r="AI46">
        <f>IF(OR($AG46&lt;&gt;1,$AH46&lt;=0),"",1+COUNTIFS($AG$4:$AG$1000,1,$AH$4:$AH$1000,"&gt;"&amp;$AH46)+COUNTIFS($AG$4:$AG$1000,1,$AH$4:$AH$1000,$AH46,'01 assessment'!$A$4:$A$1000,"&lt;"&amp;'01 assessment'!$A46))</f>
        <v>20</v>
      </c>
      <c r="AJ46">
        <f>IF('01 assessment'!$M46="","",1+COUNTIFS('01 assessment'!$A$4:$A$1000,"&lt;"&amp;'01 assessment'!$A46,'01 assessment'!$M$4:$M$1000,"&lt;&gt;")+COUNTIFS('01 assessment'!$A$4:$A$1000,'01 assessment'!$A46,'01 assessment'!$B$4:$B$1000,"&gt;"&amp;'01 assessment'!$B46,'01 assessment'!$M$4:$M$1000,"&lt;&gt;")+COUNTIFS('01 assessment'!$A$4:$A$1000,'01 assessment'!$A46,'01 assessment'!$B$4:$B$1000,'01 assessment'!$B46,'01 assessment'!$M$4:$M$1000,"&lt;"&amp;'01 assessment'!$M46))</f>
        <v>43</v>
      </c>
    </row>
    <row r="47" spans="1:36">
      <c r="A47" s="23">
        <v>24</v>
      </c>
      <c r="B47" s="25" t="str">
        <f t="shared" si="0"/>
        <v>Infectious Diseases</v>
      </c>
      <c r="C47" s="23">
        <f t="shared" si="1"/>
        <v>58</v>
      </c>
      <c r="D47" s="23" t="str">
        <f t="shared" si="2"/>
        <v>CLOSED</v>
      </c>
      <c r="E47" s="23">
        <f t="shared" si="3"/>
        <v>9</v>
      </c>
      <c r="F47" s="23" t="str">
        <f t="shared" si="4"/>
        <v>HIGH</v>
      </c>
      <c r="G47" s="27">
        <f t="shared" si="5"/>
        <v>46196</v>
      </c>
      <c r="H47" s="23" t="str">
        <f t="shared" si="6"/>
        <v>RAH01-2026-024</v>
      </c>
      <c r="I47" s="23" t="str">
        <f t="shared" si="7"/>
        <v>Immediate corrective action</v>
      </c>
      <c r="T47" t="str">
        <f t="shared" si="8"/>
        <v>ASM-2026-024</v>
      </c>
      <c r="W47" t="str">
        <f>IFERROR(INDEX('01 assessment'!$A$4:$A$1000,MATCH(ROWS($W$4:W47),$AJ$4:$AJ$1000,0)),"")</f>
        <v>Psychiatry</v>
      </c>
      <c r="X47">
        <f>IFERROR(INDEX('01 assessment'!$F$4:$F$1000,MATCH(ROWS($X$4:X47),$AJ$4:$AJ$1000,0)),"")</f>
        <v>24</v>
      </c>
      <c r="Y47" t="str">
        <f>IFERROR(INDEX('01 assessment'!$C$4:$C$1000,MATCH(ROWS($Y$4:Y47),$AJ$4:$AJ$1000,0)),"")</f>
        <v>CLOSED</v>
      </c>
      <c r="Z47">
        <f>IFERROR(INDEX('01 assessment'!$G$4:$G$1000,MATCH(ROWS($Z$4:Z47),$AJ$4:$AJ$1000,0)),"")</f>
        <v>2</v>
      </c>
      <c r="AA47" t="str">
        <f>IFERROR(INDEX('01 assessment'!$H$4:$H$1000,MATCH(ROWS($AA$4:AA47),$AJ$4:$AJ$1000,0)),"")</f>
        <v>LOW</v>
      </c>
      <c r="AB47">
        <f>IFERROR(INDEX('01 assessment'!$B$4:$B$1000,MATCH(ROWS($AB$4:AB47),$AJ$4:$AJ$1000,0)),"")</f>
        <v>46061</v>
      </c>
      <c r="AC47" t="str">
        <f>IFERROR(INDEX('01 assessment'!$I$4:$I$1000,MATCH(ROWS($AC$4:AC47),$AJ$4:$AJ$1000,0)),"")</f>
        <v>RAH01-2026-044</v>
      </c>
      <c r="AD47" t="str">
        <f>IFERROR(INDEX('01 assessment'!$M$4:$M$1000,MATCH(ROWS($AD$4:AD47),$AJ$4:$AJ$1000,0)),"")</f>
        <v>ASM-2026-044</v>
      </c>
      <c r="AG47">
        <f>IF('01 assessment'!$M47="","",1+COUNTIFS('01 assessment'!$L$4:$L$1000,'01 assessment'!$L47,'01 assessment'!$J$4:$J$1000,"&gt;"&amp;'01 assessment'!$J47)+COUNTIFS('01 assessment'!$L$4:$L$1000,'01 assessment'!$L47,'01 assessment'!$J$4:$J$1000,'01 assessment'!$J47,'01 assessment'!$M$4:$M$1000,"&lt;"&amp;'01 assessment'!$M47))</f>
        <v>1</v>
      </c>
      <c r="AH47">
        <f>IF(OR($AG47&lt;&gt;1,'01 assessment'!$M47=""),"",SUMIFS('04 Hazards'!$K$4:$K$1000,'04 Hazards'!$S$4:$S$1000,'01 assessment'!$M47,'04 Hazards'!$R$4:$R$1000,TRUE,'04 Hazards'!$U$4:$U$1000,TRUE))</f>
        <v>9</v>
      </c>
      <c r="AI47">
        <f>IF(OR($AG47&lt;&gt;1,$AH47&lt;=0),"",1+COUNTIFS($AG$4:$AG$1000,1,$AH$4:$AH$1000,"&gt;"&amp;$AH47)+COUNTIFS($AG$4:$AG$1000,1,$AH$4:$AH$1000,$AH47,'01 assessment'!$A$4:$A$1000,"&lt;"&amp;'01 assessment'!$A47))</f>
        <v>69</v>
      </c>
      <c r="AJ47">
        <f>IF('01 assessment'!$M47="","",1+COUNTIFS('01 assessment'!$A$4:$A$1000,"&lt;"&amp;'01 assessment'!$A47,'01 assessment'!$M$4:$M$1000,"&lt;&gt;")+COUNTIFS('01 assessment'!$A$4:$A$1000,'01 assessment'!$A47,'01 assessment'!$B$4:$B$1000,"&gt;"&amp;'01 assessment'!$B47,'01 assessment'!$M$4:$M$1000,"&lt;&gt;")+COUNTIFS('01 assessment'!$A$4:$A$1000,'01 assessment'!$A47,'01 assessment'!$B$4:$B$1000,'01 assessment'!$B47,'01 assessment'!$M$4:$M$1000,"&lt;"&amp;'01 assessment'!$M47))</f>
        <v>44</v>
      </c>
    </row>
    <row r="48" spans="1:36">
      <c r="A48" s="23">
        <v>25</v>
      </c>
      <c r="B48" s="25" t="str">
        <f t="shared" si="0"/>
        <v>Internal Medicine</v>
      </c>
      <c r="C48" s="23">
        <f t="shared" si="1"/>
        <v>7</v>
      </c>
      <c r="D48" s="23" t="str">
        <f t="shared" si="2"/>
        <v>RETURNED</v>
      </c>
      <c r="E48" s="23">
        <f t="shared" si="3"/>
        <v>4</v>
      </c>
      <c r="F48" s="23" t="str">
        <f t="shared" si="4"/>
        <v>MEDIUM</v>
      </c>
      <c r="G48" s="27">
        <f t="shared" si="5"/>
        <v>46023</v>
      </c>
      <c r="H48" s="23" t="str">
        <f t="shared" si="6"/>
        <v>RAH01-2026-025</v>
      </c>
      <c r="I48" s="23" t="str">
        <f t="shared" si="7"/>
        <v>Document improvement plan</v>
      </c>
      <c r="T48" t="str">
        <f t="shared" si="8"/>
        <v>ASM-2026-025</v>
      </c>
      <c r="W48" t="str">
        <f>IFERROR(INDEX('01 assessment'!$A$4:$A$1000,MATCH(ROWS($W$4:W48),$AJ$4:$AJ$1000,0)),"")</f>
        <v>Quality Improvement</v>
      </c>
      <c r="X48">
        <f>IFERROR(INDEX('01 assessment'!$F$4:$F$1000,MATCH(ROWS($X$4:X48),$AJ$4:$AJ$1000,0)),"")</f>
        <v>31</v>
      </c>
      <c r="Y48" t="str">
        <f>IFERROR(INDEX('01 assessment'!$C$4:$C$1000,MATCH(ROWS($Y$4:Y48),$AJ$4:$AJ$1000,0)),"")</f>
        <v>RETURNED</v>
      </c>
      <c r="Z48">
        <f>IFERROR(INDEX('01 assessment'!$G$4:$G$1000,MATCH(ROWS($Z$4:Z48),$AJ$4:$AJ$1000,0)),"")</f>
        <v>4</v>
      </c>
      <c r="AA48" t="str">
        <f>IFERROR(INDEX('01 assessment'!$H$4:$H$1000,MATCH(ROWS($AA$4:AA48),$AJ$4:$AJ$1000,0)),"")</f>
        <v>MEDIUM</v>
      </c>
      <c r="AB48">
        <f>IFERROR(INDEX('01 assessment'!$B$4:$B$1000,MATCH(ROWS($AB$4:AB48),$AJ$4:$AJ$1000,0)),"")</f>
        <v>46092</v>
      </c>
      <c r="AC48" t="str">
        <f>IFERROR(INDEX('01 assessment'!$I$4:$I$1000,MATCH(ROWS($AC$4:AC48),$AJ$4:$AJ$1000,0)),"")</f>
        <v>RAH01-2026-045</v>
      </c>
      <c r="AD48" t="str">
        <f>IFERROR(INDEX('01 assessment'!$M$4:$M$1000,MATCH(ROWS($AD$4:AD48),$AJ$4:$AJ$1000,0)),"")</f>
        <v>ASM-2026-045</v>
      </c>
      <c r="AG48">
        <f>IF('01 assessment'!$M48="","",1+COUNTIFS('01 assessment'!$L$4:$L$1000,'01 assessment'!$L48,'01 assessment'!$J$4:$J$1000,"&gt;"&amp;'01 assessment'!$J48)+COUNTIFS('01 assessment'!$L$4:$L$1000,'01 assessment'!$L48,'01 assessment'!$J$4:$J$1000,'01 assessment'!$J48,'01 assessment'!$M$4:$M$1000,"&lt;"&amp;'01 assessment'!$M48))</f>
        <v>1</v>
      </c>
      <c r="AH48">
        <f>IF(OR($AG48&lt;&gt;1,'01 assessment'!$M48=""),"",SUMIFS('04 Hazards'!$K$4:$K$1000,'04 Hazards'!$S$4:$S$1000,'01 assessment'!$M48,'04 Hazards'!$R$4:$R$1000,TRUE,'04 Hazards'!$U$4:$U$1000,TRUE))</f>
        <v>20</v>
      </c>
      <c r="AI48">
        <f>IF(OR($AG48&lt;&gt;1,$AH48&lt;=0),"",1+COUNTIFS($AG$4:$AG$1000,1,$AH$4:$AH$1000,"&gt;"&amp;$AH48)+COUNTIFS($AG$4:$AG$1000,1,$AH$4:$AH$1000,$AH48,'01 assessment'!$A$4:$A$1000,"&lt;"&amp;'01 assessment'!$A48))</f>
        <v>51</v>
      </c>
      <c r="AJ48">
        <f>IF('01 assessment'!$M48="","",1+COUNTIFS('01 assessment'!$A$4:$A$1000,"&lt;"&amp;'01 assessment'!$A48,'01 assessment'!$M$4:$M$1000,"&lt;&gt;")+COUNTIFS('01 assessment'!$A$4:$A$1000,'01 assessment'!$A48,'01 assessment'!$B$4:$B$1000,"&gt;"&amp;'01 assessment'!$B48,'01 assessment'!$M$4:$M$1000,"&lt;&gt;")+COUNTIFS('01 assessment'!$A$4:$A$1000,'01 assessment'!$A48,'01 assessment'!$B$4:$B$1000,'01 assessment'!$B48,'01 assessment'!$M$4:$M$1000,"&lt;"&amp;'01 assessment'!$M48))</f>
        <v>45</v>
      </c>
    </row>
    <row r="49" spans="1:36">
      <c r="A49" s="23">
        <v>26</v>
      </c>
      <c r="B49" s="25" t="str">
        <f t="shared" si="0"/>
        <v>Laboratory</v>
      </c>
      <c r="C49" s="23">
        <f t="shared" si="1"/>
        <v>14</v>
      </c>
      <c r="D49" s="23" t="str">
        <f t="shared" si="2"/>
        <v>SUBMITTED</v>
      </c>
      <c r="E49" s="23">
        <f t="shared" si="3"/>
        <v>9</v>
      </c>
      <c r="F49" s="23" t="str">
        <f t="shared" si="4"/>
        <v>HIGH</v>
      </c>
      <c r="G49" s="27">
        <f t="shared" si="5"/>
        <v>46057</v>
      </c>
      <c r="H49" s="23" t="str">
        <f t="shared" si="6"/>
        <v>RAH01-2026-026</v>
      </c>
      <c r="I49" s="23" t="str">
        <f t="shared" si="7"/>
        <v>Immediate corrective action</v>
      </c>
      <c r="T49" t="str">
        <f t="shared" si="8"/>
        <v>ASM-2026-026</v>
      </c>
      <c r="W49" t="str">
        <f>IFERROR(INDEX('01 assessment'!$A$4:$A$1000,MATCH(ROWS($W$4:W49),$AJ$4:$AJ$1000,0)),"")</f>
        <v>Radiotherapy</v>
      </c>
      <c r="X49">
        <f>IFERROR(INDEX('01 assessment'!$F$4:$F$1000,MATCH(ROWS($X$4:X49),$AJ$4:$AJ$1000,0)),"")</f>
        <v>38</v>
      </c>
      <c r="Y49" t="str">
        <f>IFERROR(INDEX('01 assessment'!$C$4:$C$1000,MATCH(ROWS($Y$4:Y49),$AJ$4:$AJ$1000,0)),"")</f>
        <v>SUBMITTED</v>
      </c>
      <c r="Z49">
        <f>IFERROR(INDEX('01 assessment'!$G$4:$G$1000,MATCH(ROWS($Z$4:Z49),$AJ$4:$AJ$1000,0)),"")</f>
        <v>2</v>
      </c>
      <c r="AA49" t="str">
        <f>IFERROR(INDEX('01 assessment'!$H$4:$H$1000,MATCH(ROWS($AA$4:AA49),$AJ$4:$AJ$1000,0)),"")</f>
        <v>LOW</v>
      </c>
      <c r="AB49">
        <f>IFERROR(INDEX('01 assessment'!$B$4:$B$1000,MATCH(ROWS($AB$4:AB49),$AJ$4:$AJ$1000,0)),"")</f>
        <v>46126</v>
      </c>
      <c r="AC49" t="str">
        <f>IFERROR(INDEX('01 assessment'!$I$4:$I$1000,MATCH(ROWS($AC$4:AC49),$AJ$4:$AJ$1000,0)),"")</f>
        <v>RAH01-2026-046</v>
      </c>
      <c r="AD49" t="str">
        <f>IFERROR(INDEX('01 assessment'!$M$4:$M$1000,MATCH(ROWS($AD$4:AD49),$AJ$4:$AJ$1000,0)),"")</f>
        <v>ASM-2026-046</v>
      </c>
      <c r="AG49">
        <f>IF('01 assessment'!$M49="","",1+COUNTIFS('01 assessment'!$L$4:$L$1000,'01 assessment'!$L49,'01 assessment'!$J$4:$J$1000,"&gt;"&amp;'01 assessment'!$J49)+COUNTIFS('01 assessment'!$L$4:$L$1000,'01 assessment'!$L49,'01 assessment'!$J$4:$J$1000,'01 assessment'!$J49,'01 assessment'!$M$4:$M$1000,"&lt;"&amp;'01 assessment'!$M49))</f>
        <v>1</v>
      </c>
      <c r="AH49">
        <f>IF(OR($AG49&lt;&gt;1,'01 assessment'!$M49=""),"",SUMIFS('04 Hazards'!$K$4:$K$1000,'04 Hazards'!$S$4:$S$1000,'01 assessment'!$M49,'04 Hazards'!$R$4:$R$1000,TRUE,'04 Hazards'!$U$4:$U$1000,TRUE))</f>
        <v>10</v>
      </c>
      <c r="AI49">
        <f>IF(OR($AG49&lt;&gt;1,$AH49&lt;=0),"",1+COUNTIFS($AG$4:$AG$1000,1,$AH$4:$AH$1000,"&gt;"&amp;$AH49)+COUNTIFS($AG$4:$AG$1000,1,$AH$4:$AH$1000,$AH49,'01 assessment'!$A$4:$A$1000,"&lt;"&amp;'01 assessment'!$A49))</f>
        <v>61</v>
      </c>
      <c r="AJ49">
        <f>IF('01 assessment'!$M49="","",1+COUNTIFS('01 assessment'!$A$4:$A$1000,"&lt;"&amp;'01 assessment'!$A49,'01 assessment'!$M$4:$M$1000,"&lt;&gt;")+COUNTIFS('01 assessment'!$A$4:$A$1000,'01 assessment'!$A49,'01 assessment'!$B$4:$B$1000,"&gt;"&amp;'01 assessment'!$B49,'01 assessment'!$M$4:$M$1000,"&lt;&gt;")+COUNTIFS('01 assessment'!$A$4:$A$1000,'01 assessment'!$A49,'01 assessment'!$B$4:$B$1000,'01 assessment'!$B49,'01 assessment'!$M$4:$M$1000,"&lt;"&amp;'01 assessment'!$M49))</f>
        <v>46</v>
      </c>
    </row>
    <row r="50" spans="1:36">
      <c r="A50" s="23">
        <v>27</v>
      </c>
      <c r="B50" s="25" t="str">
        <f t="shared" si="0"/>
        <v>Laundry</v>
      </c>
      <c r="C50" s="23">
        <f t="shared" si="1"/>
        <v>21</v>
      </c>
      <c r="D50" s="23" t="str">
        <f t="shared" si="2"/>
        <v>IN_REVIEW</v>
      </c>
      <c r="E50" s="23">
        <f t="shared" si="3"/>
        <v>9</v>
      </c>
      <c r="F50" s="23" t="str">
        <f t="shared" si="4"/>
        <v>HIGH</v>
      </c>
      <c r="G50" s="27">
        <f t="shared" si="5"/>
        <v>46088</v>
      </c>
      <c r="H50" s="23" t="str">
        <f t="shared" si="6"/>
        <v>RAH01-2026-027</v>
      </c>
      <c r="I50" s="23" t="str">
        <f t="shared" si="7"/>
        <v>Immediate corrective action</v>
      </c>
      <c r="T50" t="str">
        <f t="shared" si="8"/>
        <v>ASM-2026-027</v>
      </c>
      <c r="W50" t="str">
        <f>IFERROR(INDEX('01 assessment'!$A$4:$A$1000,MATCH(ROWS($W$4:W50),$AJ$4:$AJ$1000,0)),"")</f>
        <v>Rehabilitation</v>
      </c>
      <c r="X50">
        <f>IFERROR(INDEX('01 assessment'!$F$4:$F$1000,MATCH(ROWS($X$4:X50),$AJ$4:$AJ$1000,0)),"")</f>
        <v>45</v>
      </c>
      <c r="Y50" t="str">
        <f>IFERROR(INDEX('01 assessment'!$C$4:$C$1000,MATCH(ROWS($Y$4:Y50),$AJ$4:$AJ$1000,0)),"")</f>
        <v>IN_REVIEW</v>
      </c>
      <c r="Z50">
        <f>IFERROR(INDEX('01 assessment'!$G$4:$G$1000,MATCH(ROWS($Z$4:Z50),$AJ$4:$AJ$1000,0)),"")</f>
        <v>2</v>
      </c>
      <c r="AA50" t="str">
        <f>IFERROR(INDEX('01 assessment'!$H$4:$H$1000,MATCH(ROWS($AA$4:AA50),$AJ$4:$AJ$1000,0)),"")</f>
        <v>LOW</v>
      </c>
      <c r="AB50">
        <f>IFERROR(INDEX('01 assessment'!$B$4:$B$1000,MATCH(ROWS($AB$4:AB50),$AJ$4:$AJ$1000,0)),"")</f>
        <v>46159</v>
      </c>
      <c r="AC50" t="str">
        <f>IFERROR(INDEX('01 assessment'!$I$4:$I$1000,MATCH(ROWS($AC$4:AC50),$AJ$4:$AJ$1000,0)),"")</f>
        <v>RAH01-2026-047</v>
      </c>
      <c r="AD50" t="str">
        <f>IFERROR(INDEX('01 assessment'!$M$4:$M$1000,MATCH(ROWS($AD$4:AD50),$AJ$4:$AJ$1000,0)),"")</f>
        <v>ASM-2026-047</v>
      </c>
      <c r="AG50">
        <f>IF('01 assessment'!$M50="","",1+COUNTIFS('01 assessment'!$L$4:$L$1000,'01 assessment'!$L50,'01 assessment'!$J$4:$J$1000,"&gt;"&amp;'01 assessment'!$J50)+COUNTIFS('01 assessment'!$L$4:$L$1000,'01 assessment'!$L50,'01 assessment'!$J$4:$J$1000,'01 assessment'!$J50,'01 assessment'!$M$4:$M$1000,"&lt;"&amp;'01 assessment'!$M50))</f>
        <v>1</v>
      </c>
      <c r="AH50">
        <f>IF(OR($AG50&lt;&gt;1,'01 assessment'!$M50=""),"",SUMIFS('04 Hazards'!$K$4:$K$1000,'04 Hazards'!$S$4:$S$1000,'01 assessment'!$M50,'04 Hazards'!$R$4:$R$1000,TRUE,'04 Hazards'!$U$4:$U$1000,TRUE))</f>
        <v>10</v>
      </c>
      <c r="AI50">
        <f>IF(OR($AG50&lt;&gt;1,$AH50&lt;=0),"",1+COUNTIFS($AG$4:$AG$1000,1,$AH$4:$AH$1000,"&gt;"&amp;$AH50)+COUNTIFS($AG$4:$AG$1000,1,$AH$4:$AH$1000,$AH50,'01 assessment'!$A$4:$A$1000,"&lt;"&amp;'01 assessment'!$A50))</f>
        <v>62</v>
      </c>
      <c r="AJ50">
        <f>IF('01 assessment'!$M50="","",1+COUNTIFS('01 assessment'!$A$4:$A$1000,"&lt;"&amp;'01 assessment'!$A50,'01 assessment'!$M$4:$M$1000,"&lt;&gt;")+COUNTIFS('01 assessment'!$A$4:$A$1000,'01 assessment'!$A50,'01 assessment'!$B$4:$B$1000,"&gt;"&amp;'01 assessment'!$B50,'01 assessment'!$M$4:$M$1000,"&lt;&gt;")+COUNTIFS('01 assessment'!$A$4:$A$1000,'01 assessment'!$A50,'01 assessment'!$B$4:$B$1000,'01 assessment'!$B50,'01 assessment'!$M$4:$M$1000,"&lt;"&amp;'01 assessment'!$M50))</f>
        <v>47</v>
      </c>
    </row>
    <row r="51" spans="1:36">
      <c r="A51" s="23">
        <v>28</v>
      </c>
      <c r="B51" s="25" t="str">
        <f t="shared" si="0"/>
        <v>Medical Records</v>
      </c>
      <c r="C51" s="23">
        <f t="shared" si="1"/>
        <v>28</v>
      </c>
      <c r="D51" s="23" t="str">
        <f t="shared" si="2"/>
        <v>CLOSED</v>
      </c>
      <c r="E51" s="23">
        <f t="shared" si="3"/>
        <v>9</v>
      </c>
      <c r="F51" s="23" t="str">
        <f t="shared" si="4"/>
        <v>HIGH</v>
      </c>
      <c r="G51" s="27">
        <f t="shared" si="5"/>
        <v>46122</v>
      </c>
      <c r="H51" s="23" t="str">
        <f t="shared" si="6"/>
        <v>RAH01-2026-028</v>
      </c>
      <c r="I51" s="23" t="str">
        <f t="shared" si="7"/>
        <v>Immediate corrective action</v>
      </c>
      <c r="T51" t="str">
        <f t="shared" si="8"/>
        <v>ASM-2026-028</v>
      </c>
      <c r="W51" t="str">
        <f>IFERROR(INDEX('01 assessment'!$A$4:$A$1000,MATCH(ROWS($W$4:W51),$AJ$4:$AJ$1000,0)),"")</f>
        <v>Renal Unit</v>
      </c>
      <c r="X51">
        <f>IFERROR(INDEX('01 assessment'!$F$4:$F$1000,MATCH(ROWS($X$4:X51),$AJ$4:$AJ$1000,0)),"")</f>
        <v>52</v>
      </c>
      <c r="Y51" t="str">
        <f>IFERROR(INDEX('01 assessment'!$C$4:$C$1000,MATCH(ROWS($Y$4:Y51),$AJ$4:$AJ$1000,0)),"")</f>
        <v>CLOSED</v>
      </c>
      <c r="Z51">
        <f>IFERROR(INDEX('01 assessment'!$G$4:$G$1000,MATCH(ROWS($Z$4:Z51),$AJ$4:$AJ$1000,0)),"")</f>
        <v>4</v>
      </c>
      <c r="AA51" t="str">
        <f>IFERROR(INDEX('01 assessment'!$H$4:$H$1000,MATCH(ROWS($AA$4:AA51),$AJ$4:$AJ$1000,0)),"")</f>
        <v>MEDIUM</v>
      </c>
      <c r="AB51">
        <f>IFERROR(INDEX('01 assessment'!$B$4:$B$1000,MATCH(ROWS($AB$4:AB51),$AJ$4:$AJ$1000,0)),"")</f>
        <v>46193</v>
      </c>
      <c r="AC51" t="str">
        <f>IFERROR(INDEX('01 assessment'!$I$4:$I$1000,MATCH(ROWS($AC$4:AC51),$AJ$4:$AJ$1000,0)),"")</f>
        <v>RAH01-2026-048</v>
      </c>
      <c r="AD51" t="str">
        <f>IFERROR(INDEX('01 assessment'!$M$4:$M$1000,MATCH(ROWS($AD$4:AD51),$AJ$4:$AJ$1000,0)),"")</f>
        <v>ASM-2026-048</v>
      </c>
      <c r="AG51">
        <f>IF('01 assessment'!$M51="","",1+COUNTIFS('01 assessment'!$L$4:$L$1000,'01 assessment'!$L51,'01 assessment'!$J$4:$J$1000,"&gt;"&amp;'01 assessment'!$J51)+COUNTIFS('01 assessment'!$L$4:$L$1000,'01 assessment'!$L51,'01 assessment'!$J$4:$J$1000,'01 assessment'!$J51,'01 assessment'!$M$4:$M$1000,"&lt;"&amp;'01 assessment'!$M51))</f>
        <v>1</v>
      </c>
      <c r="AH51">
        <f>IF(OR($AG51&lt;&gt;1,'01 assessment'!$M51=""),"",SUMIFS('04 Hazards'!$K$4:$K$1000,'04 Hazards'!$S$4:$S$1000,'01 assessment'!$M51,'04 Hazards'!$R$4:$R$1000,TRUE,'04 Hazards'!$U$4:$U$1000,TRUE))</f>
        <v>20</v>
      </c>
      <c r="AI51">
        <f>IF(OR($AG51&lt;&gt;1,$AH51&lt;=0),"",1+COUNTIFS($AG$4:$AG$1000,1,$AH$4:$AH$1000,"&gt;"&amp;$AH51)+COUNTIFS($AG$4:$AG$1000,1,$AH$4:$AH$1000,$AH51,'01 assessment'!$A$4:$A$1000,"&lt;"&amp;'01 assessment'!$A51))</f>
        <v>52</v>
      </c>
      <c r="AJ51">
        <f>IF('01 assessment'!$M51="","",1+COUNTIFS('01 assessment'!$A$4:$A$1000,"&lt;"&amp;'01 assessment'!$A51,'01 assessment'!$M$4:$M$1000,"&lt;&gt;")+COUNTIFS('01 assessment'!$A$4:$A$1000,'01 assessment'!$A51,'01 assessment'!$B$4:$B$1000,"&gt;"&amp;'01 assessment'!$B51,'01 assessment'!$M$4:$M$1000,"&lt;&gt;")+COUNTIFS('01 assessment'!$A$4:$A$1000,'01 assessment'!$A51,'01 assessment'!$B$4:$B$1000,'01 assessment'!$B51,'01 assessment'!$M$4:$M$1000,"&lt;"&amp;'01 assessment'!$M51))</f>
        <v>48</v>
      </c>
    </row>
    <row r="52" spans="1:36">
      <c r="A52" s="23">
        <v>29</v>
      </c>
      <c r="B52" s="25" t="str">
        <f t="shared" si="0"/>
        <v>Neonatal ICU</v>
      </c>
      <c r="C52" s="23">
        <f t="shared" si="1"/>
        <v>35</v>
      </c>
      <c r="D52" s="23" t="str">
        <f t="shared" si="2"/>
        <v>CLOSED</v>
      </c>
      <c r="E52" s="23">
        <f t="shared" si="3"/>
        <v>2</v>
      </c>
      <c r="F52" s="23" t="str">
        <f t="shared" si="4"/>
        <v>LOW</v>
      </c>
      <c r="G52" s="27">
        <f t="shared" si="5"/>
        <v>46155</v>
      </c>
      <c r="H52" s="23" t="str">
        <f t="shared" si="6"/>
        <v>RAH01-2026-029</v>
      </c>
      <c r="I52" s="23" t="str">
        <f t="shared" si="7"/>
        <v>Maintain controls</v>
      </c>
      <c r="T52" t="str">
        <f t="shared" si="8"/>
        <v>ASM-2026-029</v>
      </c>
      <c r="W52" t="str">
        <f>IFERROR(INDEX('01 assessment'!$A$4:$A$1000,MATCH(ROWS($W$4:W52),$AJ$4:$AJ$1000,0)),"")</f>
        <v>Respiratory Medicine</v>
      </c>
      <c r="X52">
        <f>IFERROR(INDEX('01 assessment'!$F$4:$F$1000,MATCH(ROWS($X$4:X52),$AJ$4:$AJ$1000,0)),"")</f>
        <v>59</v>
      </c>
      <c r="Y52" t="str">
        <f>IFERROR(INDEX('01 assessment'!$C$4:$C$1000,MATCH(ROWS($Y$4:Y52),$AJ$4:$AJ$1000,0)),"")</f>
        <v>CLOSED</v>
      </c>
      <c r="Z52">
        <f>IFERROR(INDEX('01 assessment'!$G$4:$G$1000,MATCH(ROWS($Z$4:Z52),$AJ$4:$AJ$1000,0)),"")</f>
        <v>2</v>
      </c>
      <c r="AA52" t="str">
        <f>IFERROR(INDEX('01 assessment'!$H$4:$H$1000,MATCH(ROWS($AA$4:AA52),$AJ$4:$AJ$1000,0)),"")</f>
        <v>LOW</v>
      </c>
      <c r="AB52">
        <f>IFERROR(INDEX('01 assessment'!$B$4:$B$1000,MATCH(ROWS($AB$4:AB52),$AJ$4:$AJ$1000,0)),"")</f>
        <v>46045</v>
      </c>
      <c r="AC52" t="str">
        <f>IFERROR(INDEX('01 assessment'!$I$4:$I$1000,MATCH(ROWS($AC$4:AC52),$AJ$4:$AJ$1000,0)),"")</f>
        <v>RAH01-2026-049</v>
      </c>
      <c r="AD52" t="str">
        <f>IFERROR(INDEX('01 assessment'!$M$4:$M$1000,MATCH(ROWS($AD$4:AD52),$AJ$4:$AJ$1000,0)),"")</f>
        <v>ASM-2026-049</v>
      </c>
      <c r="AG52">
        <f>IF('01 assessment'!$M52="","",1+COUNTIFS('01 assessment'!$L$4:$L$1000,'01 assessment'!$L52,'01 assessment'!$J$4:$J$1000,"&gt;"&amp;'01 assessment'!$J52)+COUNTIFS('01 assessment'!$L$4:$L$1000,'01 assessment'!$L52,'01 assessment'!$J$4:$J$1000,'01 assessment'!$J52,'01 assessment'!$M$4:$M$1000,"&lt;"&amp;'01 assessment'!$M52))</f>
        <v>1</v>
      </c>
      <c r="AH52">
        <f>IF(OR($AG52&lt;&gt;1,'01 assessment'!$M52=""),"",SUMIFS('04 Hazards'!$K$4:$K$1000,'04 Hazards'!$S$4:$S$1000,'01 assessment'!$M52,'04 Hazards'!$R$4:$R$1000,TRUE,'04 Hazards'!$U$4:$U$1000,TRUE))</f>
        <v>10</v>
      </c>
      <c r="AI52">
        <f>IF(OR($AG52&lt;&gt;1,$AH52&lt;=0),"",1+COUNTIFS($AG$4:$AG$1000,1,$AH$4:$AH$1000,"&gt;"&amp;$AH52)+COUNTIFS($AG$4:$AG$1000,1,$AH$4:$AH$1000,$AH52,'01 assessment'!$A$4:$A$1000,"&lt;"&amp;'01 assessment'!$A52))</f>
        <v>63</v>
      </c>
      <c r="AJ52">
        <f>IF('01 assessment'!$M52="","",1+COUNTIFS('01 assessment'!$A$4:$A$1000,"&lt;"&amp;'01 assessment'!$A52,'01 assessment'!$M$4:$M$1000,"&lt;&gt;")+COUNTIFS('01 assessment'!$A$4:$A$1000,'01 assessment'!$A52,'01 assessment'!$B$4:$B$1000,"&gt;"&amp;'01 assessment'!$B52,'01 assessment'!$M$4:$M$1000,"&lt;&gt;")+COUNTIFS('01 assessment'!$A$4:$A$1000,'01 assessment'!$A52,'01 assessment'!$B$4:$B$1000,'01 assessment'!$B52,'01 assessment'!$M$4:$M$1000,"&lt;"&amp;'01 assessment'!$M52))</f>
        <v>49</v>
      </c>
    </row>
    <row r="53" spans="1:36">
      <c r="A53" s="23">
        <v>30</v>
      </c>
      <c r="B53" s="25" t="str">
        <f t="shared" si="0"/>
        <v>Neurology</v>
      </c>
      <c r="C53" s="23">
        <f t="shared" si="1"/>
        <v>42</v>
      </c>
      <c r="D53" s="23" t="str">
        <f t="shared" si="2"/>
        <v>RETURNED</v>
      </c>
      <c r="E53" s="23">
        <f t="shared" si="3"/>
        <v>4</v>
      </c>
      <c r="F53" s="23" t="str">
        <f t="shared" si="4"/>
        <v>MEDIUM</v>
      </c>
      <c r="G53" s="27">
        <f t="shared" si="5"/>
        <v>46189</v>
      </c>
      <c r="H53" s="23" t="str">
        <f t="shared" si="6"/>
        <v>RAH01-2026-030</v>
      </c>
      <c r="I53" s="23" t="str">
        <f t="shared" si="7"/>
        <v>Document improvement plan</v>
      </c>
      <c r="T53" t="str">
        <f t="shared" si="8"/>
        <v>ASM-2026-030</v>
      </c>
      <c r="W53" t="str">
        <f>IFERROR(INDEX('01 assessment'!$A$4:$A$1000,MATCH(ROWS($W$4:W53),$AJ$4:$AJ$1000,0)),"")</f>
        <v>Social Work</v>
      </c>
      <c r="X53">
        <f>IFERROR(INDEX('01 assessment'!$F$4:$F$1000,MATCH(ROWS($X$4:X53),$AJ$4:$AJ$1000,0)),"")</f>
        <v>8</v>
      </c>
      <c r="Y53" t="str">
        <f>IFERROR(INDEX('01 assessment'!$C$4:$C$1000,MATCH(ROWS($Y$4:Y53),$AJ$4:$AJ$1000,0)),"")</f>
        <v>RETURNED</v>
      </c>
      <c r="Z53">
        <f>IFERROR(INDEX('01 assessment'!$G$4:$G$1000,MATCH(ROWS($Z$4:Z53),$AJ$4:$AJ$1000,0)),"")</f>
        <v>2</v>
      </c>
      <c r="AA53" t="str">
        <f>IFERROR(INDEX('01 assessment'!$H$4:$H$1000,MATCH(ROWS($AA$4:AA53),$AJ$4:$AJ$1000,0)),"")</f>
        <v>LOW</v>
      </c>
      <c r="AB53">
        <f>IFERROR(INDEX('01 assessment'!$B$4:$B$1000,MATCH(ROWS($AB$4:AB53),$AJ$4:$AJ$1000,0)),"")</f>
        <v>46054</v>
      </c>
      <c r="AC53" t="str">
        <f>IFERROR(INDEX('01 assessment'!$I$4:$I$1000,MATCH(ROWS($AC$4:AC53),$AJ$4:$AJ$1000,0)),"")</f>
        <v>RAH01-2026-050</v>
      </c>
      <c r="AD53" t="str">
        <f>IFERROR(INDEX('01 assessment'!$M$4:$M$1000,MATCH(ROWS($AD$4:AD53),$AJ$4:$AJ$1000,0)),"")</f>
        <v>ASM-2026-050</v>
      </c>
      <c r="AG53">
        <f>IF('01 assessment'!$M53="","",1+COUNTIFS('01 assessment'!$L$4:$L$1000,'01 assessment'!$L53,'01 assessment'!$J$4:$J$1000,"&gt;"&amp;'01 assessment'!$J53)+COUNTIFS('01 assessment'!$L$4:$L$1000,'01 assessment'!$L53,'01 assessment'!$J$4:$J$1000,'01 assessment'!$J53,'01 assessment'!$M$4:$M$1000,"&lt;"&amp;'01 assessment'!$M53))</f>
        <v>1</v>
      </c>
      <c r="AH53">
        <f>IF(OR($AG53&lt;&gt;1,'01 assessment'!$M53=""),"",SUMIFS('04 Hazards'!$K$4:$K$1000,'04 Hazards'!$S$4:$S$1000,'01 assessment'!$M53,'04 Hazards'!$R$4:$R$1000,TRUE,'04 Hazards'!$U$4:$U$1000,TRUE))</f>
        <v>10</v>
      </c>
      <c r="AI53">
        <f>IF(OR($AG53&lt;&gt;1,$AH53&lt;=0),"",1+COUNTIFS($AG$4:$AG$1000,1,$AH$4:$AH$1000,"&gt;"&amp;$AH53)+COUNTIFS($AG$4:$AG$1000,1,$AH$4:$AH$1000,$AH53,'01 assessment'!$A$4:$A$1000,"&lt;"&amp;'01 assessment'!$A53))</f>
        <v>64</v>
      </c>
      <c r="AJ53">
        <f>IF('01 assessment'!$M53="","",1+COUNTIFS('01 assessment'!$A$4:$A$1000,"&lt;"&amp;'01 assessment'!$A53,'01 assessment'!$M$4:$M$1000,"&lt;&gt;")+COUNTIFS('01 assessment'!$A$4:$A$1000,'01 assessment'!$A53,'01 assessment'!$B$4:$B$1000,"&gt;"&amp;'01 assessment'!$B53,'01 assessment'!$M$4:$M$1000,"&lt;&gt;")+COUNTIFS('01 assessment'!$A$4:$A$1000,'01 assessment'!$A53,'01 assessment'!$B$4:$B$1000,'01 assessment'!$B53,'01 assessment'!$M$4:$M$1000,"&lt;"&amp;'01 assessment'!$M53))</f>
        <v>50</v>
      </c>
    </row>
    <row r="54" spans="1:36">
      <c r="A54" s="23">
        <v>31</v>
      </c>
      <c r="B54" s="25" t="str">
        <f t="shared" si="0"/>
        <v>Neurosurgery</v>
      </c>
      <c r="C54" s="23">
        <f t="shared" si="1"/>
        <v>49</v>
      </c>
      <c r="D54" s="23" t="str">
        <f t="shared" si="2"/>
        <v>SUBMITTED</v>
      </c>
      <c r="E54" s="23">
        <f t="shared" si="3"/>
        <v>2</v>
      </c>
      <c r="F54" s="23" t="str">
        <f t="shared" si="4"/>
        <v>LOW</v>
      </c>
      <c r="G54" s="27">
        <f t="shared" si="5"/>
        <v>46041</v>
      </c>
      <c r="H54" s="23" t="str">
        <f t="shared" si="6"/>
        <v>RAH01-2026-031</v>
      </c>
      <c r="I54" s="23" t="str">
        <f t="shared" si="7"/>
        <v>Maintain controls</v>
      </c>
      <c r="T54" t="str">
        <f t="shared" si="8"/>
        <v>ASM-2026-031</v>
      </c>
      <c r="W54" t="str">
        <f>IFERROR(INDEX('01 assessment'!$A$4:$A$1000,MATCH(ROWS($W$4:W54),$AJ$4:$AJ$1000,0)),"")</f>
        <v>Speech Therapy</v>
      </c>
      <c r="X54">
        <f>IFERROR(INDEX('01 assessment'!$F$4:$F$1000,MATCH(ROWS($X$4:X54),$AJ$4:$AJ$1000,0)),"")</f>
        <v>15</v>
      </c>
      <c r="Y54" t="str">
        <f>IFERROR(INDEX('01 assessment'!$C$4:$C$1000,MATCH(ROWS($Y$4:Y54),$AJ$4:$AJ$1000,0)),"")</f>
        <v>SUBMITTED</v>
      </c>
      <c r="Z54">
        <f>IFERROR(INDEX('01 assessment'!$G$4:$G$1000,MATCH(ROWS($Z$4:Z54),$AJ$4:$AJ$1000,0)),"")</f>
        <v>4</v>
      </c>
      <c r="AA54" t="str">
        <f>IFERROR(INDEX('01 assessment'!$H$4:$H$1000,MATCH(ROWS($AA$4:AA54),$AJ$4:$AJ$1000,0)),"")</f>
        <v>MEDIUM</v>
      </c>
      <c r="AB54">
        <f>IFERROR(INDEX('01 assessment'!$B$4:$B$1000,MATCH(ROWS($AB$4:AB54),$AJ$4:$AJ$1000,0)),"")</f>
        <v>46085</v>
      </c>
      <c r="AC54" t="str">
        <f>IFERROR(INDEX('01 assessment'!$I$4:$I$1000,MATCH(ROWS($AC$4:AC54),$AJ$4:$AJ$1000,0)),"")</f>
        <v>RAH01-2026-051</v>
      </c>
      <c r="AD54" t="str">
        <f>IFERROR(INDEX('01 assessment'!$M$4:$M$1000,MATCH(ROWS($AD$4:AD54),$AJ$4:$AJ$1000,0)),"")</f>
        <v>ASM-2026-051</v>
      </c>
      <c r="AG54">
        <f>IF('01 assessment'!$M54="","",1+COUNTIFS('01 assessment'!$L$4:$L$1000,'01 assessment'!$L54,'01 assessment'!$J$4:$J$1000,"&gt;"&amp;'01 assessment'!$J54)+COUNTIFS('01 assessment'!$L$4:$L$1000,'01 assessment'!$L54,'01 assessment'!$J$4:$J$1000,'01 assessment'!$J54,'01 assessment'!$M$4:$M$1000,"&lt;"&amp;'01 assessment'!$M54))</f>
        <v>1</v>
      </c>
      <c r="AH54">
        <f>IF(OR($AG54&lt;&gt;1,'01 assessment'!$M54=""),"",SUMIFS('04 Hazards'!$K$4:$K$1000,'04 Hazards'!$S$4:$S$1000,'01 assessment'!$M54,'04 Hazards'!$R$4:$R$1000,TRUE,'04 Hazards'!$U$4:$U$1000,TRUE))</f>
        <v>20</v>
      </c>
      <c r="AI54">
        <f>IF(OR($AG54&lt;&gt;1,$AH54&lt;=0),"",1+COUNTIFS($AG$4:$AG$1000,1,$AH$4:$AH$1000,"&gt;"&amp;$AH54)+COUNTIFS($AG$4:$AG$1000,1,$AH$4:$AH$1000,$AH54,'01 assessment'!$A$4:$A$1000,"&lt;"&amp;'01 assessment'!$A54))</f>
        <v>53</v>
      </c>
      <c r="AJ54">
        <f>IF('01 assessment'!$M54="","",1+COUNTIFS('01 assessment'!$A$4:$A$1000,"&lt;"&amp;'01 assessment'!$A54,'01 assessment'!$M$4:$M$1000,"&lt;&gt;")+COUNTIFS('01 assessment'!$A$4:$A$1000,'01 assessment'!$A54,'01 assessment'!$B$4:$B$1000,"&gt;"&amp;'01 assessment'!$B54,'01 assessment'!$M$4:$M$1000,"&lt;&gt;")+COUNTIFS('01 assessment'!$A$4:$A$1000,'01 assessment'!$A54,'01 assessment'!$B$4:$B$1000,'01 assessment'!$B54,'01 assessment'!$M$4:$M$1000,"&lt;"&amp;'01 assessment'!$M54))</f>
        <v>51</v>
      </c>
    </row>
    <row r="55" spans="1:36">
      <c r="A55" s="23">
        <v>32</v>
      </c>
      <c r="B55" s="25" t="str">
        <f t="shared" si="0"/>
        <v>Nuclear Medicine</v>
      </c>
      <c r="C55" s="23">
        <f t="shared" si="1"/>
        <v>56</v>
      </c>
      <c r="D55" s="23" t="str">
        <f t="shared" si="2"/>
        <v>IN_REVIEW</v>
      </c>
      <c r="E55" s="23">
        <f t="shared" si="3"/>
        <v>2</v>
      </c>
      <c r="F55" s="23" t="str">
        <f t="shared" si="4"/>
        <v>LOW</v>
      </c>
      <c r="G55" s="27">
        <f t="shared" si="5"/>
        <v>46075</v>
      </c>
      <c r="H55" s="23" t="str">
        <f t="shared" si="6"/>
        <v>RAH01-2026-032</v>
      </c>
      <c r="I55" s="23" t="str">
        <f t="shared" si="7"/>
        <v>Maintain controls</v>
      </c>
      <c r="T55" t="str">
        <f t="shared" si="8"/>
        <v>ASM-2026-032</v>
      </c>
      <c r="W55" t="str">
        <f>IFERROR(INDEX('01 assessment'!$A$4:$A$1000,MATCH(ROWS($W$4:W55),$AJ$4:$AJ$1000,0)),"")</f>
        <v>Surgical ICU</v>
      </c>
      <c r="X55">
        <f>IFERROR(INDEX('01 assessment'!$F$4:$F$1000,MATCH(ROWS($X$4:X55),$AJ$4:$AJ$1000,0)),"")</f>
        <v>22</v>
      </c>
      <c r="Y55" t="str">
        <f>IFERROR(INDEX('01 assessment'!$C$4:$C$1000,MATCH(ROWS($Y$4:Y55),$AJ$4:$AJ$1000,0)),"")</f>
        <v>IN_REVIEW</v>
      </c>
      <c r="Z55">
        <f>IFERROR(INDEX('01 assessment'!$G$4:$G$1000,MATCH(ROWS($Z$4:Z55),$AJ$4:$AJ$1000,0)),"")</f>
        <v>2</v>
      </c>
      <c r="AA55" t="str">
        <f>IFERROR(INDEX('01 assessment'!$H$4:$H$1000,MATCH(ROWS($AA$4:AA55),$AJ$4:$AJ$1000,0)),"")</f>
        <v>LOW</v>
      </c>
      <c r="AB55">
        <f>IFERROR(INDEX('01 assessment'!$B$4:$B$1000,MATCH(ROWS($AB$4:AB55),$AJ$4:$AJ$1000,0)),"")</f>
        <v>46119</v>
      </c>
      <c r="AC55" t="str">
        <f>IFERROR(INDEX('01 assessment'!$I$4:$I$1000,MATCH(ROWS($AC$4:AC55),$AJ$4:$AJ$1000,0)),"")</f>
        <v>RAH01-2026-052</v>
      </c>
      <c r="AD55" t="str">
        <f>IFERROR(INDEX('01 assessment'!$M$4:$M$1000,MATCH(ROWS($AD$4:AD55),$AJ$4:$AJ$1000,0)),"")</f>
        <v>ASM-2026-052</v>
      </c>
      <c r="AG55">
        <f>IF('01 assessment'!$M55="","",1+COUNTIFS('01 assessment'!$L$4:$L$1000,'01 assessment'!$L55,'01 assessment'!$J$4:$J$1000,"&gt;"&amp;'01 assessment'!$J55)+COUNTIFS('01 assessment'!$L$4:$L$1000,'01 assessment'!$L55,'01 assessment'!$J$4:$J$1000,'01 assessment'!$J55,'01 assessment'!$M$4:$M$1000,"&lt;"&amp;'01 assessment'!$M55))</f>
        <v>1</v>
      </c>
      <c r="AH55">
        <f>IF(OR($AG55&lt;&gt;1,'01 assessment'!$M55=""),"",SUMIFS('04 Hazards'!$K$4:$K$1000,'04 Hazards'!$S$4:$S$1000,'01 assessment'!$M55,'04 Hazards'!$R$4:$R$1000,TRUE,'04 Hazards'!$U$4:$U$1000,TRUE))</f>
        <v>10</v>
      </c>
      <c r="AI55">
        <f>IF(OR($AG55&lt;&gt;1,$AH55&lt;=0),"",1+COUNTIFS($AG$4:$AG$1000,1,$AH$4:$AH$1000,"&gt;"&amp;$AH55)+COUNTIFS($AG$4:$AG$1000,1,$AH$4:$AH$1000,$AH55,'01 assessment'!$A$4:$A$1000,"&lt;"&amp;'01 assessment'!$A55))</f>
        <v>65</v>
      </c>
      <c r="AJ55">
        <f>IF('01 assessment'!$M55="","",1+COUNTIFS('01 assessment'!$A$4:$A$1000,"&lt;"&amp;'01 assessment'!$A55,'01 assessment'!$M$4:$M$1000,"&lt;&gt;")+COUNTIFS('01 assessment'!$A$4:$A$1000,'01 assessment'!$A55,'01 assessment'!$B$4:$B$1000,"&gt;"&amp;'01 assessment'!$B55,'01 assessment'!$M$4:$M$1000,"&lt;&gt;")+COUNTIFS('01 assessment'!$A$4:$A$1000,'01 assessment'!$A55,'01 assessment'!$B$4:$B$1000,'01 assessment'!$B55,'01 assessment'!$M$4:$M$1000,"&lt;"&amp;'01 assessment'!$M55))</f>
        <v>52</v>
      </c>
    </row>
    <row r="56" spans="1:36">
      <c r="A56" s="23">
        <v>33</v>
      </c>
      <c r="B56" s="25" t="str">
        <f t="shared" ref="B56:B87" si="9">IFERROR(INDEX($W$4:$AD$153,$A56,1),"")</f>
        <v>Obstetrics</v>
      </c>
      <c r="C56" s="23">
        <f t="shared" ref="C56:C87" si="10">IFERROR(INDEX($W$4:$AD$153,$A56,2),"")</f>
        <v>63</v>
      </c>
      <c r="D56" s="23" t="str">
        <f t="shared" ref="D56:D87" si="11">IFERROR(INDEX($W$4:$AD$153,$A56,3),"")</f>
        <v>CLOSED</v>
      </c>
      <c r="E56" s="23">
        <f t="shared" ref="E56:E87" si="12">IFERROR(INDEX($W$4:$AD$153,$A56,4),"")</f>
        <v>4</v>
      </c>
      <c r="F56" s="23" t="str">
        <f t="shared" ref="F56:F87" si="13">IFERROR(INDEX($W$4:$AD$153,$A56,5),"")</f>
        <v>MEDIUM</v>
      </c>
      <c r="G56" s="27">
        <f t="shared" ref="G56:G87" si="14">IFERROR(INDEX($W$4:$AD$153,$A56,6),"")</f>
        <v>46106</v>
      </c>
      <c r="H56" s="23" t="str">
        <f t="shared" ref="H56:H87" si="15">IFERROR(INDEX($W$4:$AD$153,$A56,7),"")</f>
        <v>RAH01-2026-033</v>
      </c>
      <c r="I56" s="23" t="str">
        <f t="shared" ref="I56:I87" si="16">IF(E56="","",IF(E56&gt;=6,"Immediate corrective action",IF(E56&gt;=3,"Document improvement plan","Maintain controls")))</f>
        <v>Document improvement plan</v>
      </c>
      <c r="T56" t="str">
        <f t="shared" ref="T56:T87" si="17">IFERROR(INDEX($W$4:$AD$153,$A56,8),"")</f>
        <v>ASM-2026-033</v>
      </c>
      <c r="W56" t="str">
        <f>IFERROR(INDEX('01 assessment'!$A$4:$A$1000,MATCH(ROWS($W$4:W56),$AJ$4:$AJ$1000,0)),"")</f>
        <v>Thai Traditional Medicine</v>
      </c>
      <c r="X56">
        <f>IFERROR(INDEX('01 assessment'!$F$4:$F$1000,MATCH(ROWS($X$4:X56),$AJ$4:$AJ$1000,0)),"")</f>
        <v>29</v>
      </c>
      <c r="Y56" t="str">
        <f>IFERROR(INDEX('01 assessment'!$C$4:$C$1000,MATCH(ROWS($Y$4:Y56),$AJ$4:$AJ$1000,0)),"")</f>
        <v>CLOSED</v>
      </c>
      <c r="Z56">
        <f>IFERROR(INDEX('01 assessment'!$G$4:$G$1000,MATCH(ROWS($Z$4:Z56),$AJ$4:$AJ$1000,0)),"")</f>
        <v>2</v>
      </c>
      <c r="AA56" t="str">
        <f>IFERROR(INDEX('01 assessment'!$H$4:$H$1000,MATCH(ROWS($AA$4:AA56),$AJ$4:$AJ$1000,0)),"")</f>
        <v>LOW</v>
      </c>
      <c r="AB56">
        <f>IFERROR(INDEX('01 assessment'!$B$4:$B$1000,MATCH(ROWS($AB$4:AB56),$AJ$4:$AJ$1000,0)),"")</f>
        <v>46152</v>
      </c>
      <c r="AC56" t="str">
        <f>IFERROR(INDEX('01 assessment'!$I$4:$I$1000,MATCH(ROWS($AC$4:AC56),$AJ$4:$AJ$1000,0)),"")</f>
        <v>RAH01-2026-053</v>
      </c>
      <c r="AD56" t="str">
        <f>IFERROR(INDEX('01 assessment'!$M$4:$M$1000,MATCH(ROWS($AD$4:AD56),$AJ$4:$AJ$1000,0)),"")</f>
        <v>ASM-2026-053</v>
      </c>
      <c r="AG56">
        <f>IF('01 assessment'!$M56="","",1+COUNTIFS('01 assessment'!$L$4:$L$1000,'01 assessment'!$L56,'01 assessment'!$J$4:$J$1000,"&gt;"&amp;'01 assessment'!$J56)+COUNTIFS('01 assessment'!$L$4:$L$1000,'01 assessment'!$L56,'01 assessment'!$J$4:$J$1000,'01 assessment'!$J56,'01 assessment'!$M$4:$M$1000,"&lt;"&amp;'01 assessment'!$M56))</f>
        <v>1</v>
      </c>
      <c r="AH56">
        <f>IF(OR($AG56&lt;&gt;1,'01 assessment'!$M56=""),"",SUMIFS('04 Hazards'!$K$4:$K$1000,'04 Hazards'!$S$4:$S$1000,'01 assessment'!$M56,'04 Hazards'!$R$4:$R$1000,TRUE,'04 Hazards'!$U$4:$U$1000,TRUE))</f>
        <v>10</v>
      </c>
      <c r="AI56">
        <f>IF(OR($AG56&lt;&gt;1,$AH56&lt;=0),"",1+COUNTIFS($AG$4:$AG$1000,1,$AH$4:$AH$1000,"&gt;"&amp;$AH56)+COUNTIFS($AG$4:$AG$1000,1,$AH$4:$AH$1000,$AH56,'01 assessment'!$A$4:$A$1000,"&lt;"&amp;'01 assessment'!$A56))</f>
        <v>66</v>
      </c>
      <c r="AJ56">
        <f>IF('01 assessment'!$M56="","",1+COUNTIFS('01 assessment'!$A$4:$A$1000,"&lt;"&amp;'01 assessment'!$A56,'01 assessment'!$M$4:$M$1000,"&lt;&gt;")+COUNTIFS('01 assessment'!$A$4:$A$1000,'01 assessment'!$A56,'01 assessment'!$B$4:$B$1000,"&gt;"&amp;'01 assessment'!$B56,'01 assessment'!$M$4:$M$1000,"&lt;&gt;")+COUNTIFS('01 assessment'!$A$4:$A$1000,'01 assessment'!$A56,'01 assessment'!$B$4:$B$1000,'01 assessment'!$B56,'01 assessment'!$M$4:$M$1000,"&lt;"&amp;'01 assessment'!$M56))</f>
        <v>53</v>
      </c>
    </row>
    <row r="57" spans="1:36">
      <c r="A57" s="23">
        <v>34</v>
      </c>
      <c r="B57" s="25" t="str">
        <f t="shared" si="9"/>
        <v>Occupational Health</v>
      </c>
      <c r="C57" s="23">
        <f t="shared" si="10"/>
        <v>12</v>
      </c>
      <c r="D57" s="23" t="str">
        <f t="shared" si="11"/>
        <v>CLOSED</v>
      </c>
      <c r="E57" s="23">
        <f t="shared" si="12"/>
        <v>2</v>
      </c>
      <c r="F57" s="23" t="str">
        <f t="shared" si="13"/>
        <v>LOW</v>
      </c>
      <c r="G57" s="27">
        <f t="shared" si="14"/>
        <v>46115</v>
      </c>
      <c r="H57" s="23" t="str">
        <f t="shared" si="15"/>
        <v>RAH01-2026-034</v>
      </c>
      <c r="I57" s="23" t="str">
        <f t="shared" si="16"/>
        <v>Maintain controls</v>
      </c>
      <c r="T57" t="str">
        <f t="shared" si="17"/>
        <v>ASM-2026-034</v>
      </c>
      <c r="W57" t="str">
        <f>IFERROR(INDEX('01 assessment'!$A$4:$A$1000,MATCH(ROWS($W$4:W57),$AJ$4:$AJ$1000,0)),"")</f>
        <v>Thoracic Medicine</v>
      </c>
      <c r="X57">
        <f>IFERROR(INDEX('01 assessment'!$F$4:$F$1000,MATCH(ROWS($X$4:X57),$AJ$4:$AJ$1000,0)),"")</f>
        <v>36</v>
      </c>
      <c r="Y57" t="str">
        <f>IFERROR(INDEX('01 assessment'!$C$4:$C$1000,MATCH(ROWS($Y$4:Y57),$AJ$4:$AJ$1000,0)),"")</f>
        <v>CLOSED</v>
      </c>
      <c r="Z57">
        <f>IFERROR(INDEX('01 assessment'!$G$4:$G$1000,MATCH(ROWS($Z$4:Z57),$AJ$4:$AJ$1000,0)),"")</f>
        <v>4</v>
      </c>
      <c r="AA57" t="str">
        <f>IFERROR(INDEX('01 assessment'!$H$4:$H$1000,MATCH(ROWS($AA$4:AA57),$AJ$4:$AJ$1000,0)),"")</f>
        <v>MEDIUM</v>
      </c>
      <c r="AB57">
        <f>IFERROR(INDEX('01 assessment'!$B$4:$B$1000,MATCH(ROWS($AB$4:AB57),$AJ$4:$AJ$1000,0)),"")</f>
        <v>46186</v>
      </c>
      <c r="AC57" t="str">
        <f>IFERROR(INDEX('01 assessment'!$I$4:$I$1000,MATCH(ROWS($AC$4:AC57),$AJ$4:$AJ$1000,0)),"")</f>
        <v>RAH01-2026-054</v>
      </c>
      <c r="AD57" t="str">
        <f>IFERROR(INDEX('01 assessment'!$M$4:$M$1000,MATCH(ROWS($AD$4:AD57),$AJ$4:$AJ$1000,0)),"")</f>
        <v>ASM-2026-054</v>
      </c>
      <c r="AG57">
        <f>IF('01 assessment'!$M57="","",1+COUNTIFS('01 assessment'!$L$4:$L$1000,'01 assessment'!$L57,'01 assessment'!$J$4:$J$1000,"&gt;"&amp;'01 assessment'!$J57)+COUNTIFS('01 assessment'!$L$4:$L$1000,'01 assessment'!$L57,'01 assessment'!$J$4:$J$1000,'01 assessment'!$J57,'01 assessment'!$M$4:$M$1000,"&lt;"&amp;'01 assessment'!$M57))</f>
        <v>1</v>
      </c>
      <c r="AH57">
        <f>IF(OR($AG57&lt;&gt;1,'01 assessment'!$M57=""),"",SUMIFS('04 Hazards'!$K$4:$K$1000,'04 Hazards'!$S$4:$S$1000,'01 assessment'!$M57,'04 Hazards'!$R$4:$R$1000,TRUE,'04 Hazards'!$U$4:$U$1000,TRUE))</f>
        <v>20</v>
      </c>
      <c r="AI57">
        <f>IF(OR($AG57&lt;&gt;1,$AH57&lt;=0),"",1+COUNTIFS($AG$4:$AG$1000,1,$AH$4:$AH$1000,"&gt;"&amp;$AH57)+COUNTIFS($AG$4:$AG$1000,1,$AH$4:$AH$1000,$AH57,'01 assessment'!$A$4:$A$1000,"&lt;"&amp;'01 assessment'!$A57))</f>
        <v>54</v>
      </c>
      <c r="AJ57">
        <f>IF('01 assessment'!$M57="","",1+COUNTIFS('01 assessment'!$A$4:$A$1000,"&lt;"&amp;'01 assessment'!$A57,'01 assessment'!$M$4:$M$1000,"&lt;&gt;")+COUNTIFS('01 assessment'!$A$4:$A$1000,'01 assessment'!$A57,'01 assessment'!$B$4:$B$1000,"&gt;"&amp;'01 assessment'!$B57,'01 assessment'!$M$4:$M$1000,"&lt;&gt;")+COUNTIFS('01 assessment'!$A$4:$A$1000,'01 assessment'!$A57,'01 assessment'!$B$4:$B$1000,'01 assessment'!$B57,'01 assessment'!$M$4:$M$1000,"&lt;"&amp;'01 assessment'!$M57))</f>
        <v>54</v>
      </c>
    </row>
    <row r="58" spans="1:36">
      <c r="A58" s="23">
        <v>35</v>
      </c>
      <c r="B58" s="25" t="str">
        <f t="shared" si="9"/>
        <v>Oncology</v>
      </c>
      <c r="C58" s="23">
        <f t="shared" si="10"/>
        <v>19</v>
      </c>
      <c r="D58" s="23" t="str">
        <f t="shared" si="11"/>
        <v>RETURNED</v>
      </c>
      <c r="E58" s="23">
        <f t="shared" si="12"/>
        <v>2</v>
      </c>
      <c r="F58" s="23" t="str">
        <f t="shared" si="13"/>
        <v>LOW</v>
      </c>
      <c r="G58" s="27">
        <f t="shared" si="14"/>
        <v>46148</v>
      </c>
      <c r="H58" s="23" t="str">
        <f t="shared" si="15"/>
        <v>RAH01-2026-035</v>
      </c>
      <c r="I58" s="23" t="str">
        <f t="shared" si="16"/>
        <v>Maintain controls</v>
      </c>
      <c r="T58" t="str">
        <f t="shared" si="17"/>
        <v>ASM-2026-035</v>
      </c>
      <c r="W58" t="str">
        <f>IFERROR(INDEX('01 assessment'!$A$4:$A$1000,MATCH(ROWS($W$4:W58),$AJ$4:$AJ$1000,0)),"")</f>
        <v>Transfusion Medicine</v>
      </c>
      <c r="X58">
        <f>IFERROR(INDEX('01 assessment'!$F$4:$F$1000,MATCH(ROWS($X$4:X58),$AJ$4:$AJ$1000,0)),"")</f>
        <v>43</v>
      </c>
      <c r="Y58" t="str">
        <f>IFERROR(INDEX('01 assessment'!$C$4:$C$1000,MATCH(ROWS($Y$4:Y58),$AJ$4:$AJ$1000,0)),"")</f>
        <v>RETURNED</v>
      </c>
      <c r="Z58">
        <f>IFERROR(INDEX('01 assessment'!$G$4:$G$1000,MATCH(ROWS($Z$4:Z58),$AJ$4:$AJ$1000,0)),"")</f>
        <v>2</v>
      </c>
      <c r="AA58" t="str">
        <f>IFERROR(INDEX('01 assessment'!$H$4:$H$1000,MATCH(ROWS($AA$4:AA58),$AJ$4:$AJ$1000,0)),"")</f>
        <v>LOW</v>
      </c>
      <c r="AB58">
        <f>IFERROR(INDEX('01 assessment'!$B$4:$B$1000,MATCH(ROWS($AB$4:AB58),$AJ$4:$AJ$1000,0)),"")</f>
        <v>46038</v>
      </c>
      <c r="AC58" t="str">
        <f>IFERROR(INDEX('01 assessment'!$I$4:$I$1000,MATCH(ROWS($AC$4:AC58),$AJ$4:$AJ$1000,0)),"")</f>
        <v>RAH01-2026-055</v>
      </c>
      <c r="AD58" t="str">
        <f>IFERROR(INDEX('01 assessment'!$M$4:$M$1000,MATCH(ROWS($AD$4:AD58),$AJ$4:$AJ$1000,0)),"")</f>
        <v>ASM-2026-055</v>
      </c>
      <c r="AG58">
        <f>IF('01 assessment'!$M58="","",1+COUNTIFS('01 assessment'!$L$4:$L$1000,'01 assessment'!$L58,'01 assessment'!$J$4:$J$1000,"&gt;"&amp;'01 assessment'!$J58)+COUNTIFS('01 assessment'!$L$4:$L$1000,'01 assessment'!$L58,'01 assessment'!$J$4:$J$1000,'01 assessment'!$J58,'01 assessment'!$M$4:$M$1000,"&lt;"&amp;'01 assessment'!$M58))</f>
        <v>1</v>
      </c>
      <c r="AH58">
        <f>IF(OR($AG58&lt;&gt;1,'01 assessment'!$M58=""),"",SUMIFS('04 Hazards'!$K$4:$K$1000,'04 Hazards'!$S$4:$S$1000,'01 assessment'!$M58,'04 Hazards'!$R$4:$R$1000,TRUE,'04 Hazards'!$U$4:$U$1000,TRUE))</f>
        <v>10</v>
      </c>
      <c r="AI58">
        <f>IF(OR($AG58&lt;&gt;1,$AH58&lt;=0),"",1+COUNTIFS($AG$4:$AG$1000,1,$AH$4:$AH$1000,"&gt;"&amp;$AH58)+COUNTIFS($AG$4:$AG$1000,1,$AH$4:$AH$1000,$AH58,'01 assessment'!$A$4:$A$1000,"&lt;"&amp;'01 assessment'!$A58))</f>
        <v>67</v>
      </c>
      <c r="AJ58">
        <f>IF('01 assessment'!$M58="","",1+COUNTIFS('01 assessment'!$A$4:$A$1000,"&lt;"&amp;'01 assessment'!$A58,'01 assessment'!$M$4:$M$1000,"&lt;&gt;")+COUNTIFS('01 assessment'!$A$4:$A$1000,'01 assessment'!$A58,'01 assessment'!$B$4:$B$1000,"&gt;"&amp;'01 assessment'!$B58,'01 assessment'!$M$4:$M$1000,"&lt;&gt;")+COUNTIFS('01 assessment'!$A$4:$A$1000,'01 assessment'!$A58,'01 assessment'!$B$4:$B$1000,'01 assessment'!$B58,'01 assessment'!$M$4:$M$1000,"&lt;"&amp;'01 assessment'!$M58))</f>
        <v>55</v>
      </c>
    </row>
    <row r="59" spans="1:36">
      <c r="A59" s="23">
        <v>36</v>
      </c>
      <c r="B59" s="25" t="str">
        <f t="shared" si="9"/>
        <v>Operating Theatre</v>
      </c>
      <c r="C59" s="23">
        <f t="shared" si="10"/>
        <v>26</v>
      </c>
      <c r="D59" s="23" t="str">
        <f t="shared" si="11"/>
        <v>SUBMITTED</v>
      </c>
      <c r="E59" s="23">
        <f t="shared" si="12"/>
        <v>9</v>
      </c>
      <c r="F59" s="23" t="str">
        <f t="shared" si="13"/>
        <v>HIGH</v>
      </c>
      <c r="G59" s="27">
        <f t="shared" si="14"/>
        <v>46182</v>
      </c>
      <c r="H59" s="23" t="str">
        <f t="shared" si="15"/>
        <v>RAH01-2026-036</v>
      </c>
      <c r="I59" s="23" t="str">
        <f t="shared" si="16"/>
        <v>Immediate corrective action</v>
      </c>
      <c r="T59" t="str">
        <f t="shared" si="17"/>
        <v>ASM-2026-036</v>
      </c>
      <c r="W59" t="str">
        <f>IFERROR(INDEX('01 assessment'!$A$4:$A$1000,MATCH(ROWS($W$4:W59),$AJ$4:$AJ$1000,0)),"")</f>
        <v>Trauma Centre</v>
      </c>
      <c r="X59">
        <f>IFERROR(INDEX('01 assessment'!$F$4:$F$1000,MATCH(ROWS($X$4:X59),$AJ$4:$AJ$1000,0)),"")</f>
        <v>50</v>
      </c>
      <c r="Y59" t="str">
        <f>IFERROR(INDEX('01 assessment'!$C$4:$C$1000,MATCH(ROWS($Y$4:Y59),$AJ$4:$AJ$1000,0)),"")</f>
        <v>SUBMITTED</v>
      </c>
      <c r="Z59">
        <f>IFERROR(INDEX('01 assessment'!$G$4:$G$1000,MATCH(ROWS($Z$4:Z59),$AJ$4:$AJ$1000,0)),"")</f>
        <v>2</v>
      </c>
      <c r="AA59" t="str">
        <f>IFERROR(INDEX('01 assessment'!$H$4:$H$1000,MATCH(ROWS($AA$4:AA59),$AJ$4:$AJ$1000,0)),"")</f>
        <v>LOW</v>
      </c>
      <c r="AB59">
        <f>IFERROR(INDEX('01 assessment'!$B$4:$B$1000,MATCH(ROWS($AB$4:AB59),$AJ$4:$AJ$1000,0)),"")</f>
        <v>46072</v>
      </c>
      <c r="AC59" t="str">
        <f>IFERROR(INDEX('01 assessment'!$I$4:$I$1000,MATCH(ROWS($AC$4:AC59),$AJ$4:$AJ$1000,0)),"")</f>
        <v>RAH01-2026-056</v>
      </c>
      <c r="AD59" t="str">
        <f>IFERROR(INDEX('01 assessment'!$M$4:$M$1000,MATCH(ROWS($AD$4:AD59),$AJ$4:$AJ$1000,0)),"")</f>
        <v>ASM-2026-056</v>
      </c>
      <c r="AG59">
        <f>IF('01 assessment'!$M59="","",1+COUNTIFS('01 assessment'!$L$4:$L$1000,'01 assessment'!$L59,'01 assessment'!$J$4:$J$1000,"&gt;"&amp;'01 assessment'!$J59)+COUNTIFS('01 assessment'!$L$4:$L$1000,'01 assessment'!$L59,'01 assessment'!$J$4:$J$1000,'01 assessment'!$J59,'01 assessment'!$M$4:$M$1000,"&lt;"&amp;'01 assessment'!$M59))</f>
        <v>1</v>
      </c>
      <c r="AH59">
        <f>IF(OR($AG59&lt;&gt;1,'01 assessment'!$M59=""),"",SUMIFS('04 Hazards'!$K$4:$K$1000,'04 Hazards'!$S$4:$S$1000,'01 assessment'!$M59,'04 Hazards'!$R$4:$R$1000,TRUE,'04 Hazards'!$U$4:$U$1000,TRUE))</f>
        <v>9</v>
      </c>
      <c r="AI59">
        <f>IF(OR($AG59&lt;&gt;1,$AH59&lt;=0),"",1+COUNTIFS($AG$4:$AG$1000,1,$AH$4:$AH$1000,"&gt;"&amp;$AH59)+COUNTIFS($AG$4:$AG$1000,1,$AH$4:$AH$1000,$AH59,'01 assessment'!$A$4:$A$1000,"&lt;"&amp;'01 assessment'!$A59))</f>
        <v>70</v>
      </c>
      <c r="AJ59">
        <f>IF('01 assessment'!$M59="","",1+COUNTIFS('01 assessment'!$A$4:$A$1000,"&lt;"&amp;'01 assessment'!$A59,'01 assessment'!$M$4:$M$1000,"&lt;&gt;")+COUNTIFS('01 assessment'!$A$4:$A$1000,'01 assessment'!$A59,'01 assessment'!$B$4:$B$1000,"&gt;"&amp;'01 assessment'!$B59,'01 assessment'!$M$4:$M$1000,"&lt;&gt;")+COUNTIFS('01 assessment'!$A$4:$A$1000,'01 assessment'!$A59,'01 assessment'!$B$4:$B$1000,'01 assessment'!$B59,'01 assessment'!$M$4:$M$1000,"&lt;"&amp;'01 assessment'!$M59))</f>
        <v>56</v>
      </c>
    </row>
    <row r="60" spans="1:36">
      <c r="A60" s="23">
        <v>37</v>
      </c>
      <c r="B60" s="25" t="str">
        <f t="shared" si="9"/>
        <v>Orthopaedics</v>
      </c>
      <c r="C60" s="23">
        <f t="shared" si="10"/>
        <v>33</v>
      </c>
      <c r="D60" s="23" t="str">
        <f t="shared" si="11"/>
        <v>IN_REVIEW</v>
      </c>
      <c r="E60" s="23">
        <f t="shared" si="12"/>
        <v>9</v>
      </c>
      <c r="F60" s="23" t="str">
        <f t="shared" si="13"/>
        <v>HIGH</v>
      </c>
      <c r="G60" s="27">
        <f t="shared" si="14"/>
        <v>46034</v>
      </c>
      <c r="H60" s="23" t="str">
        <f t="shared" si="15"/>
        <v>RAH01-2026-037</v>
      </c>
      <c r="I60" s="23" t="str">
        <f t="shared" si="16"/>
        <v>Immediate corrective action</v>
      </c>
      <c r="T60" t="str">
        <f t="shared" si="17"/>
        <v>ASM-2026-037</v>
      </c>
      <c r="W60" t="str">
        <f>IFERROR(INDEX('01 assessment'!$A$4:$A$1000,MATCH(ROWS($W$4:W60),$AJ$4:$AJ$1000,0)),"")</f>
        <v>Urology</v>
      </c>
      <c r="X60">
        <f>IFERROR(INDEX('01 assessment'!$F$4:$F$1000,MATCH(ROWS($X$4:X60),$AJ$4:$AJ$1000,0)),"")</f>
        <v>57</v>
      </c>
      <c r="Y60" t="str">
        <f>IFERROR(INDEX('01 assessment'!$C$4:$C$1000,MATCH(ROWS($Y$4:Y60),$AJ$4:$AJ$1000,0)),"")</f>
        <v>IN_REVIEW</v>
      </c>
      <c r="Z60">
        <f>IFERROR(INDEX('01 assessment'!$G$4:$G$1000,MATCH(ROWS($Z$4:Z60),$AJ$4:$AJ$1000,0)),"")</f>
        <v>4</v>
      </c>
      <c r="AA60" t="str">
        <f>IFERROR(INDEX('01 assessment'!$H$4:$H$1000,MATCH(ROWS($AA$4:AA60),$AJ$4:$AJ$1000,0)),"")</f>
        <v>MEDIUM</v>
      </c>
      <c r="AB60">
        <f>IFERROR(INDEX('01 assessment'!$B$4:$B$1000,MATCH(ROWS($AB$4:AB60),$AJ$4:$AJ$1000,0)),"")</f>
        <v>46103</v>
      </c>
      <c r="AC60" t="str">
        <f>IFERROR(INDEX('01 assessment'!$I$4:$I$1000,MATCH(ROWS($AC$4:AC60),$AJ$4:$AJ$1000,0)),"")</f>
        <v>RAH01-2026-057</v>
      </c>
      <c r="AD60" t="str">
        <f>IFERROR(INDEX('01 assessment'!$M$4:$M$1000,MATCH(ROWS($AD$4:AD60),$AJ$4:$AJ$1000,0)),"")</f>
        <v>ASM-2026-057</v>
      </c>
      <c r="AG60">
        <f>IF('01 assessment'!$M60="","",1+COUNTIFS('01 assessment'!$L$4:$L$1000,'01 assessment'!$L60,'01 assessment'!$J$4:$J$1000,"&gt;"&amp;'01 assessment'!$J60)+COUNTIFS('01 assessment'!$L$4:$L$1000,'01 assessment'!$L60,'01 assessment'!$J$4:$J$1000,'01 assessment'!$J60,'01 assessment'!$M$4:$M$1000,"&lt;"&amp;'01 assessment'!$M60))</f>
        <v>1</v>
      </c>
      <c r="AH60">
        <f>IF(OR($AG60&lt;&gt;1,'01 assessment'!$M60=""),"",SUMIFS('04 Hazards'!$K$4:$K$1000,'04 Hazards'!$S$4:$S$1000,'01 assessment'!$M60,'04 Hazards'!$R$4:$R$1000,TRUE,'04 Hazards'!$U$4:$U$1000,TRUE))</f>
        <v>23</v>
      </c>
      <c r="AI60">
        <f>IF(OR($AG60&lt;&gt;1,$AH60&lt;=0),"",1+COUNTIFS($AG$4:$AG$1000,1,$AH$4:$AH$1000,"&gt;"&amp;$AH60)+COUNTIFS($AG$4:$AG$1000,1,$AH$4:$AH$1000,$AH60,'01 assessment'!$A$4:$A$1000,"&lt;"&amp;'01 assessment'!$A60))</f>
        <v>43</v>
      </c>
      <c r="AJ60">
        <f>IF('01 assessment'!$M60="","",1+COUNTIFS('01 assessment'!$A$4:$A$1000,"&lt;"&amp;'01 assessment'!$A60,'01 assessment'!$M$4:$M$1000,"&lt;&gt;")+COUNTIFS('01 assessment'!$A$4:$A$1000,'01 assessment'!$A60,'01 assessment'!$B$4:$B$1000,"&gt;"&amp;'01 assessment'!$B60,'01 assessment'!$M$4:$M$1000,"&lt;&gt;")+COUNTIFS('01 assessment'!$A$4:$A$1000,'01 assessment'!$A60,'01 assessment'!$B$4:$B$1000,'01 assessment'!$B60,'01 assessment'!$M$4:$M$1000,"&lt;"&amp;'01 assessment'!$M60))</f>
        <v>57</v>
      </c>
    </row>
    <row r="61" spans="1:36">
      <c r="A61" s="23">
        <v>38</v>
      </c>
      <c r="B61" s="25" t="str">
        <f t="shared" si="9"/>
        <v>Outpatient Department</v>
      </c>
      <c r="C61" s="23">
        <f t="shared" si="10"/>
        <v>40</v>
      </c>
      <c r="D61" s="23" t="str">
        <f t="shared" si="11"/>
        <v>CLOSED</v>
      </c>
      <c r="E61" s="23">
        <f t="shared" si="12"/>
        <v>9</v>
      </c>
      <c r="F61" s="23" t="str">
        <f t="shared" si="13"/>
        <v>HIGH</v>
      </c>
      <c r="G61" s="27">
        <f t="shared" si="14"/>
        <v>46068</v>
      </c>
      <c r="H61" s="23" t="str">
        <f t="shared" si="15"/>
        <v>RAH01-2026-038</v>
      </c>
      <c r="I61" s="23" t="str">
        <f t="shared" si="16"/>
        <v>Immediate corrective action</v>
      </c>
      <c r="T61" t="str">
        <f t="shared" si="17"/>
        <v>ASM-2026-038</v>
      </c>
      <c r="W61" t="str">
        <f>IFERROR(INDEX('01 assessment'!$A$4:$A$1000,MATCH(ROWS($W$4:W61),$AJ$4:$AJ$1000,0)),"")</f>
        <v>Vaccination Clinic</v>
      </c>
      <c r="X61">
        <f>IFERROR(INDEX('01 assessment'!$F$4:$F$1000,MATCH(ROWS($X$4:X61),$AJ$4:$AJ$1000,0)),"")</f>
        <v>6</v>
      </c>
      <c r="Y61" t="str">
        <f>IFERROR(INDEX('01 assessment'!$C$4:$C$1000,MATCH(ROWS($Y$4:Y61),$AJ$4:$AJ$1000,0)),"")</f>
        <v>CLOSED</v>
      </c>
      <c r="Z61">
        <f>IFERROR(INDEX('01 assessment'!$G$4:$G$1000,MATCH(ROWS($Z$4:Z61),$AJ$4:$AJ$1000,0)),"")</f>
        <v>9</v>
      </c>
      <c r="AA61" t="str">
        <f>IFERROR(INDEX('01 assessment'!$H$4:$H$1000,MATCH(ROWS($AA$4:AA61),$AJ$4:$AJ$1000,0)),"")</f>
        <v>HIGH</v>
      </c>
      <c r="AB61">
        <f>IFERROR(INDEX('01 assessment'!$B$4:$B$1000,MATCH(ROWS($AB$4:AB61),$AJ$4:$AJ$1000,0)),"")</f>
        <v>46137</v>
      </c>
      <c r="AC61" t="str">
        <f>IFERROR(INDEX('01 assessment'!$I$4:$I$1000,MATCH(ROWS($AC$4:AC61),$AJ$4:$AJ$1000,0)),"")</f>
        <v>RAH01-2026-058</v>
      </c>
      <c r="AD61" t="str">
        <f>IFERROR(INDEX('01 assessment'!$M$4:$M$1000,MATCH(ROWS($AD$4:AD61),$AJ$4:$AJ$1000,0)),"")</f>
        <v>ASM-2026-058</v>
      </c>
      <c r="AG61">
        <f>IF('01 assessment'!$M61="","",1+COUNTIFS('01 assessment'!$L$4:$L$1000,'01 assessment'!$L61,'01 assessment'!$J$4:$J$1000,"&gt;"&amp;'01 assessment'!$J61)+COUNTIFS('01 assessment'!$L$4:$L$1000,'01 assessment'!$L61,'01 assessment'!$J$4:$J$1000,'01 assessment'!$J61,'01 assessment'!$M$4:$M$1000,"&lt;"&amp;'01 assessment'!$M61))</f>
        <v>1</v>
      </c>
      <c r="AH61">
        <f>IF(OR($AG61&lt;&gt;1,'01 assessment'!$M61=""),"",SUMIFS('04 Hazards'!$K$4:$K$1000,'04 Hazards'!$S$4:$S$1000,'01 assessment'!$M61,'04 Hazards'!$R$4:$R$1000,TRUE,'04 Hazards'!$U$4:$U$1000,TRUE))</f>
        <v>63</v>
      </c>
      <c r="AI61">
        <f>IF(OR($AG61&lt;&gt;1,$AH61&lt;=0),"",1+COUNTIFS($AG$4:$AG$1000,1,$AH$4:$AH$1000,"&gt;"&amp;$AH61)+COUNTIFS($AG$4:$AG$1000,1,$AH$4:$AH$1000,$AH61,'01 assessment'!$A$4:$A$1000,"&lt;"&amp;'01 assessment'!$A61))</f>
        <v>2</v>
      </c>
      <c r="AJ61">
        <f>IF('01 assessment'!$M61="","",1+COUNTIFS('01 assessment'!$A$4:$A$1000,"&lt;"&amp;'01 assessment'!$A61,'01 assessment'!$M$4:$M$1000,"&lt;&gt;")+COUNTIFS('01 assessment'!$A$4:$A$1000,'01 assessment'!$A61,'01 assessment'!$B$4:$B$1000,"&gt;"&amp;'01 assessment'!$B61,'01 assessment'!$M$4:$M$1000,"&lt;&gt;")+COUNTIFS('01 assessment'!$A$4:$A$1000,'01 assessment'!$A61,'01 assessment'!$B$4:$B$1000,'01 assessment'!$B61,'01 assessment'!$M$4:$M$1000,"&lt;"&amp;'01 assessment'!$M61))</f>
        <v>58</v>
      </c>
    </row>
    <row r="62" spans="1:36">
      <c r="A62" s="23">
        <v>39</v>
      </c>
      <c r="B62" s="25" t="str">
        <f t="shared" si="9"/>
        <v>Paediatrics</v>
      </c>
      <c r="C62" s="23">
        <f t="shared" si="10"/>
        <v>47</v>
      </c>
      <c r="D62" s="23" t="str">
        <f t="shared" si="11"/>
        <v>CLOSED</v>
      </c>
      <c r="E62" s="23">
        <f t="shared" si="12"/>
        <v>9</v>
      </c>
      <c r="F62" s="23" t="str">
        <f t="shared" si="13"/>
        <v>HIGH</v>
      </c>
      <c r="G62" s="27">
        <f t="shared" si="14"/>
        <v>46099</v>
      </c>
      <c r="H62" s="23" t="str">
        <f t="shared" si="15"/>
        <v>RAH01-2026-039</v>
      </c>
      <c r="I62" s="23" t="str">
        <f t="shared" si="16"/>
        <v>Immediate corrective action</v>
      </c>
      <c r="T62" t="str">
        <f t="shared" si="17"/>
        <v>ASM-2026-039</v>
      </c>
      <c r="W62" t="str">
        <f>IFERROR(INDEX('01 assessment'!$A$4:$A$1000,MATCH(ROWS($W$4:W62),$AJ$4:$AJ$1000,0)),"")</f>
        <v>Ward 1</v>
      </c>
      <c r="X62">
        <f>IFERROR(INDEX('01 assessment'!$F$4:$F$1000,MATCH(ROWS($X$4:X62),$AJ$4:$AJ$1000,0)),"")</f>
        <v>13</v>
      </c>
      <c r="Y62" t="str">
        <f>IFERROR(INDEX('01 assessment'!$C$4:$C$1000,MATCH(ROWS($Y$4:Y62),$AJ$4:$AJ$1000,0)),"")</f>
        <v>CLOSED</v>
      </c>
      <c r="Z62">
        <f>IFERROR(INDEX('01 assessment'!$G$4:$G$1000,MATCH(ROWS($Z$4:Z62),$AJ$4:$AJ$1000,0)),"")</f>
        <v>9</v>
      </c>
      <c r="AA62" t="str">
        <f>IFERROR(INDEX('01 assessment'!$H$4:$H$1000,MATCH(ROWS($AA$4:AA62),$AJ$4:$AJ$1000,0)),"")</f>
        <v>HIGH</v>
      </c>
      <c r="AB62">
        <f>IFERROR(INDEX('01 assessment'!$B$4:$B$1000,MATCH(ROWS($AB$4:AB62),$AJ$4:$AJ$1000,0)),"")</f>
        <v>46145</v>
      </c>
      <c r="AC62" t="str">
        <f>IFERROR(INDEX('01 assessment'!$I$4:$I$1000,MATCH(ROWS($AC$4:AC62),$AJ$4:$AJ$1000,0)),"")</f>
        <v>RAH01-2026-059</v>
      </c>
      <c r="AD62" t="str">
        <f>IFERROR(INDEX('01 assessment'!$M$4:$M$1000,MATCH(ROWS($AD$4:AD62),$AJ$4:$AJ$1000,0)),"")</f>
        <v>ASM-2026-059</v>
      </c>
      <c r="AG62">
        <f>IF('01 assessment'!$M62="","",1+COUNTIFS('01 assessment'!$L$4:$L$1000,'01 assessment'!$L62,'01 assessment'!$J$4:$J$1000,"&gt;"&amp;'01 assessment'!$J62)+COUNTIFS('01 assessment'!$L$4:$L$1000,'01 assessment'!$L62,'01 assessment'!$J$4:$J$1000,'01 assessment'!$J62,'01 assessment'!$M$4:$M$1000,"&lt;"&amp;'01 assessment'!$M62))</f>
        <v>1</v>
      </c>
      <c r="AH62">
        <f>IF(OR($AG62&lt;&gt;1,'01 assessment'!$M62=""),"",SUMIFS('04 Hazards'!$K$4:$K$1000,'04 Hazards'!$S$4:$S$1000,'01 assessment'!$M62,'04 Hazards'!$R$4:$R$1000,TRUE,'04 Hazards'!$U$4:$U$1000,TRUE))</f>
        <v>63</v>
      </c>
      <c r="AI62">
        <f>IF(OR($AG62&lt;&gt;1,$AH62&lt;=0),"",1+COUNTIFS($AG$4:$AG$1000,1,$AH$4:$AH$1000,"&gt;"&amp;$AH62)+COUNTIFS($AG$4:$AG$1000,1,$AH$4:$AH$1000,$AH62,'01 assessment'!$A$4:$A$1000,"&lt;"&amp;'01 assessment'!$A62))</f>
        <v>3</v>
      </c>
      <c r="AJ62">
        <f>IF('01 assessment'!$M62="","",1+COUNTIFS('01 assessment'!$A$4:$A$1000,"&lt;"&amp;'01 assessment'!$A62,'01 assessment'!$M$4:$M$1000,"&lt;&gt;")+COUNTIFS('01 assessment'!$A$4:$A$1000,'01 assessment'!$A62,'01 assessment'!$B$4:$B$1000,"&gt;"&amp;'01 assessment'!$B62,'01 assessment'!$M$4:$M$1000,"&lt;&gt;")+COUNTIFS('01 assessment'!$A$4:$A$1000,'01 assessment'!$A62,'01 assessment'!$B$4:$B$1000,'01 assessment'!$B62,'01 assessment'!$M$4:$M$1000,"&lt;"&amp;'01 assessment'!$M62))</f>
        <v>59</v>
      </c>
    </row>
    <row r="63" spans="1:36">
      <c r="A63" s="23">
        <v>40</v>
      </c>
      <c r="B63" s="25" t="str">
        <f t="shared" si="9"/>
        <v>Pathology</v>
      </c>
      <c r="C63" s="23">
        <f t="shared" si="10"/>
        <v>54</v>
      </c>
      <c r="D63" s="23" t="str">
        <f t="shared" si="11"/>
        <v>RETURNED</v>
      </c>
      <c r="E63" s="23">
        <f t="shared" si="12"/>
        <v>9</v>
      </c>
      <c r="F63" s="23" t="str">
        <f t="shared" si="13"/>
        <v>HIGH</v>
      </c>
      <c r="G63" s="27">
        <f t="shared" si="14"/>
        <v>46133</v>
      </c>
      <c r="H63" s="23" t="str">
        <f t="shared" si="15"/>
        <v>RAH01-2026-040</v>
      </c>
      <c r="I63" s="23" t="str">
        <f t="shared" si="16"/>
        <v>Immediate corrective action</v>
      </c>
      <c r="T63" t="str">
        <f t="shared" si="17"/>
        <v>ASM-2026-040</v>
      </c>
      <c r="W63" t="str">
        <f>IFERROR(INDEX('01 assessment'!$A$4:$A$1000,MATCH(ROWS($W$4:W63),$AJ$4:$AJ$1000,0)),"")</f>
        <v>Ward 10</v>
      </c>
      <c r="X63">
        <f>IFERROR(INDEX('01 assessment'!$F$4:$F$1000,MATCH(ROWS($X$4:X63),$AJ$4:$AJ$1000,0)),"")</f>
        <v>18</v>
      </c>
      <c r="Y63" t="str">
        <f>IFERROR(INDEX('01 assessment'!$C$4:$C$1000,MATCH(ROWS($Y$4:Y63),$AJ$4:$AJ$1000,0)),"")</f>
        <v>CLOSED</v>
      </c>
      <c r="Z63">
        <f>IFERROR(INDEX('01 assessment'!$G$4:$G$1000,MATCH(ROWS($Z$4:Z63),$AJ$4:$AJ$1000,0)),"")</f>
        <v>9</v>
      </c>
      <c r="AA63" t="str">
        <f>IFERROR(INDEX('01 assessment'!$H$4:$H$1000,MATCH(ROWS($AA$4:AA63),$AJ$4:$AJ$1000,0)),"")</f>
        <v>HIGH</v>
      </c>
      <c r="AB63">
        <f>IFERROR(INDEX('01 assessment'!$B$4:$B$1000,MATCH(ROWS($AB$4:AB63),$AJ$4:$AJ$1000,0)),"")</f>
        <v>46058</v>
      </c>
      <c r="AC63" t="str">
        <f>IFERROR(INDEX('01 assessment'!$I$4:$I$1000,MATCH(ROWS($AC$4:AC63),$AJ$4:$AJ$1000,0)),"")</f>
        <v>RAH01-2026-068</v>
      </c>
      <c r="AD63" t="str">
        <f>IFERROR(INDEX('01 assessment'!$M$4:$M$1000,MATCH(ROWS($AD$4:AD63),$AJ$4:$AJ$1000,0)),"")</f>
        <v>ASM-2026-068</v>
      </c>
      <c r="AG63">
        <f>IF('01 assessment'!$M63="","",1+COUNTIFS('01 assessment'!$L$4:$L$1000,'01 assessment'!$L63,'01 assessment'!$J$4:$J$1000,"&gt;"&amp;'01 assessment'!$J63)+COUNTIFS('01 assessment'!$L$4:$L$1000,'01 assessment'!$L63,'01 assessment'!$J$4:$J$1000,'01 assessment'!$J63,'01 assessment'!$M$4:$M$1000,"&lt;"&amp;'01 assessment'!$M63))</f>
        <v>1</v>
      </c>
      <c r="AH63">
        <f>IF(OR($AG63&lt;&gt;1,'01 assessment'!$M63=""),"",SUMIFS('04 Hazards'!$K$4:$K$1000,'04 Hazards'!$S$4:$S$1000,'01 assessment'!$M63,'04 Hazards'!$R$4:$R$1000,TRUE,'04 Hazards'!$U$4:$U$1000,TRUE))</f>
        <v>51</v>
      </c>
      <c r="AI63">
        <f>IF(OR($AG63&lt;&gt;1,$AH63&lt;=0),"",1+COUNTIFS($AG$4:$AG$1000,1,$AH$4:$AH$1000,"&gt;"&amp;$AH63)+COUNTIFS($AG$4:$AG$1000,1,$AH$4:$AH$1000,$AH63,'01 assessment'!$A$4:$A$1000,"&lt;"&amp;'01 assessment'!$A63))</f>
        <v>25</v>
      </c>
      <c r="AJ63">
        <f>IF('01 assessment'!$M63="","",1+COUNTIFS('01 assessment'!$A$4:$A$1000,"&lt;"&amp;'01 assessment'!$A63,'01 assessment'!$M$4:$M$1000,"&lt;&gt;")+COUNTIFS('01 assessment'!$A$4:$A$1000,'01 assessment'!$A63,'01 assessment'!$B$4:$B$1000,"&gt;"&amp;'01 assessment'!$B63,'01 assessment'!$M$4:$M$1000,"&lt;&gt;")+COUNTIFS('01 assessment'!$A$4:$A$1000,'01 assessment'!$A63,'01 assessment'!$B$4:$B$1000,'01 assessment'!$B63,'01 assessment'!$M$4:$M$1000,"&lt;"&amp;'01 assessment'!$M63))</f>
        <v>60</v>
      </c>
    </row>
    <row r="64" spans="1:36">
      <c r="A64" s="23">
        <v>41</v>
      </c>
      <c r="B64" s="25" t="str">
        <f t="shared" si="9"/>
        <v>Pharmacy</v>
      </c>
      <c r="C64" s="23">
        <f t="shared" si="10"/>
        <v>61</v>
      </c>
      <c r="D64" s="23" t="str">
        <f t="shared" si="11"/>
        <v>SUBMITTED</v>
      </c>
      <c r="E64" s="23">
        <f t="shared" si="12"/>
        <v>9</v>
      </c>
      <c r="F64" s="23" t="str">
        <f t="shared" si="13"/>
        <v>HIGH</v>
      </c>
      <c r="G64" s="27">
        <f t="shared" si="14"/>
        <v>46166</v>
      </c>
      <c r="H64" s="23" t="str">
        <f t="shared" si="15"/>
        <v>RAH01-2026-041</v>
      </c>
      <c r="I64" s="23" t="str">
        <f t="shared" si="16"/>
        <v>Immediate corrective action</v>
      </c>
      <c r="T64" t="str">
        <f t="shared" si="17"/>
        <v>ASM-2026-041</v>
      </c>
      <c r="W64" t="str">
        <f>IFERROR(INDEX('01 assessment'!$A$4:$A$1000,MATCH(ROWS($W$4:W64),$AJ$4:$AJ$1000,0)),"")</f>
        <v>Ward 2</v>
      </c>
      <c r="X64">
        <f>IFERROR(INDEX('01 assessment'!$F$4:$F$1000,MATCH(ROWS($X$4:X64),$AJ$4:$AJ$1000,0)),"")</f>
        <v>20</v>
      </c>
      <c r="Y64" t="str">
        <f>IFERROR(INDEX('01 assessment'!$C$4:$C$1000,MATCH(ROWS($Y$4:Y64),$AJ$4:$AJ$1000,0)),"")</f>
        <v>RETURNED</v>
      </c>
      <c r="Z64">
        <f>IFERROR(INDEX('01 assessment'!$G$4:$G$1000,MATCH(ROWS($Z$4:Z64),$AJ$4:$AJ$1000,0)),"")</f>
        <v>9</v>
      </c>
      <c r="AA64" t="str">
        <f>IFERROR(INDEX('01 assessment'!$H$4:$H$1000,MATCH(ROWS($AA$4:AA64),$AJ$4:$AJ$1000,0)),"")</f>
        <v>HIGH</v>
      </c>
      <c r="AB64">
        <f>IFERROR(INDEX('01 assessment'!$B$4:$B$1000,MATCH(ROWS($AB$4:AB64),$AJ$4:$AJ$1000,0)),"")</f>
        <v>46179</v>
      </c>
      <c r="AC64" t="str">
        <f>IFERROR(INDEX('01 assessment'!$I$4:$I$1000,MATCH(ROWS($AC$4:AC64),$AJ$4:$AJ$1000,0)),"")</f>
        <v>RAH01-2026-060</v>
      </c>
      <c r="AD64" t="str">
        <f>IFERROR(INDEX('01 assessment'!$M$4:$M$1000,MATCH(ROWS($AD$4:AD64),$AJ$4:$AJ$1000,0)),"")</f>
        <v>ASM-2026-060</v>
      </c>
      <c r="AG64">
        <f>IF('01 assessment'!$M64="","",1+COUNTIFS('01 assessment'!$L$4:$L$1000,'01 assessment'!$L64,'01 assessment'!$J$4:$J$1000,"&gt;"&amp;'01 assessment'!$J64)+COUNTIFS('01 assessment'!$L$4:$L$1000,'01 assessment'!$L64,'01 assessment'!$J$4:$J$1000,'01 assessment'!$J64,'01 assessment'!$M$4:$M$1000,"&lt;"&amp;'01 assessment'!$M64))</f>
        <v>1</v>
      </c>
      <c r="AH64">
        <f>IF(OR($AG64&lt;&gt;1,'01 assessment'!$M64=""),"",SUMIFS('04 Hazards'!$K$4:$K$1000,'04 Hazards'!$S$4:$S$1000,'01 assessment'!$M64,'04 Hazards'!$R$4:$R$1000,TRUE,'04 Hazards'!$U$4:$U$1000,TRUE))</f>
        <v>57</v>
      </c>
      <c r="AI64">
        <f>IF(OR($AG64&lt;&gt;1,$AH64&lt;=0),"",1+COUNTIFS($AG$4:$AG$1000,1,$AH$4:$AH$1000,"&gt;"&amp;$AH64)+COUNTIFS($AG$4:$AG$1000,1,$AH$4:$AH$1000,$AH64,'01 assessment'!$A$4:$A$1000,"&lt;"&amp;'01 assessment'!$A64))</f>
        <v>11</v>
      </c>
      <c r="AJ64">
        <f>IF('01 assessment'!$M64="","",1+COUNTIFS('01 assessment'!$A$4:$A$1000,"&lt;"&amp;'01 assessment'!$A64,'01 assessment'!$M$4:$M$1000,"&lt;&gt;")+COUNTIFS('01 assessment'!$A$4:$A$1000,'01 assessment'!$A64,'01 assessment'!$B$4:$B$1000,"&gt;"&amp;'01 assessment'!$B64,'01 assessment'!$M$4:$M$1000,"&lt;&gt;")+COUNTIFS('01 assessment'!$A$4:$A$1000,'01 assessment'!$A64,'01 assessment'!$B$4:$B$1000,'01 assessment'!$B64,'01 assessment'!$M$4:$M$1000,"&lt;"&amp;'01 assessment'!$M64))</f>
        <v>61</v>
      </c>
    </row>
    <row r="65" spans="1:36">
      <c r="A65" s="23">
        <v>42</v>
      </c>
      <c r="B65" s="25" t="str">
        <f t="shared" si="9"/>
        <v>Physical Therapy</v>
      </c>
      <c r="C65" s="23">
        <f t="shared" si="10"/>
        <v>10</v>
      </c>
      <c r="D65" s="23" t="str">
        <f t="shared" si="11"/>
        <v>IN_REVIEW</v>
      </c>
      <c r="E65" s="23">
        <f t="shared" si="12"/>
        <v>4</v>
      </c>
      <c r="F65" s="23" t="str">
        <f t="shared" si="13"/>
        <v>MEDIUM</v>
      </c>
      <c r="G65" s="27">
        <f t="shared" si="14"/>
        <v>46175</v>
      </c>
      <c r="H65" s="23" t="str">
        <f t="shared" si="15"/>
        <v>RAH01-2026-042</v>
      </c>
      <c r="I65" s="23" t="str">
        <f t="shared" si="16"/>
        <v>Document improvement plan</v>
      </c>
      <c r="T65" t="str">
        <f t="shared" si="17"/>
        <v>ASM-2026-042</v>
      </c>
      <c r="W65" t="str">
        <f>IFERROR(INDEX('01 assessment'!$A$4:$A$1000,MATCH(ROWS($W$4:W65),$AJ$4:$AJ$1000,0)),"")</f>
        <v>Ward 3</v>
      </c>
      <c r="X65">
        <f>IFERROR(INDEX('01 assessment'!$F$4:$F$1000,MATCH(ROWS($X$4:X65),$AJ$4:$AJ$1000,0)),"")</f>
        <v>27</v>
      </c>
      <c r="Y65" t="str">
        <f>IFERROR(INDEX('01 assessment'!$C$4:$C$1000,MATCH(ROWS($Y$4:Y65),$AJ$4:$AJ$1000,0)),"")</f>
        <v>SUBMITTED</v>
      </c>
      <c r="Z65">
        <f>IFERROR(INDEX('01 assessment'!$G$4:$G$1000,MATCH(ROWS($Z$4:Z65),$AJ$4:$AJ$1000,0)),"")</f>
        <v>9</v>
      </c>
      <c r="AA65" t="str">
        <f>IFERROR(INDEX('01 assessment'!$H$4:$H$1000,MATCH(ROWS($AA$4:AA65),$AJ$4:$AJ$1000,0)),"")</f>
        <v>HIGH</v>
      </c>
      <c r="AB65">
        <f>IFERROR(INDEX('01 assessment'!$B$4:$B$1000,MATCH(ROWS($AB$4:AB65),$AJ$4:$AJ$1000,0)),"")</f>
        <v>46031</v>
      </c>
      <c r="AC65" t="str">
        <f>IFERROR(INDEX('01 assessment'!$I$4:$I$1000,MATCH(ROWS($AC$4:AC65),$AJ$4:$AJ$1000,0)),"")</f>
        <v>RAH01-2026-061</v>
      </c>
      <c r="AD65" t="str">
        <f>IFERROR(INDEX('01 assessment'!$M$4:$M$1000,MATCH(ROWS($AD$4:AD65),$AJ$4:$AJ$1000,0)),"")</f>
        <v>ASM-2026-061</v>
      </c>
      <c r="AG65">
        <f>IF('01 assessment'!$M65="","",1+COUNTIFS('01 assessment'!$L$4:$L$1000,'01 assessment'!$L65,'01 assessment'!$J$4:$J$1000,"&gt;"&amp;'01 assessment'!$J65)+COUNTIFS('01 assessment'!$L$4:$L$1000,'01 assessment'!$L65,'01 assessment'!$J$4:$J$1000,'01 assessment'!$J65,'01 assessment'!$M$4:$M$1000,"&lt;"&amp;'01 assessment'!$M65))</f>
        <v>1</v>
      </c>
      <c r="AH65">
        <f>IF(OR($AG65&lt;&gt;1,'01 assessment'!$M65=""),"",SUMIFS('04 Hazards'!$K$4:$K$1000,'04 Hazards'!$S$4:$S$1000,'01 assessment'!$M65,'04 Hazards'!$R$4:$R$1000,TRUE,'04 Hazards'!$U$4:$U$1000,TRUE))</f>
        <v>48</v>
      </c>
      <c r="AI65">
        <f>IF(OR($AG65&lt;&gt;1,$AH65&lt;=0),"",1+COUNTIFS($AG$4:$AG$1000,1,$AH$4:$AH$1000,"&gt;"&amp;$AH65)+COUNTIFS($AG$4:$AG$1000,1,$AH$4:$AH$1000,$AH65,'01 assessment'!$A$4:$A$1000,"&lt;"&amp;'01 assessment'!$A65))</f>
        <v>31</v>
      </c>
      <c r="AJ65">
        <f>IF('01 assessment'!$M65="","",1+COUNTIFS('01 assessment'!$A$4:$A$1000,"&lt;"&amp;'01 assessment'!$A65,'01 assessment'!$M$4:$M$1000,"&lt;&gt;")+COUNTIFS('01 assessment'!$A$4:$A$1000,'01 assessment'!$A65,'01 assessment'!$B$4:$B$1000,"&gt;"&amp;'01 assessment'!$B65,'01 assessment'!$M$4:$M$1000,"&lt;&gt;")+COUNTIFS('01 assessment'!$A$4:$A$1000,'01 assessment'!$A65,'01 assessment'!$B$4:$B$1000,'01 assessment'!$B65,'01 assessment'!$M$4:$M$1000,"&lt;"&amp;'01 assessment'!$M65))</f>
        <v>62</v>
      </c>
    </row>
    <row r="66" spans="1:36">
      <c r="A66" s="23">
        <v>43</v>
      </c>
      <c r="B66" s="25" t="str">
        <f t="shared" si="9"/>
        <v>Plastic Surgery</v>
      </c>
      <c r="C66" s="23">
        <f t="shared" si="10"/>
        <v>17</v>
      </c>
      <c r="D66" s="23" t="str">
        <f t="shared" si="11"/>
        <v>CLOSED</v>
      </c>
      <c r="E66" s="23">
        <f t="shared" si="12"/>
        <v>9</v>
      </c>
      <c r="F66" s="23" t="str">
        <f t="shared" si="13"/>
        <v>HIGH</v>
      </c>
      <c r="G66" s="27">
        <f t="shared" si="14"/>
        <v>46027</v>
      </c>
      <c r="H66" s="23" t="str">
        <f t="shared" si="15"/>
        <v>RAH01-2026-043</v>
      </c>
      <c r="I66" s="23" t="str">
        <f t="shared" si="16"/>
        <v>Immediate corrective action</v>
      </c>
      <c r="T66" t="str">
        <f t="shared" si="17"/>
        <v>ASM-2026-043</v>
      </c>
      <c r="W66" t="str">
        <f>IFERROR(INDEX('01 assessment'!$A$4:$A$1000,MATCH(ROWS($W$4:W66),$AJ$4:$AJ$1000,0)),"")</f>
        <v>Ward 4</v>
      </c>
      <c r="X66">
        <f>IFERROR(INDEX('01 assessment'!$F$4:$F$1000,MATCH(ROWS($X$4:X66),$AJ$4:$AJ$1000,0)),"")</f>
        <v>34</v>
      </c>
      <c r="Y66" t="str">
        <f>IFERROR(INDEX('01 assessment'!$C$4:$C$1000,MATCH(ROWS($Y$4:Y66),$AJ$4:$AJ$1000,0)),"")</f>
        <v>IN_REVIEW</v>
      </c>
      <c r="Z66">
        <f>IFERROR(INDEX('01 assessment'!$G$4:$G$1000,MATCH(ROWS($Z$4:Z66),$AJ$4:$AJ$1000,0)),"")</f>
        <v>9</v>
      </c>
      <c r="AA66" t="str">
        <f>IFERROR(INDEX('01 assessment'!$H$4:$H$1000,MATCH(ROWS($AA$4:AA66),$AJ$4:$AJ$1000,0)),"")</f>
        <v>HIGH</v>
      </c>
      <c r="AB66">
        <f>IFERROR(INDEX('01 assessment'!$B$4:$B$1000,MATCH(ROWS($AB$4:AB66),$AJ$4:$AJ$1000,0)),"")</f>
        <v>46065</v>
      </c>
      <c r="AC66" t="str">
        <f>IFERROR(INDEX('01 assessment'!$I$4:$I$1000,MATCH(ROWS($AC$4:AC66),$AJ$4:$AJ$1000,0)),"")</f>
        <v>RAH01-2026-062</v>
      </c>
      <c r="AD66" t="str">
        <f>IFERROR(INDEX('01 assessment'!$M$4:$M$1000,MATCH(ROWS($AD$4:AD66),$AJ$4:$AJ$1000,0)),"")</f>
        <v>ASM-2026-062</v>
      </c>
      <c r="AG66">
        <f>IF('01 assessment'!$M66="","",1+COUNTIFS('01 assessment'!$L$4:$L$1000,'01 assessment'!$L66,'01 assessment'!$J$4:$J$1000,"&gt;"&amp;'01 assessment'!$J66)+COUNTIFS('01 assessment'!$L$4:$L$1000,'01 assessment'!$L66,'01 assessment'!$J$4:$J$1000,'01 assessment'!$J66,'01 assessment'!$M$4:$M$1000,"&lt;"&amp;'01 assessment'!$M66))</f>
        <v>1</v>
      </c>
      <c r="AH66">
        <f>IF(OR($AG66&lt;&gt;1,'01 assessment'!$M66=""),"",SUMIFS('04 Hazards'!$K$4:$K$1000,'04 Hazards'!$S$4:$S$1000,'01 assessment'!$M66,'04 Hazards'!$R$4:$R$1000,TRUE,'04 Hazards'!$U$4:$U$1000,TRUE))</f>
        <v>57</v>
      </c>
      <c r="AI66">
        <f>IF(OR($AG66&lt;&gt;1,$AH66&lt;=0),"",1+COUNTIFS($AG$4:$AG$1000,1,$AH$4:$AH$1000,"&gt;"&amp;$AH66)+COUNTIFS($AG$4:$AG$1000,1,$AH$4:$AH$1000,$AH66,'01 assessment'!$A$4:$A$1000,"&lt;"&amp;'01 assessment'!$A66))</f>
        <v>12</v>
      </c>
      <c r="AJ66">
        <f>IF('01 assessment'!$M66="","",1+COUNTIFS('01 assessment'!$A$4:$A$1000,"&lt;"&amp;'01 assessment'!$A66,'01 assessment'!$M$4:$M$1000,"&lt;&gt;")+COUNTIFS('01 assessment'!$A$4:$A$1000,'01 assessment'!$A66,'01 assessment'!$B$4:$B$1000,"&gt;"&amp;'01 assessment'!$B66,'01 assessment'!$M$4:$M$1000,"&lt;&gt;")+COUNTIFS('01 assessment'!$A$4:$A$1000,'01 assessment'!$A66,'01 assessment'!$B$4:$B$1000,'01 assessment'!$B66,'01 assessment'!$M$4:$M$1000,"&lt;"&amp;'01 assessment'!$M66))</f>
        <v>63</v>
      </c>
    </row>
    <row r="67" spans="1:36">
      <c r="A67" s="23">
        <v>44</v>
      </c>
      <c r="B67" s="25" t="str">
        <f t="shared" si="9"/>
        <v>Psychiatry</v>
      </c>
      <c r="C67" s="23">
        <f t="shared" si="10"/>
        <v>24</v>
      </c>
      <c r="D67" s="23" t="str">
        <f t="shared" si="11"/>
        <v>CLOSED</v>
      </c>
      <c r="E67" s="23">
        <f t="shared" si="12"/>
        <v>2</v>
      </c>
      <c r="F67" s="23" t="str">
        <f t="shared" si="13"/>
        <v>LOW</v>
      </c>
      <c r="G67" s="27">
        <f t="shared" si="14"/>
        <v>46061</v>
      </c>
      <c r="H67" s="23" t="str">
        <f t="shared" si="15"/>
        <v>RAH01-2026-044</v>
      </c>
      <c r="I67" s="23" t="str">
        <f t="shared" si="16"/>
        <v>Maintain controls</v>
      </c>
      <c r="T67" t="str">
        <f t="shared" si="17"/>
        <v>ASM-2026-044</v>
      </c>
      <c r="W67" t="str">
        <f>IFERROR(INDEX('01 assessment'!$A$4:$A$1000,MATCH(ROWS($W$4:W67),$AJ$4:$AJ$1000,0)),"")</f>
        <v>Ward 5</v>
      </c>
      <c r="X67">
        <f>IFERROR(INDEX('01 assessment'!$F$4:$F$1000,MATCH(ROWS($X$4:X67),$AJ$4:$AJ$1000,0)),"")</f>
        <v>41</v>
      </c>
      <c r="Y67" t="str">
        <f>IFERROR(INDEX('01 assessment'!$C$4:$C$1000,MATCH(ROWS($Y$4:Y67),$AJ$4:$AJ$1000,0)),"")</f>
        <v>CLOSED</v>
      </c>
      <c r="Z67">
        <f>IFERROR(INDEX('01 assessment'!$G$4:$G$1000,MATCH(ROWS($Z$4:Z67),$AJ$4:$AJ$1000,0)),"")</f>
        <v>4</v>
      </c>
      <c r="AA67" t="str">
        <f>IFERROR(INDEX('01 assessment'!$H$4:$H$1000,MATCH(ROWS($AA$4:AA67),$AJ$4:$AJ$1000,0)),"")</f>
        <v>MEDIUM</v>
      </c>
      <c r="AB67">
        <f>IFERROR(INDEX('01 assessment'!$B$4:$B$1000,MATCH(ROWS($AB$4:AB67),$AJ$4:$AJ$1000,0)),"")</f>
        <v>46096</v>
      </c>
      <c r="AC67" t="str">
        <f>IFERROR(INDEX('01 assessment'!$I$4:$I$1000,MATCH(ROWS($AC$4:AC67),$AJ$4:$AJ$1000,0)),"")</f>
        <v>RAH01-2026-063</v>
      </c>
      <c r="AD67" t="str">
        <f>IFERROR(INDEX('01 assessment'!$M$4:$M$1000,MATCH(ROWS($AD$4:AD67),$AJ$4:$AJ$1000,0)),"")</f>
        <v>ASM-2026-063</v>
      </c>
      <c r="AG67">
        <f>IF('01 assessment'!$M67="","",1+COUNTIFS('01 assessment'!$L$4:$L$1000,'01 assessment'!$L67,'01 assessment'!$J$4:$J$1000,"&gt;"&amp;'01 assessment'!$J67)+COUNTIFS('01 assessment'!$L$4:$L$1000,'01 assessment'!$L67,'01 assessment'!$J$4:$J$1000,'01 assessment'!$J67,'01 assessment'!$M$4:$M$1000,"&lt;"&amp;'01 assessment'!$M67))</f>
        <v>1</v>
      </c>
      <c r="AH67">
        <f>IF(OR($AG67&lt;&gt;1,'01 assessment'!$M67=""),"",SUMIFS('04 Hazards'!$K$4:$K$1000,'04 Hazards'!$S$4:$S$1000,'01 assessment'!$M67,'04 Hazards'!$R$4:$R$1000,TRUE,'04 Hazards'!$U$4:$U$1000,TRUE))</f>
        <v>23</v>
      </c>
      <c r="AI67">
        <f>IF(OR($AG67&lt;&gt;1,$AH67&lt;=0),"",1+COUNTIFS($AG$4:$AG$1000,1,$AH$4:$AH$1000,"&gt;"&amp;$AH67)+COUNTIFS($AG$4:$AG$1000,1,$AH$4:$AH$1000,$AH67,'01 assessment'!$A$4:$A$1000,"&lt;"&amp;'01 assessment'!$A67))</f>
        <v>44</v>
      </c>
      <c r="AJ67">
        <f>IF('01 assessment'!$M67="","",1+COUNTIFS('01 assessment'!$A$4:$A$1000,"&lt;"&amp;'01 assessment'!$A67,'01 assessment'!$M$4:$M$1000,"&lt;&gt;")+COUNTIFS('01 assessment'!$A$4:$A$1000,'01 assessment'!$A67,'01 assessment'!$B$4:$B$1000,"&gt;"&amp;'01 assessment'!$B67,'01 assessment'!$M$4:$M$1000,"&lt;&gt;")+COUNTIFS('01 assessment'!$A$4:$A$1000,'01 assessment'!$A67,'01 assessment'!$B$4:$B$1000,'01 assessment'!$B67,'01 assessment'!$M$4:$M$1000,"&lt;"&amp;'01 assessment'!$M67))</f>
        <v>64</v>
      </c>
    </row>
    <row r="68" spans="1:36">
      <c r="A68" s="23">
        <v>45</v>
      </c>
      <c r="B68" s="25" t="str">
        <f t="shared" si="9"/>
        <v>Quality Improvement</v>
      </c>
      <c r="C68" s="23">
        <f t="shared" si="10"/>
        <v>31</v>
      </c>
      <c r="D68" s="23" t="str">
        <f t="shared" si="11"/>
        <v>RETURNED</v>
      </c>
      <c r="E68" s="23">
        <f t="shared" si="12"/>
        <v>4</v>
      </c>
      <c r="F68" s="23" t="str">
        <f t="shared" si="13"/>
        <v>MEDIUM</v>
      </c>
      <c r="G68" s="27">
        <f t="shared" si="14"/>
        <v>46092</v>
      </c>
      <c r="H68" s="23" t="str">
        <f t="shared" si="15"/>
        <v>RAH01-2026-045</v>
      </c>
      <c r="I68" s="23" t="str">
        <f t="shared" si="16"/>
        <v>Document improvement plan</v>
      </c>
      <c r="T68" t="str">
        <f t="shared" si="17"/>
        <v>ASM-2026-045</v>
      </c>
      <c r="W68" t="str">
        <f>IFERROR(INDEX('01 assessment'!$A$4:$A$1000,MATCH(ROWS($W$4:W68),$AJ$4:$AJ$1000,0)),"")</f>
        <v>Ward 6</v>
      </c>
      <c r="X68">
        <f>IFERROR(INDEX('01 assessment'!$F$4:$F$1000,MATCH(ROWS($X$4:X68),$AJ$4:$AJ$1000,0)),"")</f>
        <v>48</v>
      </c>
      <c r="Y68" t="str">
        <f>IFERROR(INDEX('01 assessment'!$C$4:$C$1000,MATCH(ROWS($Y$4:Y68),$AJ$4:$AJ$1000,0)),"")</f>
        <v>CLOSED</v>
      </c>
      <c r="Z68">
        <f>IFERROR(INDEX('01 assessment'!$G$4:$G$1000,MATCH(ROWS($Z$4:Z68),$AJ$4:$AJ$1000,0)),"")</f>
        <v>9</v>
      </c>
      <c r="AA68" t="str">
        <f>IFERROR(INDEX('01 assessment'!$H$4:$H$1000,MATCH(ROWS($AA$4:AA68),$AJ$4:$AJ$1000,0)),"")</f>
        <v>HIGH</v>
      </c>
      <c r="AB68">
        <f>IFERROR(INDEX('01 assessment'!$B$4:$B$1000,MATCH(ROWS($AB$4:AB68),$AJ$4:$AJ$1000,0)),"")</f>
        <v>46130</v>
      </c>
      <c r="AC68" t="str">
        <f>IFERROR(INDEX('01 assessment'!$I$4:$I$1000,MATCH(ROWS($AC$4:AC68),$AJ$4:$AJ$1000,0)),"")</f>
        <v>RAH01-2026-064</v>
      </c>
      <c r="AD68" t="str">
        <f>IFERROR(INDEX('01 assessment'!$M$4:$M$1000,MATCH(ROWS($AD$4:AD68),$AJ$4:$AJ$1000,0)),"")</f>
        <v>ASM-2026-064</v>
      </c>
      <c r="AG68">
        <f>IF('01 assessment'!$M68="","",1+COUNTIFS('01 assessment'!$L$4:$L$1000,'01 assessment'!$L68,'01 assessment'!$J$4:$J$1000,"&gt;"&amp;'01 assessment'!$J68)+COUNTIFS('01 assessment'!$L$4:$L$1000,'01 assessment'!$L68,'01 assessment'!$J$4:$J$1000,'01 assessment'!$J68,'01 assessment'!$M$4:$M$1000,"&lt;"&amp;'01 assessment'!$M68))</f>
        <v>1</v>
      </c>
      <c r="AH68">
        <f>IF(OR($AG68&lt;&gt;1,'01 assessment'!$M68=""),"",SUMIFS('04 Hazards'!$K$4:$K$1000,'04 Hazards'!$S$4:$S$1000,'01 assessment'!$M68,'04 Hazards'!$R$4:$R$1000,TRUE,'04 Hazards'!$U$4:$U$1000,TRUE))</f>
        <v>54</v>
      </c>
      <c r="AI68">
        <f>IF(OR($AG68&lt;&gt;1,$AH68&lt;=0),"",1+COUNTIFS($AG$4:$AG$1000,1,$AH$4:$AH$1000,"&gt;"&amp;$AH68)+COUNTIFS($AG$4:$AG$1000,1,$AH$4:$AH$1000,$AH68,'01 assessment'!$A$4:$A$1000,"&lt;"&amp;'01 assessment'!$A68))</f>
        <v>21</v>
      </c>
      <c r="AJ68">
        <f>IF('01 assessment'!$M68="","",1+COUNTIFS('01 assessment'!$A$4:$A$1000,"&lt;"&amp;'01 assessment'!$A68,'01 assessment'!$M$4:$M$1000,"&lt;&gt;")+COUNTIFS('01 assessment'!$A$4:$A$1000,'01 assessment'!$A68,'01 assessment'!$B$4:$B$1000,"&gt;"&amp;'01 assessment'!$B68,'01 assessment'!$M$4:$M$1000,"&lt;&gt;")+COUNTIFS('01 assessment'!$A$4:$A$1000,'01 assessment'!$A68,'01 assessment'!$B$4:$B$1000,'01 assessment'!$B68,'01 assessment'!$M$4:$M$1000,"&lt;"&amp;'01 assessment'!$M68))</f>
        <v>65</v>
      </c>
    </row>
    <row r="69" spans="1:36">
      <c r="A69" s="23">
        <v>46</v>
      </c>
      <c r="B69" s="25" t="str">
        <f t="shared" si="9"/>
        <v>Radiotherapy</v>
      </c>
      <c r="C69" s="23">
        <f t="shared" si="10"/>
        <v>38</v>
      </c>
      <c r="D69" s="23" t="str">
        <f t="shared" si="11"/>
        <v>SUBMITTED</v>
      </c>
      <c r="E69" s="23">
        <f t="shared" si="12"/>
        <v>2</v>
      </c>
      <c r="F69" s="23" t="str">
        <f t="shared" si="13"/>
        <v>LOW</v>
      </c>
      <c r="G69" s="27">
        <f t="shared" si="14"/>
        <v>46126</v>
      </c>
      <c r="H69" s="23" t="str">
        <f t="shared" si="15"/>
        <v>RAH01-2026-046</v>
      </c>
      <c r="I69" s="23" t="str">
        <f t="shared" si="16"/>
        <v>Maintain controls</v>
      </c>
      <c r="T69" t="str">
        <f t="shared" si="17"/>
        <v>ASM-2026-046</v>
      </c>
      <c r="W69" t="str">
        <f>IFERROR(INDEX('01 assessment'!$A$4:$A$1000,MATCH(ROWS($W$4:W69),$AJ$4:$AJ$1000,0)),"")</f>
        <v>Ward 7</v>
      </c>
      <c r="X69">
        <f>IFERROR(INDEX('01 assessment'!$F$4:$F$1000,MATCH(ROWS($X$4:X69),$AJ$4:$AJ$1000,0)),"")</f>
        <v>55</v>
      </c>
      <c r="Y69" t="str">
        <f>IFERROR(INDEX('01 assessment'!$C$4:$C$1000,MATCH(ROWS($Y$4:Y69),$AJ$4:$AJ$1000,0)),"")</f>
        <v>RETURNED</v>
      </c>
      <c r="Z69">
        <f>IFERROR(INDEX('01 assessment'!$G$4:$G$1000,MATCH(ROWS($Z$4:Z69),$AJ$4:$AJ$1000,0)),"")</f>
        <v>9</v>
      </c>
      <c r="AA69" t="str">
        <f>IFERROR(INDEX('01 assessment'!$H$4:$H$1000,MATCH(ROWS($AA$4:AA69),$AJ$4:$AJ$1000,0)),"")</f>
        <v>HIGH</v>
      </c>
      <c r="AB69">
        <f>IFERROR(INDEX('01 assessment'!$B$4:$B$1000,MATCH(ROWS($AB$4:AB69),$AJ$4:$AJ$1000,0)),"")</f>
        <v>46163</v>
      </c>
      <c r="AC69" t="str">
        <f>IFERROR(INDEX('01 assessment'!$I$4:$I$1000,MATCH(ROWS($AC$4:AC69),$AJ$4:$AJ$1000,0)),"")</f>
        <v>RAH01-2026-065</v>
      </c>
      <c r="AD69" t="str">
        <f>IFERROR(INDEX('01 assessment'!$M$4:$M$1000,MATCH(ROWS($AD$4:AD69),$AJ$4:$AJ$1000,0)),"")</f>
        <v>ASM-2026-065</v>
      </c>
      <c r="AG69">
        <f>IF('01 assessment'!$M69="","",1+COUNTIFS('01 assessment'!$L$4:$L$1000,'01 assessment'!$L69,'01 assessment'!$J$4:$J$1000,"&gt;"&amp;'01 assessment'!$J69)+COUNTIFS('01 assessment'!$L$4:$L$1000,'01 assessment'!$L69,'01 assessment'!$J$4:$J$1000,'01 assessment'!$J69,'01 assessment'!$M$4:$M$1000,"&lt;"&amp;'01 assessment'!$M69))</f>
        <v>1</v>
      </c>
      <c r="AH69">
        <f>IF(OR($AG69&lt;&gt;1,'01 assessment'!$M69=""),"",SUMIFS('04 Hazards'!$K$4:$K$1000,'04 Hazards'!$S$4:$S$1000,'01 assessment'!$M69,'04 Hazards'!$R$4:$R$1000,TRUE,'04 Hazards'!$U$4:$U$1000,TRUE))</f>
        <v>51</v>
      </c>
      <c r="AI69">
        <f>IF(OR($AG69&lt;&gt;1,$AH69&lt;=0),"",1+COUNTIFS($AG$4:$AG$1000,1,$AH$4:$AH$1000,"&gt;"&amp;$AH69)+COUNTIFS($AG$4:$AG$1000,1,$AH$4:$AH$1000,$AH69,'01 assessment'!$A$4:$A$1000,"&lt;"&amp;'01 assessment'!$A69))</f>
        <v>26</v>
      </c>
      <c r="AJ69">
        <f>IF('01 assessment'!$M69="","",1+COUNTIFS('01 assessment'!$A$4:$A$1000,"&lt;"&amp;'01 assessment'!$A69,'01 assessment'!$M$4:$M$1000,"&lt;&gt;")+COUNTIFS('01 assessment'!$A$4:$A$1000,'01 assessment'!$A69,'01 assessment'!$B$4:$B$1000,"&gt;"&amp;'01 assessment'!$B69,'01 assessment'!$M$4:$M$1000,"&lt;&gt;")+COUNTIFS('01 assessment'!$A$4:$A$1000,'01 assessment'!$A69,'01 assessment'!$B$4:$B$1000,'01 assessment'!$B69,'01 assessment'!$M$4:$M$1000,"&lt;"&amp;'01 assessment'!$M69))</f>
        <v>66</v>
      </c>
    </row>
    <row r="70" spans="1:36">
      <c r="A70" s="23">
        <v>47</v>
      </c>
      <c r="B70" s="25" t="str">
        <f t="shared" si="9"/>
        <v>Rehabilitation</v>
      </c>
      <c r="C70" s="23">
        <f t="shared" si="10"/>
        <v>45</v>
      </c>
      <c r="D70" s="23" t="str">
        <f t="shared" si="11"/>
        <v>IN_REVIEW</v>
      </c>
      <c r="E70" s="23">
        <f t="shared" si="12"/>
        <v>2</v>
      </c>
      <c r="F70" s="23" t="str">
        <f t="shared" si="13"/>
        <v>LOW</v>
      </c>
      <c r="G70" s="27">
        <f t="shared" si="14"/>
        <v>46159</v>
      </c>
      <c r="H70" s="23" t="str">
        <f t="shared" si="15"/>
        <v>RAH01-2026-047</v>
      </c>
      <c r="I70" s="23" t="str">
        <f t="shared" si="16"/>
        <v>Maintain controls</v>
      </c>
      <c r="T70" t="str">
        <f t="shared" si="17"/>
        <v>ASM-2026-047</v>
      </c>
      <c r="W70" t="str">
        <f>IFERROR(INDEX('01 assessment'!$A$4:$A$1000,MATCH(ROWS($W$4:W70),$AJ$4:$AJ$1000,0)),"")</f>
        <v>Ward 8</v>
      </c>
      <c r="X70">
        <f>IFERROR(INDEX('01 assessment'!$F$4:$F$1000,MATCH(ROWS($X$4:X70),$AJ$4:$AJ$1000,0)),"")</f>
        <v>62</v>
      </c>
      <c r="Y70" t="str">
        <f>IFERROR(INDEX('01 assessment'!$C$4:$C$1000,MATCH(ROWS($Y$4:Y70),$AJ$4:$AJ$1000,0)),"")</f>
        <v>SUBMITTED</v>
      </c>
      <c r="Z70">
        <f>IFERROR(INDEX('01 assessment'!$G$4:$G$1000,MATCH(ROWS($Z$4:Z70),$AJ$4:$AJ$1000,0)),"")</f>
        <v>9</v>
      </c>
      <c r="AA70" t="str">
        <f>IFERROR(INDEX('01 assessment'!$H$4:$H$1000,MATCH(ROWS($AA$4:AA70),$AJ$4:$AJ$1000,0)),"")</f>
        <v>HIGH</v>
      </c>
      <c r="AB70">
        <f>IFERROR(INDEX('01 assessment'!$B$4:$B$1000,MATCH(ROWS($AB$4:AB70),$AJ$4:$AJ$1000,0)),"")</f>
        <v>46197</v>
      </c>
      <c r="AC70" t="str">
        <f>IFERROR(INDEX('01 assessment'!$I$4:$I$1000,MATCH(ROWS($AC$4:AC70),$AJ$4:$AJ$1000,0)),"")</f>
        <v>RAH01-2026-066</v>
      </c>
      <c r="AD70" t="str">
        <f>IFERROR(INDEX('01 assessment'!$M$4:$M$1000,MATCH(ROWS($AD$4:AD70),$AJ$4:$AJ$1000,0)),"")</f>
        <v>ASM-2026-066</v>
      </c>
      <c r="AG70">
        <f>IF('01 assessment'!$M70="","",1+COUNTIFS('01 assessment'!$L$4:$L$1000,'01 assessment'!$L70,'01 assessment'!$J$4:$J$1000,"&gt;"&amp;'01 assessment'!$J70)+COUNTIFS('01 assessment'!$L$4:$L$1000,'01 assessment'!$L70,'01 assessment'!$J$4:$J$1000,'01 assessment'!$J70,'01 assessment'!$M$4:$M$1000,"&lt;"&amp;'01 assessment'!$M70))</f>
        <v>1</v>
      </c>
      <c r="AH70">
        <f>IF(OR($AG70&lt;&gt;1,'01 assessment'!$M70=""),"",SUMIFS('04 Hazards'!$K$4:$K$1000,'04 Hazards'!$S$4:$S$1000,'01 assessment'!$M70,'04 Hazards'!$R$4:$R$1000,TRUE,'04 Hazards'!$U$4:$U$1000,TRUE))</f>
        <v>57</v>
      </c>
      <c r="AI70">
        <f>IF(OR($AG70&lt;&gt;1,$AH70&lt;=0),"",1+COUNTIFS($AG$4:$AG$1000,1,$AH$4:$AH$1000,"&gt;"&amp;$AH70)+COUNTIFS($AG$4:$AG$1000,1,$AH$4:$AH$1000,$AH70,'01 assessment'!$A$4:$A$1000,"&lt;"&amp;'01 assessment'!$A70))</f>
        <v>13</v>
      </c>
      <c r="AJ70">
        <f>IF('01 assessment'!$M70="","",1+COUNTIFS('01 assessment'!$A$4:$A$1000,"&lt;"&amp;'01 assessment'!$A70,'01 assessment'!$M$4:$M$1000,"&lt;&gt;")+COUNTIFS('01 assessment'!$A$4:$A$1000,'01 assessment'!$A70,'01 assessment'!$B$4:$B$1000,"&gt;"&amp;'01 assessment'!$B70,'01 assessment'!$M$4:$M$1000,"&lt;&gt;")+COUNTIFS('01 assessment'!$A$4:$A$1000,'01 assessment'!$A70,'01 assessment'!$B$4:$B$1000,'01 assessment'!$B70,'01 assessment'!$M$4:$M$1000,"&lt;"&amp;'01 assessment'!$M70))</f>
        <v>67</v>
      </c>
    </row>
    <row r="71" spans="1:36">
      <c r="A71" s="23">
        <v>48</v>
      </c>
      <c r="B71" s="25" t="str">
        <f t="shared" si="9"/>
        <v>Renal Unit</v>
      </c>
      <c r="C71" s="23">
        <f t="shared" si="10"/>
        <v>52</v>
      </c>
      <c r="D71" s="23" t="str">
        <f t="shared" si="11"/>
        <v>CLOSED</v>
      </c>
      <c r="E71" s="23">
        <f t="shared" si="12"/>
        <v>4</v>
      </c>
      <c r="F71" s="23" t="str">
        <f t="shared" si="13"/>
        <v>MEDIUM</v>
      </c>
      <c r="G71" s="27">
        <f t="shared" si="14"/>
        <v>46193</v>
      </c>
      <c r="H71" s="23" t="str">
        <f t="shared" si="15"/>
        <v>RAH01-2026-048</v>
      </c>
      <c r="I71" s="23" t="str">
        <f t="shared" si="16"/>
        <v>Document improvement plan</v>
      </c>
      <c r="T71" t="str">
        <f t="shared" si="17"/>
        <v>ASM-2026-048</v>
      </c>
      <c r="W71" t="str">
        <f>IFERROR(INDEX('01 assessment'!$A$4:$A$1000,MATCH(ROWS($W$4:W71),$AJ$4:$AJ$1000,0)),"")</f>
        <v>Ward 9</v>
      </c>
      <c r="X71">
        <f>IFERROR(INDEX('01 assessment'!$F$4:$F$1000,MATCH(ROWS($X$4:X71),$AJ$4:$AJ$1000,0)),"")</f>
        <v>11</v>
      </c>
      <c r="Y71" t="str">
        <f>IFERROR(INDEX('01 assessment'!$C$4:$C$1000,MATCH(ROWS($Y$4:Y71),$AJ$4:$AJ$1000,0)),"")</f>
        <v>IN_REVIEW</v>
      </c>
      <c r="Z71">
        <f>IFERROR(INDEX('01 assessment'!$G$4:$G$1000,MATCH(ROWS($Z$4:Z71),$AJ$4:$AJ$1000,0)),"")</f>
        <v>9</v>
      </c>
      <c r="AA71" t="str">
        <f>IFERROR(INDEX('01 assessment'!$H$4:$H$1000,MATCH(ROWS($AA$4:AA71),$AJ$4:$AJ$1000,0)),"")</f>
        <v>HIGH</v>
      </c>
      <c r="AB71">
        <f>IFERROR(INDEX('01 assessment'!$B$4:$B$1000,MATCH(ROWS($AB$4:AB71),$AJ$4:$AJ$1000,0)),"")</f>
        <v>46024</v>
      </c>
      <c r="AC71" t="str">
        <f>IFERROR(INDEX('01 assessment'!$I$4:$I$1000,MATCH(ROWS($AC$4:AC71),$AJ$4:$AJ$1000,0)),"")</f>
        <v>RAH01-2026-067</v>
      </c>
      <c r="AD71" t="str">
        <f>IFERROR(INDEX('01 assessment'!$M$4:$M$1000,MATCH(ROWS($AD$4:AD71),$AJ$4:$AJ$1000,0)),"")</f>
        <v>ASM-2026-067</v>
      </c>
      <c r="AG71">
        <f>IF('01 assessment'!$M71="","",1+COUNTIFS('01 assessment'!$L$4:$L$1000,'01 assessment'!$L71,'01 assessment'!$J$4:$J$1000,"&gt;"&amp;'01 assessment'!$J71)+COUNTIFS('01 assessment'!$L$4:$L$1000,'01 assessment'!$L71,'01 assessment'!$J$4:$J$1000,'01 assessment'!$J71,'01 assessment'!$M$4:$M$1000,"&lt;"&amp;'01 assessment'!$M71))</f>
        <v>1</v>
      </c>
      <c r="AH71">
        <f>IF(OR($AG71&lt;&gt;1,'01 assessment'!$M71=""),"",SUMIFS('04 Hazards'!$K$4:$K$1000,'04 Hazards'!$S$4:$S$1000,'01 assessment'!$M71,'04 Hazards'!$R$4:$R$1000,TRUE,'04 Hazards'!$U$4:$U$1000,TRUE))</f>
        <v>48</v>
      </c>
      <c r="AI71">
        <f>IF(OR($AG71&lt;&gt;1,$AH71&lt;=0),"",1+COUNTIFS($AG$4:$AG$1000,1,$AH$4:$AH$1000,"&gt;"&amp;$AH71)+COUNTIFS($AG$4:$AG$1000,1,$AH$4:$AH$1000,$AH71,'01 assessment'!$A$4:$A$1000,"&lt;"&amp;'01 assessment'!$A71))</f>
        <v>32</v>
      </c>
      <c r="AJ71">
        <f>IF('01 assessment'!$M71="","",1+COUNTIFS('01 assessment'!$A$4:$A$1000,"&lt;"&amp;'01 assessment'!$A71,'01 assessment'!$M$4:$M$1000,"&lt;&gt;")+COUNTIFS('01 assessment'!$A$4:$A$1000,'01 assessment'!$A71,'01 assessment'!$B$4:$B$1000,"&gt;"&amp;'01 assessment'!$B71,'01 assessment'!$M$4:$M$1000,"&lt;&gt;")+COUNTIFS('01 assessment'!$A$4:$A$1000,'01 assessment'!$A71,'01 assessment'!$B$4:$B$1000,'01 assessment'!$B71,'01 assessment'!$M$4:$M$1000,"&lt;"&amp;'01 assessment'!$M71))</f>
        <v>68</v>
      </c>
    </row>
    <row r="72" spans="1:36">
      <c r="A72" s="23">
        <v>49</v>
      </c>
      <c r="B72" s="25" t="str">
        <f t="shared" si="9"/>
        <v>Respiratory Medicine</v>
      </c>
      <c r="C72" s="23">
        <f t="shared" si="10"/>
        <v>59</v>
      </c>
      <c r="D72" s="23" t="str">
        <f t="shared" si="11"/>
        <v>CLOSED</v>
      </c>
      <c r="E72" s="23">
        <f t="shared" si="12"/>
        <v>2</v>
      </c>
      <c r="F72" s="23" t="str">
        <f t="shared" si="13"/>
        <v>LOW</v>
      </c>
      <c r="G72" s="27">
        <f t="shared" si="14"/>
        <v>46045</v>
      </c>
      <c r="H72" s="23" t="str">
        <f t="shared" si="15"/>
        <v>RAH01-2026-049</v>
      </c>
      <c r="I72" s="23" t="str">
        <f t="shared" si="16"/>
        <v>Maintain controls</v>
      </c>
      <c r="T72" t="str">
        <f t="shared" si="17"/>
        <v>ASM-2026-049</v>
      </c>
      <c r="W72" t="str">
        <f>IFERROR(INDEX('01 assessment'!$A$4:$A$1000,MATCH(ROWS($W$4:W72),$AJ$4:$AJ$1000,0)),"")</f>
        <v>Women’s Health</v>
      </c>
      <c r="X72">
        <f>IFERROR(INDEX('01 assessment'!$F$4:$F$1000,MATCH(ROWS($X$4:X72),$AJ$4:$AJ$1000,0)),"")</f>
        <v>25</v>
      </c>
      <c r="Y72" t="str">
        <f>IFERROR(INDEX('01 assessment'!$C$4:$C$1000,MATCH(ROWS($Y$4:Y72),$AJ$4:$AJ$1000,0)),"")</f>
        <v>CLOSED</v>
      </c>
      <c r="Z72">
        <f>IFERROR(INDEX('01 assessment'!$G$4:$G$1000,MATCH(ROWS($Z$4:Z72),$AJ$4:$AJ$1000,0)),"")</f>
        <v>4</v>
      </c>
      <c r="AA72" t="str">
        <f>IFERROR(INDEX('01 assessment'!$H$4:$H$1000,MATCH(ROWS($AA$4:AA72),$AJ$4:$AJ$1000,0)),"")</f>
        <v>MEDIUM</v>
      </c>
      <c r="AB72">
        <f>IFERROR(INDEX('01 assessment'!$B$4:$B$1000,MATCH(ROWS($AB$4:AB72),$AJ$4:$AJ$1000,0)),"")</f>
        <v>46089</v>
      </c>
      <c r="AC72" t="str">
        <f>IFERROR(INDEX('01 assessment'!$I$4:$I$1000,MATCH(ROWS($AC$4:AC72),$AJ$4:$AJ$1000,0)),"")</f>
        <v>RAH01-2026-069</v>
      </c>
      <c r="AD72" t="str">
        <f>IFERROR(INDEX('01 assessment'!$M$4:$M$1000,MATCH(ROWS($AD$4:AD72),$AJ$4:$AJ$1000,0)),"")</f>
        <v>ASM-2026-069</v>
      </c>
      <c r="AG72">
        <f>IF('01 assessment'!$M72="","",1+COUNTIFS('01 assessment'!$L$4:$L$1000,'01 assessment'!$L72,'01 assessment'!$J$4:$J$1000,"&gt;"&amp;'01 assessment'!$J72)+COUNTIFS('01 assessment'!$L$4:$L$1000,'01 assessment'!$L72,'01 assessment'!$J$4:$J$1000,'01 assessment'!$J72,'01 assessment'!$M$4:$M$1000,"&lt;"&amp;'01 assessment'!$M72))</f>
        <v>1</v>
      </c>
      <c r="AH72">
        <f>IF(OR($AG72&lt;&gt;1,'01 assessment'!$M72=""),"",SUMIFS('04 Hazards'!$K$4:$K$1000,'04 Hazards'!$S$4:$S$1000,'01 assessment'!$M72,'04 Hazards'!$R$4:$R$1000,TRUE,'04 Hazards'!$U$4:$U$1000,TRUE))</f>
        <v>20</v>
      </c>
      <c r="AI72">
        <f>IF(OR($AG72&lt;&gt;1,$AH72&lt;=0),"",1+COUNTIFS($AG$4:$AG$1000,1,$AH$4:$AH$1000,"&gt;"&amp;$AH72)+COUNTIFS($AG$4:$AG$1000,1,$AH$4:$AH$1000,$AH72,'01 assessment'!$A$4:$A$1000,"&lt;"&amp;'01 assessment'!$A72))</f>
        <v>55</v>
      </c>
      <c r="AJ72">
        <f>IF('01 assessment'!$M72="","",1+COUNTIFS('01 assessment'!$A$4:$A$1000,"&lt;"&amp;'01 assessment'!$A72,'01 assessment'!$M$4:$M$1000,"&lt;&gt;")+COUNTIFS('01 assessment'!$A$4:$A$1000,'01 assessment'!$A72,'01 assessment'!$B$4:$B$1000,"&gt;"&amp;'01 assessment'!$B72,'01 assessment'!$M$4:$M$1000,"&lt;&gt;")+COUNTIFS('01 assessment'!$A$4:$A$1000,'01 assessment'!$A72,'01 assessment'!$B$4:$B$1000,'01 assessment'!$B72,'01 assessment'!$M$4:$M$1000,"&lt;"&amp;'01 assessment'!$M72))</f>
        <v>69</v>
      </c>
    </row>
    <row r="73" spans="1:36">
      <c r="A73" s="23">
        <v>50</v>
      </c>
      <c r="B73" s="25" t="str">
        <f t="shared" si="9"/>
        <v>Social Work</v>
      </c>
      <c r="C73" s="23">
        <f t="shared" si="10"/>
        <v>8</v>
      </c>
      <c r="D73" s="23" t="str">
        <f t="shared" si="11"/>
        <v>RETURNED</v>
      </c>
      <c r="E73" s="23">
        <f t="shared" si="12"/>
        <v>2</v>
      </c>
      <c r="F73" s="23" t="str">
        <f t="shared" si="13"/>
        <v>LOW</v>
      </c>
      <c r="G73" s="27">
        <f t="shared" si="14"/>
        <v>46054</v>
      </c>
      <c r="H73" s="23" t="str">
        <f t="shared" si="15"/>
        <v>RAH01-2026-050</v>
      </c>
      <c r="I73" s="23" t="str">
        <f t="shared" si="16"/>
        <v>Maintain controls</v>
      </c>
      <c r="T73" t="str">
        <f t="shared" si="17"/>
        <v>ASM-2026-050</v>
      </c>
      <c r="W73" t="str">
        <f>IFERROR(INDEX('01 assessment'!$A$4:$A$1000,MATCH(ROWS($W$4:W73),$AJ$4:$AJ$1000,0)),"")</f>
        <v>Workplace Safety</v>
      </c>
      <c r="X73">
        <f>IFERROR(INDEX('01 assessment'!$F$4:$F$1000,MATCH(ROWS($X$4:X73),$AJ$4:$AJ$1000,0)),"")</f>
        <v>32</v>
      </c>
      <c r="Y73" t="str">
        <f>IFERROR(INDEX('01 assessment'!$C$4:$C$1000,MATCH(ROWS($Y$4:Y73),$AJ$4:$AJ$1000,0)),"")</f>
        <v>RETURNED</v>
      </c>
      <c r="Z73">
        <f>IFERROR(INDEX('01 assessment'!$G$4:$G$1000,MATCH(ROWS($Z$4:Z73),$AJ$4:$AJ$1000,0)),"")</f>
        <v>4</v>
      </c>
      <c r="AA73" t="str">
        <f>IFERROR(INDEX('01 assessment'!$H$4:$H$1000,MATCH(ROWS($AA$4:AA73),$AJ$4:$AJ$1000,0)),"")</f>
        <v>MEDIUM</v>
      </c>
      <c r="AB73">
        <f>IFERROR(INDEX('01 assessment'!$B$4:$B$1000,MATCH(ROWS($AB$4:AB73),$AJ$4:$AJ$1000,0)),"")</f>
        <v>46123</v>
      </c>
      <c r="AC73" t="str">
        <f>IFERROR(INDEX('01 assessment'!$I$4:$I$1000,MATCH(ROWS($AC$4:AC73),$AJ$4:$AJ$1000,0)),"")</f>
        <v>RAH01-2026-070</v>
      </c>
      <c r="AD73" t="str">
        <f>IFERROR(INDEX('01 assessment'!$M$4:$M$1000,MATCH(ROWS($AD$4:AD73),$AJ$4:$AJ$1000,0)),"")</f>
        <v>ASM-2026-070</v>
      </c>
      <c r="AG73">
        <f>IF('01 assessment'!$M73="","",1+COUNTIFS('01 assessment'!$L$4:$L$1000,'01 assessment'!$L73,'01 assessment'!$J$4:$J$1000,"&gt;"&amp;'01 assessment'!$J73)+COUNTIFS('01 assessment'!$L$4:$L$1000,'01 assessment'!$L73,'01 assessment'!$J$4:$J$1000,'01 assessment'!$J73,'01 assessment'!$M$4:$M$1000,"&lt;"&amp;'01 assessment'!$M73))</f>
        <v>1</v>
      </c>
      <c r="AH73">
        <f>IF(OR($AG73&lt;&gt;1,'01 assessment'!$M73=""),"",SUMIFS('04 Hazards'!$K$4:$K$1000,'04 Hazards'!$S$4:$S$1000,'01 assessment'!$M73,'04 Hazards'!$R$4:$R$1000,TRUE,'04 Hazards'!$U$4:$U$1000,TRUE))</f>
        <v>24</v>
      </c>
      <c r="AI73">
        <f>IF(OR($AG73&lt;&gt;1,$AH73&lt;=0),"",1+COUNTIFS($AG$4:$AG$1000,1,$AH$4:$AH$1000,"&gt;"&amp;$AH73)+COUNTIFS($AG$4:$AG$1000,1,$AH$4:$AH$1000,$AH73,'01 assessment'!$A$4:$A$1000,"&lt;"&amp;'01 assessment'!$A73))</f>
        <v>40</v>
      </c>
      <c r="AJ73">
        <f>IF('01 assessment'!$M73="","",1+COUNTIFS('01 assessment'!$A$4:$A$1000,"&lt;"&amp;'01 assessment'!$A73,'01 assessment'!$M$4:$M$1000,"&lt;&gt;")+COUNTIFS('01 assessment'!$A$4:$A$1000,'01 assessment'!$A73,'01 assessment'!$B$4:$B$1000,"&gt;"&amp;'01 assessment'!$B73,'01 assessment'!$M$4:$M$1000,"&lt;&gt;")+COUNTIFS('01 assessment'!$A$4:$A$1000,'01 assessment'!$A73,'01 assessment'!$B$4:$B$1000,'01 assessment'!$B73,'01 assessment'!$M$4:$M$1000,"&lt;"&amp;'01 assessment'!$M73))</f>
        <v>70</v>
      </c>
    </row>
    <row r="74" spans="1:36">
      <c r="A74" s="23">
        <v>51</v>
      </c>
      <c r="B74" s="25" t="str">
        <f t="shared" si="9"/>
        <v>Speech Therapy</v>
      </c>
      <c r="C74" s="23">
        <f t="shared" si="10"/>
        <v>15</v>
      </c>
      <c r="D74" s="23" t="str">
        <f t="shared" si="11"/>
        <v>SUBMITTED</v>
      </c>
      <c r="E74" s="23">
        <f t="shared" si="12"/>
        <v>4</v>
      </c>
      <c r="F74" s="23" t="str">
        <f t="shared" si="13"/>
        <v>MEDIUM</v>
      </c>
      <c r="G74" s="27">
        <f t="shared" si="14"/>
        <v>46085</v>
      </c>
      <c r="H74" s="23" t="str">
        <f t="shared" si="15"/>
        <v>RAH01-2026-051</v>
      </c>
      <c r="I74" s="23" t="str">
        <f t="shared" si="16"/>
        <v>Document improvement plan</v>
      </c>
      <c r="T74" t="str">
        <f t="shared" si="17"/>
        <v>ASM-2026-051</v>
      </c>
      <c r="W74" t="str">
        <f>IFERROR(INDEX('01 assessment'!$A$4:$A$1000,MATCH(ROWS($W$4:W74),$AJ$4:$AJ$1000,0)),"")</f>
        <v/>
      </c>
      <c r="X74" t="str">
        <f>IFERROR(INDEX('01 assessment'!$F$4:$F$1000,MATCH(ROWS($X$4:X74),$AJ$4:$AJ$1000,0)),"")</f>
        <v/>
      </c>
      <c r="Y74" t="str">
        <f>IFERROR(INDEX('01 assessment'!$C$4:$C$1000,MATCH(ROWS($Y$4:Y74),$AJ$4:$AJ$1000,0)),"")</f>
        <v/>
      </c>
      <c r="Z74" t="str">
        <f>IFERROR(INDEX('01 assessment'!$G$4:$G$1000,MATCH(ROWS($Z$4:Z74),$AJ$4:$AJ$1000,0)),"")</f>
        <v/>
      </c>
      <c r="AA74" t="str">
        <f>IFERROR(INDEX('01 assessment'!$H$4:$H$1000,MATCH(ROWS($AA$4:AA74),$AJ$4:$AJ$1000,0)),"")</f>
        <v/>
      </c>
      <c r="AB74" t="str">
        <f>IFERROR(INDEX('01 assessment'!$B$4:$B$1000,MATCH(ROWS($AB$4:AB74),$AJ$4:$AJ$1000,0)),"")</f>
        <v/>
      </c>
      <c r="AC74" t="str">
        <f>IFERROR(INDEX('01 assessment'!$I$4:$I$1000,MATCH(ROWS($AC$4:AC74),$AJ$4:$AJ$1000,0)),"")</f>
        <v/>
      </c>
      <c r="AD74" t="str">
        <f>IFERROR(INDEX('01 assessment'!$M$4:$M$1000,MATCH(ROWS($AD$4:AD74),$AJ$4:$AJ$1000,0)),"")</f>
        <v/>
      </c>
      <c r="AG74" t="str">
        <f>IF('01 assessment'!$M74="","",1+COUNTIFS('01 assessment'!$L$4:$L$1000,'01 assessment'!$L74,'01 assessment'!$J$4:$J$1000,"&gt;"&amp;'01 assessment'!$J74)+COUNTIFS('01 assessment'!$L$4:$L$1000,'01 assessment'!$L74,'01 assessment'!$J$4:$J$1000,'01 assessment'!$J74,'01 assessment'!$M$4:$M$1000,"&lt;"&amp;'01 assessment'!$M74))</f>
        <v/>
      </c>
      <c r="AH74" t="str">
        <f>IF(OR($AG74&lt;&gt;1,'01 assessment'!$M74=""),"",SUMIFS('04 Hazards'!$K$4:$K$1000,'04 Hazards'!$S$4:$S$1000,'01 assessment'!$M74,'04 Hazards'!$R$4:$R$1000,TRUE,'04 Hazards'!$U$4:$U$1000,TRUE))</f>
        <v/>
      </c>
      <c r="AI74" t="str">
        <f>IF(OR($AG74&lt;&gt;1,$AH74&lt;=0),"",1+COUNTIFS($AG$4:$AG$1000,1,$AH$4:$AH$1000,"&gt;"&amp;$AH74)+COUNTIFS($AG$4:$AG$1000,1,$AH$4:$AH$1000,$AH74,'01 assessment'!$A$4:$A$1000,"&lt;"&amp;'01 assessment'!$A74))</f>
        <v/>
      </c>
      <c r="AJ74" t="str">
        <f>IF('01 assessment'!$M74="","",1+COUNTIFS('01 assessment'!$A$4:$A$1000,"&lt;"&amp;'01 assessment'!$A74,'01 assessment'!$M$4:$M$1000,"&lt;&gt;")+COUNTIFS('01 assessment'!$A$4:$A$1000,'01 assessment'!$A74,'01 assessment'!$B$4:$B$1000,"&gt;"&amp;'01 assessment'!$B74,'01 assessment'!$M$4:$M$1000,"&lt;&gt;")+COUNTIFS('01 assessment'!$A$4:$A$1000,'01 assessment'!$A74,'01 assessment'!$B$4:$B$1000,'01 assessment'!$B74,'01 assessment'!$M$4:$M$1000,"&lt;"&amp;'01 assessment'!$M74))</f>
        <v/>
      </c>
    </row>
    <row r="75" spans="1:36">
      <c r="A75" s="23">
        <v>52</v>
      </c>
      <c r="B75" s="25" t="str">
        <f t="shared" si="9"/>
        <v>Surgical ICU</v>
      </c>
      <c r="C75" s="23">
        <f t="shared" si="10"/>
        <v>22</v>
      </c>
      <c r="D75" s="23" t="str">
        <f t="shared" si="11"/>
        <v>IN_REVIEW</v>
      </c>
      <c r="E75" s="23">
        <f t="shared" si="12"/>
        <v>2</v>
      </c>
      <c r="F75" s="23" t="str">
        <f t="shared" si="13"/>
        <v>LOW</v>
      </c>
      <c r="G75" s="27">
        <f t="shared" si="14"/>
        <v>46119</v>
      </c>
      <c r="H75" s="23" t="str">
        <f t="shared" si="15"/>
        <v>RAH01-2026-052</v>
      </c>
      <c r="I75" s="23" t="str">
        <f t="shared" si="16"/>
        <v>Maintain controls</v>
      </c>
      <c r="T75" t="str">
        <f t="shared" si="17"/>
        <v>ASM-2026-052</v>
      </c>
      <c r="W75" t="str">
        <f>IFERROR(INDEX('01 assessment'!$A$4:$A$1000,MATCH(ROWS($W$4:W75),$AJ$4:$AJ$1000,0)),"")</f>
        <v/>
      </c>
      <c r="X75" t="str">
        <f>IFERROR(INDEX('01 assessment'!$F$4:$F$1000,MATCH(ROWS($X$4:X75),$AJ$4:$AJ$1000,0)),"")</f>
        <v/>
      </c>
      <c r="Y75" t="str">
        <f>IFERROR(INDEX('01 assessment'!$C$4:$C$1000,MATCH(ROWS($Y$4:Y75),$AJ$4:$AJ$1000,0)),"")</f>
        <v/>
      </c>
      <c r="Z75" t="str">
        <f>IFERROR(INDEX('01 assessment'!$G$4:$G$1000,MATCH(ROWS($Z$4:Z75),$AJ$4:$AJ$1000,0)),"")</f>
        <v/>
      </c>
      <c r="AA75" t="str">
        <f>IFERROR(INDEX('01 assessment'!$H$4:$H$1000,MATCH(ROWS($AA$4:AA75),$AJ$4:$AJ$1000,0)),"")</f>
        <v/>
      </c>
      <c r="AB75" t="str">
        <f>IFERROR(INDEX('01 assessment'!$B$4:$B$1000,MATCH(ROWS($AB$4:AB75),$AJ$4:$AJ$1000,0)),"")</f>
        <v/>
      </c>
      <c r="AC75" t="str">
        <f>IFERROR(INDEX('01 assessment'!$I$4:$I$1000,MATCH(ROWS($AC$4:AC75),$AJ$4:$AJ$1000,0)),"")</f>
        <v/>
      </c>
      <c r="AD75" t="str">
        <f>IFERROR(INDEX('01 assessment'!$M$4:$M$1000,MATCH(ROWS($AD$4:AD75),$AJ$4:$AJ$1000,0)),"")</f>
        <v/>
      </c>
      <c r="AG75" t="str">
        <f>IF('01 assessment'!$M75="","",1+COUNTIFS('01 assessment'!$L$4:$L$1000,'01 assessment'!$L75,'01 assessment'!$J$4:$J$1000,"&gt;"&amp;'01 assessment'!$J75)+COUNTIFS('01 assessment'!$L$4:$L$1000,'01 assessment'!$L75,'01 assessment'!$J$4:$J$1000,'01 assessment'!$J75,'01 assessment'!$M$4:$M$1000,"&lt;"&amp;'01 assessment'!$M75))</f>
        <v/>
      </c>
      <c r="AH75" t="str">
        <f>IF(OR($AG75&lt;&gt;1,'01 assessment'!$M75=""),"",SUMIFS('04 Hazards'!$K$4:$K$1000,'04 Hazards'!$S$4:$S$1000,'01 assessment'!$M75,'04 Hazards'!$R$4:$R$1000,TRUE,'04 Hazards'!$U$4:$U$1000,TRUE))</f>
        <v/>
      </c>
      <c r="AI75" t="str">
        <f>IF(OR($AG75&lt;&gt;1,$AH75&lt;=0),"",1+COUNTIFS($AG$4:$AG$1000,1,$AH$4:$AH$1000,"&gt;"&amp;$AH75)+COUNTIFS($AG$4:$AG$1000,1,$AH$4:$AH$1000,$AH75,'01 assessment'!$A$4:$A$1000,"&lt;"&amp;'01 assessment'!$A75))</f>
        <v/>
      </c>
      <c r="AJ75" t="str">
        <f>IF('01 assessment'!$M75="","",1+COUNTIFS('01 assessment'!$A$4:$A$1000,"&lt;"&amp;'01 assessment'!$A75,'01 assessment'!$M$4:$M$1000,"&lt;&gt;")+COUNTIFS('01 assessment'!$A$4:$A$1000,'01 assessment'!$A75,'01 assessment'!$B$4:$B$1000,"&gt;"&amp;'01 assessment'!$B75,'01 assessment'!$M$4:$M$1000,"&lt;&gt;")+COUNTIFS('01 assessment'!$A$4:$A$1000,'01 assessment'!$A75,'01 assessment'!$B$4:$B$1000,'01 assessment'!$B75,'01 assessment'!$M$4:$M$1000,"&lt;"&amp;'01 assessment'!$M75))</f>
        <v/>
      </c>
    </row>
    <row r="76" spans="1:36">
      <c r="A76" s="23">
        <v>53</v>
      </c>
      <c r="B76" s="25" t="str">
        <f t="shared" si="9"/>
        <v>Thai Traditional Medicine</v>
      </c>
      <c r="C76" s="23">
        <f t="shared" si="10"/>
        <v>29</v>
      </c>
      <c r="D76" s="23" t="str">
        <f t="shared" si="11"/>
        <v>CLOSED</v>
      </c>
      <c r="E76" s="23">
        <f t="shared" si="12"/>
        <v>2</v>
      </c>
      <c r="F76" s="23" t="str">
        <f t="shared" si="13"/>
        <v>LOW</v>
      </c>
      <c r="G76" s="27">
        <f t="shared" si="14"/>
        <v>46152</v>
      </c>
      <c r="H76" s="23" t="str">
        <f t="shared" si="15"/>
        <v>RAH01-2026-053</v>
      </c>
      <c r="I76" s="23" t="str">
        <f t="shared" si="16"/>
        <v>Maintain controls</v>
      </c>
      <c r="T76" t="str">
        <f t="shared" si="17"/>
        <v>ASM-2026-053</v>
      </c>
      <c r="W76" t="str">
        <f>IFERROR(INDEX('01 assessment'!$A$4:$A$1000,MATCH(ROWS($W$4:W76),$AJ$4:$AJ$1000,0)),"")</f>
        <v/>
      </c>
      <c r="X76" t="str">
        <f>IFERROR(INDEX('01 assessment'!$F$4:$F$1000,MATCH(ROWS($X$4:X76),$AJ$4:$AJ$1000,0)),"")</f>
        <v/>
      </c>
      <c r="Y76" t="str">
        <f>IFERROR(INDEX('01 assessment'!$C$4:$C$1000,MATCH(ROWS($Y$4:Y76),$AJ$4:$AJ$1000,0)),"")</f>
        <v/>
      </c>
      <c r="Z76" t="str">
        <f>IFERROR(INDEX('01 assessment'!$G$4:$G$1000,MATCH(ROWS($Z$4:Z76),$AJ$4:$AJ$1000,0)),"")</f>
        <v/>
      </c>
      <c r="AA76" t="str">
        <f>IFERROR(INDEX('01 assessment'!$H$4:$H$1000,MATCH(ROWS($AA$4:AA76),$AJ$4:$AJ$1000,0)),"")</f>
        <v/>
      </c>
      <c r="AB76" t="str">
        <f>IFERROR(INDEX('01 assessment'!$B$4:$B$1000,MATCH(ROWS($AB$4:AB76),$AJ$4:$AJ$1000,0)),"")</f>
        <v/>
      </c>
      <c r="AC76" t="str">
        <f>IFERROR(INDEX('01 assessment'!$I$4:$I$1000,MATCH(ROWS($AC$4:AC76),$AJ$4:$AJ$1000,0)),"")</f>
        <v/>
      </c>
      <c r="AD76" t="str">
        <f>IFERROR(INDEX('01 assessment'!$M$4:$M$1000,MATCH(ROWS($AD$4:AD76),$AJ$4:$AJ$1000,0)),"")</f>
        <v/>
      </c>
      <c r="AG76" t="str">
        <f>IF('01 assessment'!$M76="","",1+COUNTIFS('01 assessment'!$L$4:$L$1000,'01 assessment'!$L76,'01 assessment'!$J$4:$J$1000,"&gt;"&amp;'01 assessment'!$J76)+COUNTIFS('01 assessment'!$L$4:$L$1000,'01 assessment'!$L76,'01 assessment'!$J$4:$J$1000,'01 assessment'!$J76,'01 assessment'!$M$4:$M$1000,"&lt;"&amp;'01 assessment'!$M76))</f>
        <v/>
      </c>
      <c r="AH76" t="str">
        <f>IF(OR($AG76&lt;&gt;1,'01 assessment'!$M76=""),"",SUMIFS('04 Hazards'!$K$4:$K$1000,'04 Hazards'!$S$4:$S$1000,'01 assessment'!$M76,'04 Hazards'!$R$4:$R$1000,TRUE,'04 Hazards'!$U$4:$U$1000,TRUE))</f>
        <v/>
      </c>
      <c r="AI76" t="str">
        <f>IF(OR($AG76&lt;&gt;1,$AH76&lt;=0),"",1+COUNTIFS($AG$4:$AG$1000,1,$AH$4:$AH$1000,"&gt;"&amp;$AH76)+COUNTIFS($AG$4:$AG$1000,1,$AH$4:$AH$1000,$AH76,'01 assessment'!$A$4:$A$1000,"&lt;"&amp;'01 assessment'!$A76))</f>
        <v/>
      </c>
      <c r="AJ76" t="str">
        <f>IF('01 assessment'!$M76="","",1+COUNTIFS('01 assessment'!$A$4:$A$1000,"&lt;"&amp;'01 assessment'!$A76,'01 assessment'!$M$4:$M$1000,"&lt;&gt;")+COUNTIFS('01 assessment'!$A$4:$A$1000,'01 assessment'!$A76,'01 assessment'!$B$4:$B$1000,"&gt;"&amp;'01 assessment'!$B76,'01 assessment'!$M$4:$M$1000,"&lt;&gt;")+COUNTIFS('01 assessment'!$A$4:$A$1000,'01 assessment'!$A76,'01 assessment'!$B$4:$B$1000,'01 assessment'!$B76,'01 assessment'!$M$4:$M$1000,"&lt;"&amp;'01 assessment'!$M76))</f>
        <v/>
      </c>
    </row>
    <row r="77" spans="1:36">
      <c r="A77" s="23">
        <v>54</v>
      </c>
      <c r="B77" s="25" t="str">
        <f t="shared" si="9"/>
        <v>Thoracic Medicine</v>
      </c>
      <c r="C77" s="23">
        <f t="shared" si="10"/>
        <v>36</v>
      </c>
      <c r="D77" s="23" t="str">
        <f t="shared" si="11"/>
        <v>CLOSED</v>
      </c>
      <c r="E77" s="23">
        <f t="shared" si="12"/>
        <v>4</v>
      </c>
      <c r="F77" s="23" t="str">
        <f t="shared" si="13"/>
        <v>MEDIUM</v>
      </c>
      <c r="G77" s="27">
        <f t="shared" si="14"/>
        <v>46186</v>
      </c>
      <c r="H77" s="23" t="str">
        <f t="shared" si="15"/>
        <v>RAH01-2026-054</v>
      </c>
      <c r="I77" s="23" t="str">
        <f t="shared" si="16"/>
        <v>Document improvement plan</v>
      </c>
      <c r="T77" t="str">
        <f t="shared" si="17"/>
        <v>ASM-2026-054</v>
      </c>
      <c r="W77" t="str">
        <f>IFERROR(INDEX('01 assessment'!$A$4:$A$1000,MATCH(ROWS($W$4:W77),$AJ$4:$AJ$1000,0)),"")</f>
        <v/>
      </c>
      <c r="X77" t="str">
        <f>IFERROR(INDEX('01 assessment'!$F$4:$F$1000,MATCH(ROWS($X$4:X77),$AJ$4:$AJ$1000,0)),"")</f>
        <v/>
      </c>
      <c r="Y77" t="str">
        <f>IFERROR(INDEX('01 assessment'!$C$4:$C$1000,MATCH(ROWS($Y$4:Y77),$AJ$4:$AJ$1000,0)),"")</f>
        <v/>
      </c>
      <c r="Z77" t="str">
        <f>IFERROR(INDEX('01 assessment'!$G$4:$G$1000,MATCH(ROWS($Z$4:Z77),$AJ$4:$AJ$1000,0)),"")</f>
        <v/>
      </c>
      <c r="AA77" t="str">
        <f>IFERROR(INDEX('01 assessment'!$H$4:$H$1000,MATCH(ROWS($AA$4:AA77),$AJ$4:$AJ$1000,0)),"")</f>
        <v/>
      </c>
      <c r="AB77" t="str">
        <f>IFERROR(INDEX('01 assessment'!$B$4:$B$1000,MATCH(ROWS($AB$4:AB77),$AJ$4:$AJ$1000,0)),"")</f>
        <v/>
      </c>
      <c r="AC77" t="str">
        <f>IFERROR(INDEX('01 assessment'!$I$4:$I$1000,MATCH(ROWS($AC$4:AC77),$AJ$4:$AJ$1000,0)),"")</f>
        <v/>
      </c>
      <c r="AD77" t="str">
        <f>IFERROR(INDEX('01 assessment'!$M$4:$M$1000,MATCH(ROWS($AD$4:AD77),$AJ$4:$AJ$1000,0)),"")</f>
        <v/>
      </c>
      <c r="AG77" t="str">
        <f>IF('01 assessment'!$M77="","",1+COUNTIFS('01 assessment'!$L$4:$L$1000,'01 assessment'!$L77,'01 assessment'!$J$4:$J$1000,"&gt;"&amp;'01 assessment'!$J77)+COUNTIFS('01 assessment'!$L$4:$L$1000,'01 assessment'!$L77,'01 assessment'!$J$4:$J$1000,'01 assessment'!$J77,'01 assessment'!$M$4:$M$1000,"&lt;"&amp;'01 assessment'!$M77))</f>
        <v/>
      </c>
      <c r="AH77" t="str">
        <f>IF(OR($AG77&lt;&gt;1,'01 assessment'!$M77=""),"",SUMIFS('04 Hazards'!$K$4:$K$1000,'04 Hazards'!$S$4:$S$1000,'01 assessment'!$M77,'04 Hazards'!$R$4:$R$1000,TRUE,'04 Hazards'!$U$4:$U$1000,TRUE))</f>
        <v/>
      </c>
      <c r="AI77" t="str">
        <f>IF(OR($AG77&lt;&gt;1,$AH77&lt;=0),"",1+COUNTIFS($AG$4:$AG$1000,1,$AH$4:$AH$1000,"&gt;"&amp;$AH77)+COUNTIFS($AG$4:$AG$1000,1,$AH$4:$AH$1000,$AH77,'01 assessment'!$A$4:$A$1000,"&lt;"&amp;'01 assessment'!$A77))</f>
        <v/>
      </c>
      <c r="AJ77" t="str">
        <f>IF('01 assessment'!$M77="","",1+COUNTIFS('01 assessment'!$A$4:$A$1000,"&lt;"&amp;'01 assessment'!$A77,'01 assessment'!$M$4:$M$1000,"&lt;&gt;")+COUNTIFS('01 assessment'!$A$4:$A$1000,'01 assessment'!$A77,'01 assessment'!$B$4:$B$1000,"&gt;"&amp;'01 assessment'!$B77,'01 assessment'!$M$4:$M$1000,"&lt;&gt;")+COUNTIFS('01 assessment'!$A$4:$A$1000,'01 assessment'!$A77,'01 assessment'!$B$4:$B$1000,'01 assessment'!$B77,'01 assessment'!$M$4:$M$1000,"&lt;"&amp;'01 assessment'!$M77))</f>
        <v/>
      </c>
    </row>
    <row r="78" spans="1:36">
      <c r="A78" s="23">
        <v>55</v>
      </c>
      <c r="B78" s="25" t="str">
        <f t="shared" si="9"/>
        <v>Transfusion Medicine</v>
      </c>
      <c r="C78" s="23">
        <f t="shared" si="10"/>
        <v>43</v>
      </c>
      <c r="D78" s="23" t="str">
        <f t="shared" si="11"/>
        <v>RETURNED</v>
      </c>
      <c r="E78" s="23">
        <f t="shared" si="12"/>
        <v>2</v>
      </c>
      <c r="F78" s="23" t="str">
        <f t="shared" si="13"/>
        <v>LOW</v>
      </c>
      <c r="G78" s="27">
        <f t="shared" si="14"/>
        <v>46038</v>
      </c>
      <c r="H78" s="23" t="str">
        <f t="shared" si="15"/>
        <v>RAH01-2026-055</v>
      </c>
      <c r="I78" s="23" t="str">
        <f t="shared" si="16"/>
        <v>Maintain controls</v>
      </c>
      <c r="T78" t="str">
        <f t="shared" si="17"/>
        <v>ASM-2026-055</v>
      </c>
      <c r="W78" t="str">
        <f>IFERROR(INDEX('01 assessment'!$A$4:$A$1000,MATCH(ROWS($W$4:W78),$AJ$4:$AJ$1000,0)),"")</f>
        <v/>
      </c>
      <c r="X78" t="str">
        <f>IFERROR(INDEX('01 assessment'!$F$4:$F$1000,MATCH(ROWS($X$4:X78),$AJ$4:$AJ$1000,0)),"")</f>
        <v/>
      </c>
      <c r="Y78" t="str">
        <f>IFERROR(INDEX('01 assessment'!$C$4:$C$1000,MATCH(ROWS($Y$4:Y78),$AJ$4:$AJ$1000,0)),"")</f>
        <v/>
      </c>
      <c r="Z78" t="str">
        <f>IFERROR(INDEX('01 assessment'!$G$4:$G$1000,MATCH(ROWS($Z$4:Z78),$AJ$4:$AJ$1000,0)),"")</f>
        <v/>
      </c>
      <c r="AA78" t="str">
        <f>IFERROR(INDEX('01 assessment'!$H$4:$H$1000,MATCH(ROWS($AA$4:AA78),$AJ$4:$AJ$1000,0)),"")</f>
        <v/>
      </c>
      <c r="AB78" t="str">
        <f>IFERROR(INDEX('01 assessment'!$B$4:$B$1000,MATCH(ROWS($AB$4:AB78),$AJ$4:$AJ$1000,0)),"")</f>
        <v/>
      </c>
      <c r="AC78" t="str">
        <f>IFERROR(INDEX('01 assessment'!$I$4:$I$1000,MATCH(ROWS($AC$4:AC78),$AJ$4:$AJ$1000,0)),"")</f>
        <v/>
      </c>
      <c r="AD78" t="str">
        <f>IFERROR(INDEX('01 assessment'!$M$4:$M$1000,MATCH(ROWS($AD$4:AD78),$AJ$4:$AJ$1000,0)),"")</f>
        <v/>
      </c>
      <c r="AG78" t="str">
        <f>IF('01 assessment'!$M78="","",1+COUNTIFS('01 assessment'!$L$4:$L$1000,'01 assessment'!$L78,'01 assessment'!$J$4:$J$1000,"&gt;"&amp;'01 assessment'!$J78)+COUNTIFS('01 assessment'!$L$4:$L$1000,'01 assessment'!$L78,'01 assessment'!$J$4:$J$1000,'01 assessment'!$J78,'01 assessment'!$M$4:$M$1000,"&lt;"&amp;'01 assessment'!$M78))</f>
        <v/>
      </c>
      <c r="AH78" t="str">
        <f>IF(OR($AG78&lt;&gt;1,'01 assessment'!$M78=""),"",SUMIFS('04 Hazards'!$K$4:$K$1000,'04 Hazards'!$S$4:$S$1000,'01 assessment'!$M78,'04 Hazards'!$R$4:$R$1000,TRUE,'04 Hazards'!$U$4:$U$1000,TRUE))</f>
        <v/>
      </c>
      <c r="AI78" t="str">
        <f>IF(OR($AG78&lt;&gt;1,$AH78&lt;=0),"",1+COUNTIFS($AG$4:$AG$1000,1,$AH$4:$AH$1000,"&gt;"&amp;$AH78)+COUNTIFS($AG$4:$AG$1000,1,$AH$4:$AH$1000,$AH78,'01 assessment'!$A$4:$A$1000,"&lt;"&amp;'01 assessment'!$A78))</f>
        <v/>
      </c>
      <c r="AJ78" t="str">
        <f>IF('01 assessment'!$M78="","",1+COUNTIFS('01 assessment'!$A$4:$A$1000,"&lt;"&amp;'01 assessment'!$A78,'01 assessment'!$M$4:$M$1000,"&lt;&gt;")+COUNTIFS('01 assessment'!$A$4:$A$1000,'01 assessment'!$A78,'01 assessment'!$B$4:$B$1000,"&gt;"&amp;'01 assessment'!$B78,'01 assessment'!$M$4:$M$1000,"&lt;&gt;")+COUNTIFS('01 assessment'!$A$4:$A$1000,'01 assessment'!$A78,'01 assessment'!$B$4:$B$1000,'01 assessment'!$B78,'01 assessment'!$M$4:$M$1000,"&lt;"&amp;'01 assessment'!$M78))</f>
        <v/>
      </c>
    </row>
    <row r="79" spans="1:36">
      <c r="A79" s="23">
        <v>56</v>
      </c>
      <c r="B79" s="25" t="str">
        <f t="shared" si="9"/>
        <v>Trauma Centre</v>
      </c>
      <c r="C79" s="23">
        <f t="shared" si="10"/>
        <v>50</v>
      </c>
      <c r="D79" s="23" t="str">
        <f t="shared" si="11"/>
        <v>SUBMITTED</v>
      </c>
      <c r="E79" s="23">
        <f t="shared" si="12"/>
        <v>2</v>
      </c>
      <c r="F79" s="23" t="str">
        <f t="shared" si="13"/>
        <v>LOW</v>
      </c>
      <c r="G79" s="27">
        <f t="shared" si="14"/>
        <v>46072</v>
      </c>
      <c r="H79" s="23" t="str">
        <f t="shared" si="15"/>
        <v>RAH01-2026-056</v>
      </c>
      <c r="I79" s="23" t="str">
        <f t="shared" si="16"/>
        <v>Maintain controls</v>
      </c>
      <c r="T79" t="str">
        <f t="shared" si="17"/>
        <v>ASM-2026-056</v>
      </c>
      <c r="W79" t="str">
        <f>IFERROR(INDEX('01 assessment'!$A$4:$A$1000,MATCH(ROWS($W$4:W79),$AJ$4:$AJ$1000,0)),"")</f>
        <v/>
      </c>
      <c r="X79" t="str">
        <f>IFERROR(INDEX('01 assessment'!$F$4:$F$1000,MATCH(ROWS($X$4:X79),$AJ$4:$AJ$1000,0)),"")</f>
        <v/>
      </c>
      <c r="Y79" t="str">
        <f>IFERROR(INDEX('01 assessment'!$C$4:$C$1000,MATCH(ROWS($Y$4:Y79),$AJ$4:$AJ$1000,0)),"")</f>
        <v/>
      </c>
      <c r="Z79" t="str">
        <f>IFERROR(INDEX('01 assessment'!$G$4:$G$1000,MATCH(ROWS($Z$4:Z79),$AJ$4:$AJ$1000,0)),"")</f>
        <v/>
      </c>
      <c r="AA79" t="str">
        <f>IFERROR(INDEX('01 assessment'!$H$4:$H$1000,MATCH(ROWS($AA$4:AA79),$AJ$4:$AJ$1000,0)),"")</f>
        <v/>
      </c>
      <c r="AB79" t="str">
        <f>IFERROR(INDEX('01 assessment'!$B$4:$B$1000,MATCH(ROWS($AB$4:AB79),$AJ$4:$AJ$1000,0)),"")</f>
        <v/>
      </c>
      <c r="AC79" t="str">
        <f>IFERROR(INDEX('01 assessment'!$I$4:$I$1000,MATCH(ROWS($AC$4:AC79),$AJ$4:$AJ$1000,0)),"")</f>
        <v/>
      </c>
      <c r="AD79" t="str">
        <f>IFERROR(INDEX('01 assessment'!$M$4:$M$1000,MATCH(ROWS($AD$4:AD79),$AJ$4:$AJ$1000,0)),"")</f>
        <v/>
      </c>
      <c r="AG79" t="str">
        <f>IF('01 assessment'!$M79="","",1+COUNTIFS('01 assessment'!$L$4:$L$1000,'01 assessment'!$L79,'01 assessment'!$J$4:$J$1000,"&gt;"&amp;'01 assessment'!$J79)+COUNTIFS('01 assessment'!$L$4:$L$1000,'01 assessment'!$L79,'01 assessment'!$J$4:$J$1000,'01 assessment'!$J79,'01 assessment'!$M$4:$M$1000,"&lt;"&amp;'01 assessment'!$M79))</f>
        <v/>
      </c>
      <c r="AH79" t="str">
        <f>IF(OR($AG79&lt;&gt;1,'01 assessment'!$M79=""),"",SUMIFS('04 Hazards'!$K$4:$K$1000,'04 Hazards'!$S$4:$S$1000,'01 assessment'!$M79,'04 Hazards'!$R$4:$R$1000,TRUE,'04 Hazards'!$U$4:$U$1000,TRUE))</f>
        <v/>
      </c>
      <c r="AI79" t="str">
        <f>IF(OR($AG79&lt;&gt;1,$AH79&lt;=0),"",1+COUNTIFS($AG$4:$AG$1000,1,$AH$4:$AH$1000,"&gt;"&amp;$AH79)+COUNTIFS($AG$4:$AG$1000,1,$AH$4:$AH$1000,$AH79,'01 assessment'!$A$4:$A$1000,"&lt;"&amp;'01 assessment'!$A79))</f>
        <v/>
      </c>
      <c r="AJ79" t="str">
        <f>IF('01 assessment'!$M79="","",1+COUNTIFS('01 assessment'!$A$4:$A$1000,"&lt;"&amp;'01 assessment'!$A79,'01 assessment'!$M$4:$M$1000,"&lt;&gt;")+COUNTIFS('01 assessment'!$A$4:$A$1000,'01 assessment'!$A79,'01 assessment'!$B$4:$B$1000,"&gt;"&amp;'01 assessment'!$B79,'01 assessment'!$M$4:$M$1000,"&lt;&gt;")+COUNTIFS('01 assessment'!$A$4:$A$1000,'01 assessment'!$A79,'01 assessment'!$B$4:$B$1000,'01 assessment'!$B79,'01 assessment'!$M$4:$M$1000,"&lt;"&amp;'01 assessment'!$M79))</f>
        <v/>
      </c>
    </row>
    <row r="80" spans="1:36">
      <c r="A80" s="23">
        <v>57</v>
      </c>
      <c r="B80" s="25" t="str">
        <f t="shared" si="9"/>
        <v>Urology</v>
      </c>
      <c r="C80" s="23">
        <f t="shared" si="10"/>
        <v>57</v>
      </c>
      <c r="D80" s="23" t="str">
        <f t="shared" si="11"/>
        <v>IN_REVIEW</v>
      </c>
      <c r="E80" s="23">
        <f t="shared" si="12"/>
        <v>4</v>
      </c>
      <c r="F80" s="23" t="str">
        <f t="shared" si="13"/>
        <v>MEDIUM</v>
      </c>
      <c r="G80" s="27">
        <f t="shared" si="14"/>
        <v>46103</v>
      </c>
      <c r="H80" s="23" t="str">
        <f t="shared" si="15"/>
        <v>RAH01-2026-057</v>
      </c>
      <c r="I80" s="23" t="str">
        <f t="shared" si="16"/>
        <v>Document improvement plan</v>
      </c>
      <c r="T80" t="str">
        <f t="shared" si="17"/>
        <v>ASM-2026-057</v>
      </c>
      <c r="W80" t="str">
        <f>IFERROR(INDEX('01 assessment'!$A$4:$A$1000,MATCH(ROWS($W$4:W80),$AJ$4:$AJ$1000,0)),"")</f>
        <v/>
      </c>
      <c r="X80" t="str">
        <f>IFERROR(INDEX('01 assessment'!$F$4:$F$1000,MATCH(ROWS($X$4:X80),$AJ$4:$AJ$1000,0)),"")</f>
        <v/>
      </c>
      <c r="Y80" t="str">
        <f>IFERROR(INDEX('01 assessment'!$C$4:$C$1000,MATCH(ROWS($Y$4:Y80),$AJ$4:$AJ$1000,0)),"")</f>
        <v/>
      </c>
      <c r="Z80" t="str">
        <f>IFERROR(INDEX('01 assessment'!$G$4:$G$1000,MATCH(ROWS($Z$4:Z80),$AJ$4:$AJ$1000,0)),"")</f>
        <v/>
      </c>
      <c r="AA80" t="str">
        <f>IFERROR(INDEX('01 assessment'!$H$4:$H$1000,MATCH(ROWS($AA$4:AA80),$AJ$4:$AJ$1000,0)),"")</f>
        <v/>
      </c>
      <c r="AB80" t="str">
        <f>IFERROR(INDEX('01 assessment'!$B$4:$B$1000,MATCH(ROWS($AB$4:AB80),$AJ$4:$AJ$1000,0)),"")</f>
        <v/>
      </c>
      <c r="AC80" t="str">
        <f>IFERROR(INDEX('01 assessment'!$I$4:$I$1000,MATCH(ROWS($AC$4:AC80),$AJ$4:$AJ$1000,0)),"")</f>
        <v/>
      </c>
      <c r="AD80" t="str">
        <f>IFERROR(INDEX('01 assessment'!$M$4:$M$1000,MATCH(ROWS($AD$4:AD80),$AJ$4:$AJ$1000,0)),"")</f>
        <v/>
      </c>
      <c r="AG80" t="str">
        <f>IF('01 assessment'!$M80="","",1+COUNTIFS('01 assessment'!$L$4:$L$1000,'01 assessment'!$L80,'01 assessment'!$J$4:$J$1000,"&gt;"&amp;'01 assessment'!$J80)+COUNTIFS('01 assessment'!$L$4:$L$1000,'01 assessment'!$L80,'01 assessment'!$J$4:$J$1000,'01 assessment'!$J80,'01 assessment'!$M$4:$M$1000,"&lt;"&amp;'01 assessment'!$M80))</f>
        <v/>
      </c>
      <c r="AH80" t="str">
        <f>IF(OR($AG80&lt;&gt;1,'01 assessment'!$M80=""),"",SUMIFS('04 Hazards'!$K$4:$K$1000,'04 Hazards'!$S$4:$S$1000,'01 assessment'!$M80,'04 Hazards'!$R$4:$R$1000,TRUE,'04 Hazards'!$U$4:$U$1000,TRUE))</f>
        <v/>
      </c>
      <c r="AI80" t="str">
        <f>IF(OR($AG80&lt;&gt;1,$AH80&lt;=0),"",1+COUNTIFS($AG$4:$AG$1000,1,$AH$4:$AH$1000,"&gt;"&amp;$AH80)+COUNTIFS($AG$4:$AG$1000,1,$AH$4:$AH$1000,$AH80,'01 assessment'!$A$4:$A$1000,"&lt;"&amp;'01 assessment'!$A80))</f>
        <v/>
      </c>
      <c r="AJ80" t="str">
        <f>IF('01 assessment'!$M80="","",1+COUNTIFS('01 assessment'!$A$4:$A$1000,"&lt;"&amp;'01 assessment'!$A80,'01 assessment'!$M$4:$M$1000,"&lt;&gt;")+COUNTIFS('01 assessment'!$A$4:$A$1000,'01 assessment'!$A80,'01 assessment'!$B$4:$B$1000,"&gt;"&amp;'01 assessment'!$B80,'01 assessment'!$M$4:$M$1000,"&lt;&gt;")+COUNTIFS('01 assessment'!$A$4:$A$1000,'01 assessment'!$A80,'01 assessment'!$B$4:$B$1000,'01 assessment'!$B80,'01 assessment'!$M$4:$M$1000,"&lt;"&amp;'01 assessment'!$M80))</f>
        <v/>
      </c>
    </row>
    <row r="81" spans="1:36">
      <c r="A81" s="23">
        <v>58</v>
      </c>
      <c r="B81" s="25" t="str">
        <f t="shared" si="9"/>
        <v>Vaccination Clinic</v>
      </c>
      <c r="C81" s="23">
        <f t="shared" si="10"/>
        <v>6</v>
      </c>
      <c r="D81" s="23" t="str">
        <f t="shared" si="11"/>
        <v>CLOSED</v>
      </c>
      <c r="E81" s="23">
        <f t="shared" si="12"/>
        <v>9</v>
      </c>
      <c r="F81" s="23" t="str">
        <f t="shared" si="13"/>
        <v>HIGH</v>
      </c>
      <c r="G81" s="27">
        <f t="shared" si="14"/>
        <v>46137</v>
      </c>
      <c r="H81" s="23" t="str">
        <f t="shared" si="15"/>
        <v>RAH01-2026-058</v>
      </c>
      <c r="I81" s="23" t="str">
        <f t="shared" si="16"/>
        <v>Immediate corrective action</v>
      </c>
      <c r="T81" t="str">
        <f t="shared" si="17"/>
        <v>ASM-2026-058</v>
      </c>
      <c r="W81" t="str">
        <f>IFERROR(INDEX('01 assessment'!$A$4:$A$1000,MATCH(ROWS($W$4:W81),$AJ$4:$AJ$1000,0)),"")</f>
        <v/>
      </c>
      <c r="X81" t="str">
        <f>IFERROR(INDEX('01 assessment'!$F$4:$F$1000,MATCH(ROWS($X$4:X81),$AJ$4:$AJ$1000,0)),"")</f>
        <v/>
      </c>
      <c r="Y81" t="str">
        <f>IFERROR(INDEX('01 assessment'!$C$4:$C$1000,MATCH(ROWS($Y$4:Y81),$AJ$4:$AJ$1000,0)),"")</f>
        <v/>
      </c>
      <c r="Z81" t="str">
        <f>IFERROR(INDEX('01 assessment'!$G$4:$G$1000,MATCH(ROWS($Z$4:Z81),$AJ$4:$AJ$1000,0)),"")</f>
        <v/>
      </c>
      <c r="AA81" t="str">
        <f>IFERROR(INDEX('01 assessment'!$H$4:$H$1000,MATCH(ROWS($AA$4:AA81),$AJ$4:$AJ$1000,0)),"")</f>
        <v/>
      </c>
      <c r="AB81" t="str">
        <f>IFERROR(INDEX('01 assessment'!$B$4:$B$1000,MATCH(ROWS($AB$4:AB81),$AJ$4:$AJ$1000,0)),"")</f>
        <v/>
      </c>
      <c r="AC81" t="str">
        <f>IFERROR(INDEX('01 assessment'!$I$4:$I$1000,MATCH(ROWS($AC$4:AC81),$AJ$4:$AJ$1000,0)),"")</f>
        <v/>
      </c>
      <c r="AD81" t="str">
        <f>IFERROR(INDEX('01 assessment'!$M$4:$M$1000,MATCH(ROWS($AD$4:AD81),$AJ$4:$AJ$1000,0)),"")</f>
        <v/>
      </c>
      <c r="AG81" t="str">
        <f>IF('01 assessment'!$M81="","",1+COUNTIFS('01 assessment'!$L$4:$L$1000,'01 assessment'!$L81,'01 assessment'!$J$4:$J$1000,"&gt;"&amp;'01 assessment'!$J81)+COUNTIFS('01 assessment'!$L$4:$L$1000,'01 assessment'!$L81,'01 assessment'!$J$4:$J$1000,'01 assessment'!$J81,'01 assessment'!$M$4:$M$1000,"&lt;"&amp;'01 assessment'!$M81))</f>
        <v/>
      </c>
      <c r="AH81" t="str">
        <f>IF(OR($AG81&lt;&gt;1,'01 assessment'!$M81=""),"",SUMIFS('04 Hazards'!$K$4:$K$1000,'04 Hazards'!$S$4:$S$1000,'01 assessment'!$M81,'04 Hazards'!$R$4:$R$1000,TRUE,'04 Hazards'!$U$4:$U$1000,TRUE))</f>
        <v/>
      </c>
      <c r="AI81" t="str">
        <f>IF(OR($AG81&lt;&gt;1,$AH81&lt;=0),"",1+COUNTIFS($AG$4:$AG$1000,1,$AH$4:$AH$1000,"&gt;"&amp;$AH81)+COUNTIFS($AG$4:$AG$1000,1,$AH$4:$AH$1000,$AH81,'01 assessment'!$A$4:$A$1000,"&lt;"&amp;'01 assessment'!$A81))</f>
        <v/>
      </c>
      <c r="AJ81" t="str">
        <f>IF('01 assessment'!$M81="","",1+COUNTIFS('01 assessment'!$A$4:$A$1000,"&lt;"&amp;'01 assessment'!$A81,'01 assessment'!$M$4:$M$1000,"&lt;&gt;")+COUNTIFS('01 assessment'!$A$4:$A$1000,'01 assessment'!$A81,'01 assessment'!$B$4:$B$1000,"&gt;"&amp;'01 assessment'!$B81,'01 assessment'!$M$4:$M$1000,"&lt;&gt;")+COUNTIFS('01 assessment'!$A$4:$A$1000,'01 assessment'!$A81,'01 assessment'!$B$4:$B$1000,'01 assessment'!$B81,'01 assessment'!$M$4:$M$1000,"&lt;"&amp;'01 assessment'!$M81))</f>
        <v/>
      </c>
    </row>
    <row r="82" spans="1:36">
      <c r="A82" s="23">
        <v>59</v>
      </c>
      <c r="B82" s="25" t="str">
        <f t="shared" si="9"/>
        <v>Ward 1</v>
      </c>
      <c r="C82" s="23">
        <f t="shared" si="10"/>
        <v>13</v>
      </c>
      <c r="D82" s="23" t="str">
        <f t="shared" si="11"/>
        <v>CLOSED</v>
      </c>
      <c r="E82" s="23">
        <f t="shared" si="12"/>
        <v>9</v>
      </c>
      <c r="F82" s="23" t="str">
        <f t="shared" si="13"/>
        <v>HIGH</v>
      </c>
      <c r="G82" s="27">
        <f t="shared" si="14"/>
        <v>46145</v>
      </c>
      <c r="H82" s="23" t="str">
        <f t="shared" si="15"/>
        <v>RAH01-2026-059</v>
      </c>
      <c r="I82" s="23" t="str">
        <f t="shared" si="16"/>
        <v>Immediate corrective action</v>
      </c>
      <c r="T82" t="str">
        <f t="shared" si="17"/>
        <v>ASM-2026-059</v>
      </c>
      <c r="W82" t="str">
        <f>IFERROR(INDEX('01 assessment'!$A$4:$A$1000,MATCH(ROWS($W$4:W82),$AJ$4:$AJ$1000,0)),"")</f>
        <v/>
      </c>
      <c r="X82" t="str">
        <f>IFERROR(INDEX('01 assessment'!$F$4:$F$1000,MATCH(ROWS($X$4:X82),$AJ$4:$AJ$1000,0)),"")</f>
        <v/>
      </c>
      <c r="Y82" t="str">
        <f>IFERROR(INDEX('01 assessment'!$C$4:$C$1000,MATCH(ROWS($Y$4:Y82),$AJ$4:$AJ$1000,0)),"")</f>
        <v/>
      </c>
      <c r="Z82" t="str">
        <f>IFERROR(INDEX('01 assessment'!$G$4:$G$1000,MATCH(ROWS($Z$4:Z82),$AJ$4:$AJ$1000,0)),"")</f>
        <v/>
      </c>
      <c r="AA82" t="str">
        <f>IFERROR(INDEX('01 assessment'!$H$4:$H$1000,MATCH(ROWS($AA$4:AA82),$AJ$4:$AJ$1000,0)),"")</f>
        <v/>
      </c>
      <c r="AB82" t="str">
        <f>IFERROR(INDEX('01 assessment'!$B$4:$B$1000,MATCH(ROWS($AB$4:AB82),$AJ$4:$AJ$1000,0)),"")</f>
        <v/>
      </c>
      <c r="AC82" t="str">
        <f>IFERROR(INDEX('01 assessment'!$I$4:$I$1000,MATCH(ROWS($AC$4:AC82),$AJ$4:$AJ$1000,0)),"")</f>
        <v/>
      </c>
      <c r="AD82" t="str">
        <f>IFERROR(INDEX('01 assessment'!$M$4:$M$1000,MATCH(ROWS($AD$4:AD82),$AJ$4:$AJ$1000,0)),"")</f>
        <v/>
      </c>
      <c r="AG82" t="str">
        <f>IF('01 assessment'!$M82="","",1+COUNTIFS('01 assessment'!$L$4:$L$1000,'01 assessment'!$L82,'01 assessment'!$J$4:$J$1000,"&gt;"&amp;'01 assessment'!$J82)+COUNTIFS('01 assessment'!$L$4:$L$1000,'01 assessment'!$L82,'01 assessment'!$J$4:$J$1000,'01 assessment'!$J82,'01 assessment'!$M$4:$M$1000,"&lt;"&amp;'01 assessment'!$M82))</f>
        <v/>
      </c>
      <c r="AH82" t="str">
        <f>IF(OR($AG82&lt;&gt;1,'01 assessment'!$M82=""),"",SUMIFS('04 Hazards'!$K$4:$K$1000,'04 Hazards'!$S$4:$S$1000,'01 assessment'!$M82,'04 Hazards'!$R$4:$R$1000,TRUE,'04 Hazards'!$U$4:$U$1000,TRUE))</f>
        <v/>
      </c>
      <c r="AI82" t="str">
        <f>IF(OR($AG82&lt;&gt;1,$AH82&lt;=0),"",1+COUNTIFS($AG$4:$AG$1000,1,$AH$4:$AH$1000,"&gt;"&amp;$AH82)+COUNTIFS($AG$4:$AG$1000,1,$AH$4:$AH$1000,$AH82,'01 assessment'!$A$4:$A$1000,"&lt;"&amp;'01 assessment'!$A82))</f>
        <v/>
      </c>
      <c r="AJ82" t="str">
        <f>IF('01 assessment'!$M82="","",1+COUNTIFS('01 assessment'!$A$4:$A$1000,"&lt;"&amp;'01 assessment'!$A82,'01 assessment'!$M$4:$M$1000,"&lt;&gt;")+COUNTIFS('01 assessment'!$A$4:$A$1000,'01 assessment'!$A82,'01 assessment'!$B$4:$B$1000,"&gt;"&amp;'01 assessment'!$B82,'01 assessment'!$M$4:$M$1000,"&lt;&gt;")+COUNTIFS('01 assessment'!$A$4:$A$1000,'01 assessment'!$A82,'01 assessment'!$B$4:$B$1000,'01 assessment'!$B82,'01 assessment'!$M$4:$M$1000,"&lt;"&amp;'01 assessment'!$M82))</f>
        <v/>
      </c>
    </row>
    <row r="83" spans="1:36">
      <c r="A83" s="23">
        <v>60</v>
      </c>
      <c r="B83" s="25" t="str">
        <f t="shared" si="9"/>
        <v>Ward 10</v>
      </c>
      <c r="C83" s="23">
        <f t="shared" si="10"/>
        <v>18</v>
      </c>
      <c r="D83" s="23" t="str">
        <f t="shared" si="11"/>
        <v>CLOSED</v>
      </c>
      <c r="E83" s="23">
        <f t="shared" si="12"/>
        <v>9</v>
      </c>
      <c r="F83" s="23" t="str">
        <f t="shared" si="13"/>
        <v>HIGH</v>
      </c>
      <c r="G83" s="27">
        <f t="shared" si="14"/>
        <v>46058</v>
      </c>
      <c r="H83" s="23" t="str">
        <f t="shared" si="15"/>
        <v>RAH01-2026-068</v>
      </c>
      <c r="I83" s="23" t="str">
        <f t="shared" si="16"/>
        <v>Immediate corrective action</v>
      </c>
      <c r="T83" t="str">
        <f t="shared" si="17"/>
        <v>ASM-2026-068</v>
      </c>
      <c r="W83" t="str">
        <f>IFERROR(INDEX('01 assessment'!$A$4:$A$1000,MATCH(ROWS($W$4:W83),$AJ$4:$AJ$1000,0)),"")</f>
        <v/>
      </c>
      <c r="X83" t="str">
        <f>IFERROR(INDEX('01 assessment'!$F$4:$F$1000,MATCH(ROWS($X$4:X83),$AJ$4:$AJ$1000,0)),"")</f>
        <v/>
      </c>
      <c r="Y83" t="str">
        <f>IFERROR(INDEX('01 assessment'!$C$4:$C$1000,MATCH(ROWS($Y$4:Y83),$AJ$4:$AJ$1000,0)),"")</f>
        <v/>
      </c>
      <c r="Z83" t="str">
        <f>IFERROR(INDEX('01 assessment'!$G$4:$G$1000,MATCH(ROWS($Z$4:Z83),$AJ$4:$AJ$1000,0)),"")</f>
        <v/>
      </c>
      <c r="AA83" t="str">
        <f>IFERROR(INDEX('01 assessment'!$H$4:$H$1000,MATCH(ROWS($AA$4:AA83),$AJ$4:$AJ$1000,0)),"")</f>
        <v/>
      </c>
      <c r="AB83" t="str">
        <f>IFERROR(INDEX('01 assessment'!$B$4:$B$1000,MATCH(ROWS($AB$4:AB83),$AJ$4:$AJ$1000,0)),"")</f>
        <v/>
      </c>
      <c r="AC83" t="str">
        <f>IFERROR(INDEX('01 assessment'!$I$4:$I$1000,MATCH(ROWS($AC$4:AC83),$AJ$4:$AJ$1000,0)),"")</f>
        <v/>
      </c>
      <c r="AD83" t="str">
        <f>IFERROR(INDEX('01 assessment'!$M$4:$M$1000,MATCH(ROWS($AD$4:AD83),$AJ$4:$AJ$1000,0)),"")</f>
        <v/>
      </c>
      <c r="AG83" t="str">
        <f>IF('01 assessment'!$M83="","",1+COUNTIFS('01 assessment'!$L$4:$L$1000,'01 assessment'!$L83,'01 assessment'!$J$4:$J$1000,"&gt;"&amp;'01 assessment'!$J83)+COUNTIFS('01 assessment'!$L$4:$L$1000,'01 assessment'!$L83,'01 assessment'!$J$4:$J$1000,'01 assessment'!$J83,'01 assessment'!$M$4:$M$1000,"&lt;"&amp;'01 assessment'!$M83))</f>
        <v/>
      </c>
      <c r="AH83" t="str">
        <f>IF(OR($AG83&lt;&gt;1,'01 assessment'!$M83=""),"",SUMIFS('04 Hazards'!$K$4:$K$1000,'04 Hazards'!$S$4:$S$1000,'01 assessment'!$M83,'04 Hazards'!$R$4:$R$1000,TRUE,'04 Hazards'!$U$4:$U$1000,TRUE))</f>
        <v/>
      </c>
      <c r="AI83" t="str">
        <f>IF(OR($AG83&lt;&gt;1,$AH83&lt;=0),"",1+COUNTIFS($AG$4:$AG$1000,1,$AH$4:$AH$1000,"&gt;"&amp;$AH83)+COUNTIFS($AG$4:$AG$1000,1,$AH$4:$AH$1000,$AH83,'01 assessment'!$A$4:$A$1000,"&lt;"&amp;'01 assessment'!$A83))</f>
        <v/>
      </c>
      <c r="AJ83" t="str">
        <f>IF('01 assessment'!$M83="","",1+COUNTIFS('01 assessment'!$A$4:$A$1000,"&lt;"&amp;'01 assessment'!$A83,'01 assessment'!$M$4:$M$1000,"&lt;&gt;")+COUNTIFS('01 assessment'!$A$4:$A$1000,'01 assessment'!$A83,'01 assessment'!$B$4:$B$1000,"&gt;"&amp;'01 assessment'!$B83,'01 assessment'!$M$4:$M$1000,"&lt;&gt;")+COUNTIFS('01 assessment'!$A$4:$A$1000,'01 assessment'!$A83,'01 assessment'!$B$4:$B$1000,'01 assessment'!$B83,'01 assessment'!$M$4:$M$1000,"&lt;"&amp;'01 assessment'!$M83))</f>
        <v/>
      </c>
    </row>
    <row r="84" spans="1:36">
      <c r="A84" s="23">
        <v>61</v>
      </c>
      <c r="B84" s="25" t="str">
        <f t="shared" si="9"/>
        <v>Ward 2</v>
      </c>
      <c r="C84" s="23">
        <f t="shared" si="10"/>
        <v>20</v>
      </c>
      <c r="D84" s="23" t="str">
        <f t="shared" si="11"/>
        <v>RETURNED</v>
      </c>
      <c r="E84" s="23">
        <f t="shared" si="12"/>
        <v>9</v>
      </c>
      <c r="F84" s="23" t="str">
        <f t="shared" si="13"/>
        <v>HIGH</v>
      </c>
      <c r="G84" s="27">
        <f t="shared" si="14"/>
        <v>46179</v>
      </c>
      <c r="H84" s="23" t="str">
        <f t="shared" si="15"/>
        <v>RAH01-2026-060</v>
      </c>
      <c r="I84" s="23" t="str">
        <f t="shared" si="16"/>
        <v>Immediate corrective action</v>
      </c>
      <c r="T84" t="str">
        <f t="shared" si="17"/>
        <v>ASM-2026-060</v>
      </c>
      <c r="W84" t="str">
        <f>IFERROR(INDEX('01 assessment'!$A$4:$A$1000,MATCH(ROWS($W$4:W84),$AJ$4:$AJ$1000,0)),"")</f>
        <v/>
      </c>
      <c r="X84" t="str">
        <f>IFERROR(INDEX('01 assessment'!$F$4:$F$1000,MATCH(ROWS($X$4:X84),$AJ$4:$AJ$1000,0)),"")</f>
        <v/>
      </c>
      <c r="Y84" t="str">
        <f>IFERROR(INDEX('01 assessment'!$C$4:$C$1000,MATCH(ROWS($Y$4:Y84),$AJ$4:$AJ$1000,0)),"")</f>
        <v/>
      </c>
      <c r="Z84" t="str">
        <f>IFERROR(INDEX('01 assessment'!$G$4:$G$1000,MATCH(ROWS($Z$4:Z84),$AJ$4:$AJ$1000,0)),"")</f>
        <v/>
      </c>
      <c r="AA84" t="str">
        <f>IFERROR(INDEX('01 assessment'!$H$4:$H$1000,MATCH(ROWS($AA$4:AA84),$AJ$4:$AJ$1000,0)),"")</f>
        <v/>
      </c>
      <c r="AB84" t="str">
        <f>IFERROR(INDEX('01 assessment'!$B$4:$B$1000,MATCH(ROWS($AB$4:AB84),$AJ$4:$AJ$1000,0)),"")</f>
        <v/>
      </c>
      <c r="AC84" t="str">
        <f>IFERROR(INDEX('01 assessment'!$I$4:$I$1000,MATCH(ROWS($AC$4:AC84),$AJ$4:$AJ$1000,0)),"")</f>
        <v/>
      </c>
      <c r="AD84" t="str">
        <f>IFERROR(INDEX('01 assessment'!$M$4:$M$1000,MATCH(ROWS($AD$4:AD84),$AJ$4:$AJ$1000,0)),"")</f>
        <v/>
      </c>
      <c r="AG84" t="str">
        <f>IF('01 assessment'!$M84="","",1+COUNTIFS('01 assessment'!$L$4:$L$1000,'01 assessment'!$L84,'01 assessment'!$J$4:$J$1000,"&gt;"&amp;'01 assessment'!$J84)+COUNTIFS('01 assessment'!$L$4:$L$1000,'01 assessment'!$L84,'01 assessment'!$J$4:$J$1000,'01 assessment'!$J84,'01 assessment'!$M$4:$M$1000,"&lt;"&amp;'01 assessment'!$M84))</f>
        <v/>
      </c>
      <c r="AH84" t="str">
        <f>IF(OR($AG84&lt;&gt;1,'01 assessment'!$M84=""),"",SUMIFS('04 Hazards'!$K$4:$K$1000,'04 Hazards'!$S$4:$S$1000,'01 assessment'!$M84,'04 Hazards'!$R$4:$R$1000,TRUE,'04 Hazards'!$U$4:$U$1000,TRUE))</f>
        <v/>
      </c>
      <c r="AI84" t="str">
        <f>IF(OR($AG84&lt;&gt;1,$AH84&lt;=0),"",1+COUNTIFS($AG$4:$AG$1000,1,$AH$4:$AH$1000,"&gt;"&amp;$AH84)+COUNTIFS($AG$4:$AG$1000,1,$AH$4:$AH$1000,$AH84,'01 assessment'!$A$4:$A$1000,"&lt;"&amp;'01 assessment'!$A84))</f>
        <v/>
      </c>
      <c r="AJ84" t="str">
        <f>IF('01 assessment'!$M84="","",1+COUNTIFS('01 assessment'!$A$4:$A$1000,"&lt;"&amp;'01 assessment'!$A84,'01 assessment'!$M$4:$M$1000,"&lt;&gt;")+COUNTIFS('01 assessment'!$A$4:$A$1000,'01 assessment'!$A84,'01 assessment'!$B$4:$B$1000,"&gt;"&amp;'01 assessment'!$B84,'01 assessment'!$M$4:$M$1000,"&lt;&gt;")+COUNTIFS('01 assessment'!$A$4:$A$1000,'01 assessment'!$A84,'01 assessment'!$B$4:$B$1000,'01 assessment'!$B84,'01 assessment'!$M$4:$M$1000,"&lt;"&amp;'01 assessment'!$M84))</f>
        <v/>
      </c>
    </row>
    <row r="85" spans="1:36">
      <c r="A85" s="23">
        <v>62</v>
      </c>
      <c r="B85" s="25" t="str">
        <f t="shared" si="9"/>
        <v>Ward 3</v>
      </c>
      <c r="C85" s="23">
        <f t="shared" si="10"/>
        <v>27</v>
      </c>
      <c r="D85" s="23" t="str">
        <f t="shared" si="11"/>
        <v>SUBMITTED</v>
      </c>
      <c r="E85" s="23">
        <f t="shared" si="12"/>
        <v>9</v>
      </c>
      <c r="F85" s="23" t="str">
        <f t="shared" si="13"/>
        <v>HIGH</v>
      </c>
      <c r="G85" s="27">
        <f t="shared" si="14"/>
        <v>46031</v>
      </c>
      <c r="H85" s="23" t="str">
        <f t="shared" si="15"/>
        <v>RAH01-2026-061</v>
      </c>
      <c r="I85" s="23" t="str">
        <f t="shared" si="16"/>
        <v>Immediate corrective action</v>
      </c>
      <c r="T85" t="str">
        <f t="shared" si="17"/>
        <v>ASM-2026-061</v>
      </c>
      <c r="W85" t="str">
        <f>IFERROR(INDEX('01 assessment'!$A$4:$A$1000,MATCH(ROWS($W$4:W85),$AJ$4:$AJ$1000,0)),"")</f>
        <v/>
      </c>
      <c r="X85" t="str">
        <f>IFERROR(INDEX('01 assessment'!$F$4:$F$1000,MATCH(ROWS($X$4:X85),$AJ$4:$AJ$1000,0)),"")</f>
        <v/>
      </c>
      <c r="Y85" t="str">
        <f>IFERROR(INDEX('01 assessment'!$C$4:$C$1000,MATCH(ROWS($Y$4:Y85),$AJ$4:$AJ$1000,0)),"")</f>
        <v/>
      </c>
      <c r="Z85" t="str">
        <f>IFERROR(INDEX('01 assessment'!$G$4:$G$1000,MATCH(ROWS($Z$4:Z85),$AJ$4:$AJ$1000,0)),"")</f>
        <v/>
      </c>
      <c r="AA85" t="str">
        <f>IFERROR(INDEX('01 assessment'!$H$4:$H$1000,MATCH(ROWS($AA$4:AA85),$AJ$4:$AJ$1000,0)),"")</f>
        <v/>
      </c>
      <c r="AB85" t="str">
        <f>IFERROR(INDEX('01 assessment'!$B$4:$B$1000,MATCH(ROWS($AB$4:AB85),$AJ$4:$AJ$1000,0)),"")</f>
        <v/>
      </c>
      <c r="AC85" t="str">
        <f>IFERROR(INDEX('01 assessment'!$I$4:$I$1000,MATCH(ROWS($AC$4:AC85),$AJ$4:$AJ$1000,0)),"")</f>
        <v/>
      </c>
      <c r="AD85" t="str">
        <f>IFERROR(INDEX('01 assessment'!$M$4:$M$1000,MATCH(ROWS($AD$4:AD85),$AJ$4:$AJ$1000,0)),"")</f>
        <v/>
      </c>
      <c r="AG85" t="str">
        <f>IF('01 assessment'!$M85="","",1+COUNTIFS('01 assessment'!$L$4:$L$1000,'01 assessment'!$L85,'01 assessment'!$J$4:$J$1000,"&gt;"&amp;'01 assessment'!$J85)+COUNTIFS('01 assessment'!$L$4:$L$1000,'01 assessment'!$L85,'01 assessment'!$J$4:$J$1000,'01 assessment'!$J85,'01 assessment'!$M$4:$M$1000,"&lt;"&amp;'01 assessment'!$M85))</f>
        <v/>
      </c>
      <c r="AH85" t="str">
        <f>IF(OR($AG85&lt;&gt;1,'01 assessment'!$M85=""),"",SUMIFS('04 Hazards'!$K$4:$K$1000,'04 Hazards'!$S$4:$S$1000,'01 assessment'!$M85,'04 Hazards'!$R$4:$R$1000,TRUE,'04 Hazards'!$U$4:$U$1000,TRUE))</f>
        <v/>
      </c>
      <c r="AI85" t="str">
        <f>IF(OR($AG85&lt;&gt;1,$AH85&lt;=0),"",1+COUNTIFS($AG$4:$AG$1000,1,$AH$4:$AH$1000,"&gt;"&amp;$AH85)+COUNTIFS($AG$4:$AG$1000,1,$AH$4:$AH$1000,$AH85,'01 assessment'!$A$4:$A$1000,"&lt;"&amp;'01 assessment'!$A85))</f>
        <v/>
      </c>
      <c r="AJ85" t="str">
        <f>IF('01 assessment'!$M85="","",1+COUNTIFS('01 assessment'!$A$4:$A$1000,"&lt;"&amp;'01 assessment'!$A85,'01 assessment'!$M$4:$M$1000,"&lt;&gt;")+COUNTIFS('01 assessment'!$A$4:$A$1000,'01 assessment'!$A85,'01 assessment'!$B$4:$B$1000,"&gt;"&amp;'01 assessment'!$B85,'01 assessment'!$M$4:$M$1000,"&lt;&gt;")+COUNTIFS('01 assessment'!$A$4:$A$1000,'01 assessment'!$A85,'01 assessment'!$B$4:$B$1000,'01 assessment'!$B85,'01 assessment'!$M$4:$M$1000,"&lt;"&amp;'01 assessment'!$M85))</f>
        <v/>
      </c>
    </row>
    <row r="86" spans="1:36">
      <c r="A86" s="23">
        <v>63</v>
      </c>
      <c r="B86" s="25" t="str">
        <f t="shared" si="9"/>
        <v>Ward 4</v>
      </c>
      <c r="C86" s="23">
        <f t="shared" si="10"/>
        <v>34</v>
      </c>
      <c r="D86" s="23" t="str">
        <f t="shared" si="11"/>
        <v>IN_REVIEW</v>
      </c>
      <c r="E86" s="23">
        <f t="shared" si="12"/>
        <v>9</v>
      </c>
      <c r="F86" s="23" t="str">
        <f t="shared" si="13"/>
        <v>HIGH</v>
      </c>
      <c r="G86" s="27">
        <f t="shared" si="14"/>
        <v>46065</v>
      </c>
      <c r="H86" s="23" t="str">
        <f t="shared" si="15"/>
        <v>RAH01-2026-062</v>
      </c>
      <c r="I86" s="23" t="str">
        <f t="shared" si="16"/>
        <v>Immediate corrective action</v>
      </c>
      <c r="T86" t="str">
        <f t="shared" si="17"/>
        <v>ASM-2026-062</v>
      </c>
      <c r="W86" t="str">
        <f>IFERROR(INDEX('01 assessment'!$A$4:$A$1000,MATCH(ROWS($W$4:W86),$AJ$4:$AJ$1000,0)),"")</f>
        <v/>
      </c>
      <c r="X86" t="str">
        <f>IFERROR(INDEX('01 assessment'!$F$4:$F$1000,MATCH(ROWS($X$4:X86),$AJ$4:$AJ$1000,0)),"")</f>
        <v/>
      </c>
      <c r="Y86" t="str">
        <f>IFERROR(INDEX('01 assessment'!$C$4:$C$1000,MATCH(ROWS($Y$4:Y86),$AJ$4:$AJ$1000,0)),"")</f>
        <v/>
      </c>
      <c r="Z86" t="str">
        <f>IFERROR(INDEX('01 assessment'!$G$4:$G$1000,MATCH(ROWS($Z$4:Z86),$AJ$4:$AJ$1000,0)),"")</f>
        <v/>
      </c>
      <c r="AA86" t="str">
        <f>IFERROR(INDEX('01 assessment'!$H$4:$H$1000,MATCH(ROWS($AA$4:AA86),$AJ$4:$AJ$1000,0)),"")</f>
        <v/>
      </c>
      <c r="AB86" t="str">
        <f>IFERROR(INDEX('01 assessment'!$B$4:$B$1000,MATCH(ROWS($AB$4:AB86),$AJ$4:$AJ$1000,0)),"")</f>
        <v/>
      </c>
      <c r="AC86" t="str">
        <f>IFERROR(INDEX('01 assessment'!$I$4:$I$1000,MATCH(ROWS($AC$4:AC86),$AJ$4:$AJ$1000,0)),"")</f>
        <v/>
      </c>
      <c r="AD86" t="str">
        <f>IFERROR(INDEX('01 assessment'!$M$4:$M$1000,MATCH(ROWS($AD$4:AD86),$AJ$4:$AJ$1000,0)),"")</f>
        <v/>
      </c>
      <c r="AG86" t="str">
        <f>IF('01 assessment'!$M86="","",1+COUNTIFS('01 assessment'!$L$4:$L$1000,'01 assessment'!$L86,'01 assessment'!$J$4:$J$1000,"&gt;"&amp;'01 assessment'!$J86)+COUNTIFS('01 assessment'!$L$4:$L$1000,'01 assessment'!$L86,'01 assessment'!$J$4:$J$1000,'01 assessment'!$J86,'01 assessment'!$M$4:$M$1000,"&lt;"&amp;'01 assessment'!$M86))</f>
        <v/>
      </c>
      <c r="AH86" t="str">
        <f>IF(OR($AG86&lt;&gt;1,'01 assessment'!$M86=""),"",SUMIFS('04 Hazards'!$K$4:$K$1000,'04 Hazards'!$S$4:$S$1000,'01 assessment'!$M86,'04 Hazards'!$R$4:$R$1000,TRUE,'04 Hazards'!$U$4:$U$1000,TRUE))</f>
        <v/>
      </c>
      <c r="AI86" t="str">
        <f>IF(OR($AG86&lt;&gt;1,$AH86&lt;=0),"",1+COUNTIFS($AG$4:$AG$1000,1,$AH$4:$AH$1000,"&gt;"&amp;$AH86)+COUNTIFS($AG$4:$AG$1000,1,$AH$4:$AH$1000,$AH86,'01 assessment'!$A$4:$A$1000,"&lt;"&amp;'01 assessment'!$A86))</f>
        <v/>
      </c>
      <c r="AJ86" t="str">
        <f>IF('01 assessment'!$M86="","",1+COUNTIFS('01 assessment'!$A$4:$A$1000,"&lt;"&amp;'01 assessment'!$A86,'01 assessment'!$M$4:$M$1000,"&lt;&gt;")+COUNTIFS('01 assessment'!$A$4:$A$1000,'01 assessment'!$A86,'01 assessment'!$B$4:$B$1000,"&gt;"&amp;'01 assessment'!$B86,'01 assessment'!$M$4:$M$1000,"&lt;&gt;")+COUNTIFS('01 assessment'!$A$4:$A$1000,'01 assessment'!$A86,'01 assessment'!$B$4:$B$1000,'01 assessment'!$B86,'01 assessment'!$M$4:$M$1000,"&lt;"&amp;'01 assessment'!$M86))</f>
        <v/>
      </c>
    </row>
    <row r="87" spans="1:36">
      <c r="A87" s="23">
        <v>64</v>
      </c>
      <c r="B87" s="25" t="str">
        <f t="shared" si="9"/>
        <v>Ward 5</v>
      </c>
      <c r="C87" s="23">
        <f t="shared" si="10"/>
        <v>41</v>
      </c>
      <c r="D87" s="23" t="str">
        <f t="shared" si="11"/>
        <v>CLOSED</v>
      </c>
      <c r="E87" s="23">
        <f t="shared" si="12"/>
        <v>4</v>
      </c>
      <c r="F87" s="23" t="str">
        <f t="shared" si="13"/>
        <v>MEDIUM</v>
      </c>
      <c r="G87" s="27">
        <f t="shared" si="14"/>
        <v>46096</v>
      </c>
      <c r="H87" s="23" t="str">
        <f t="shared" si="15"/>
        <v>RAH01-2026-063</v>
      </c>
      <c r="I87" s="23" t="str">
        <f t="shared" si="16"/>
        <v>Document improvement plan</v>
      </c>
      <c r="T87" t="str">
        <f t="shared" si="17"/>
        <v>ASM-2026-063</v>
      </c>
      <c r="W87" t="str">
        <f>IFERROR(INDEX('01 assessment'!$A$4:$A$1000,MATCH(ROWS($W$4:W87),$AJ$4:$AJ$1000,0)),"")</f>
        <v/>
      </c>
      <c r="X87" t="str">
        <f>IFERROR(INDEX('01 assessment'!$F$4:$F$1000,MATCH(ROWS($X$4:X87),$AJ$4:$AJ$1000,0)),"")</f>
        <v/>
      </c>
      <c r="Y87" t="str">
        <f>IFERROR(INDEX('01 assessment'!$C$4:$C$1000,MATCH(ROWS($Y$4:Y87),$AJ$4:$AJ$1000,0)),"")</f>
        <v/>
      </c>
      <c r="Z87" t="str">
        <f>IFERROR(INDEX('01 assessment'!$G$4:$G$1000,MATCH(ROWS($Z$4:Z87),$AJ$4:$AJ$1000,0)),"")</f>
        <v/>
      </c>
      <c r="AA87" t="str">
        <f>IFERROR(INDEX('01 assessment'!$H$4:$H$1000,MATCH(ROWS($AA$4:AA87),$AJ$4:$AJ$1000,0)),"")</f>
        <v/>
      </c>
      <c r="AB87" t="str">
        <f>IFERROR(INDEX('01 assessment'!$B$4:$B$1000,MATCH(ROWS($AB$4:AB87),$AJ$4:$AJ$1000,0)),"")</f>
        <v/>
      </c>
      <c r="AC87" t="str">
        <f>IFERROR(INDEX('01 assessment'!$I$4:$I$1000,MATCH(ROWS($AC$4:AC87),$AJ$4:$AJ$1000,0)),"")</f>
        <v/>
      </c>
      <c r="AD87" t="str">
        <f>IFERROR(INDEX('01 assessment'!$M$4:$M$1000,MATCH(ROWS($AD$4:AD87),$AJ$4:$AJ$1000,0)),"")</f>
        <v/>
      </c>
      <c r="AG87" t="str">
        <f>IF('01 assessment'!$M87="","",1+COUNTIFS('01 assessment'!$L$4:$L$1000,'01 assessment'!$L87,'01 assessment'!$J$4:$J$1000,"&gt;"&amp;'01 assessment'!$J87)+COUNTIFS('01 assessment'!$L$4:$L$1000,'01 assessment'!$L87,'01 assessment'!$J$4:$J$1000,'01 assessment'!$J87,'01 assessment'!$M$4:$M$1000,"&lt;"&amp;'01 assessment'!$M87))</f>
        <v/>
      </c>
      <c r="AH87" t="str">
        <f>IF(OR($AG87&lt;&gt;1,'01 assessment'!$M87=""),"",SUMIFS('04 Hazards'!$K$4:$K$1000,'04 Hazards'!$S$4:$S$1000,'01 assessment'!$M87,'04 Hazards'!$R$4:$R$1000,TRUE,'04 Hazards'!$U$4:$U$1000,TRUE))</f>
        <v/>
      </c>
      <c r="AI87" t="str">
        <f>IF(OR($AG87&lt;&gt;1,$AH87&lt;=0),"",1+COUNTIFS($AG$4:$AG$1000,1,$AH$4:$AH$1000,"&gt;"&amp;$AH87)+COUNTIFS($AG$4:$AG$1000,1,$AH$4:$AH$1000,$AH87,'01 assessment'!$A$4:$A$1000,"&lt;"&amp;'01 assessment'!$A87))</f>
        <v/>
      </c>
      <c r="AJ87" t="str">
        <f>IF('01 assessment'!$M87="","",1+COUNTIFS('01 assessment'!$A$4:$A$1000,"&lt;"&amp;'01 assessment'!$A87,'01 assessment'!$M$4:$M$1000,"&lt;&gt;")+COUNTIFS('01 assessment'!$A$4:$A$1000,'01 assessment'!$A87,'01 assessment'!$B$4:$B$1000,"&gt;"&amp;'01 assessment'!$B87,'01 assessment'!$M$4:$M$1000,"&lt;&gt;")+COUNTIFS('01 assessment'!$A$4:$A$1000,'01 assessment'!$A87,'01 assessment'!$B$4:$B$1000,'01 assessment'!$B87,'01 assessment'!$M$4:$M$1000,"&lt;"&amp;'01 assessment'!$M87))</f>
        <v/>
      </c>
    </row>
    <row r="88" spans="1:36">
      <c r="A88" s="23">
        <v>65</v>
      </c>
      <c r="B88" s="25" t="str">
        <f t="shared" ref="B88:B119" si="18">IFERROR(INDEX($W$4:$AD$153,$A88,1),"")</f>
        <v>Ward 6</v>
      </c>
      <c r="C88" s="23">
        <f t="shared" ref="C88:C119" si="19">IFERROR(INDEX($W$4:$AD$153,$A88,2),"")</f>
        <v>48</v>
      </c>
      <c r="D88" s="23" t="str">
        <f t="shared" ref="D88:D119" si="20">IFERROR(INDEX($W$4:$AD$153,$A88,3),"")</f>
        <v>CLOSED</v>
      </c>
      <c r="E88" s="23">
        <f t="shared" ref="E88:E119" si="21">IFERROR(INDEX($W$4:$AD$153,$A88,4),"")</f>
        <v>9</v>
      </c>
      <c r="F88" s="23" t="str">
        <f t="shared" ref="F88:F119" si="22">IFERROR(INDEX($W$4:$AD$153,$A88,5),"")</f>
        <v>HIGH</v>
      </c>
      <c r="G88" s="27">
        <f t="shared" ref="G88:G119" si="23">IFERROR(INDEX($W$4:$AD$153,$A88,6),"")</f>
        <v>46130</v>
      </c>
      <c r="H88" s="23" t="str">
        <f t="shared" ref="H88:H119" si="24">IFERROR(INDEX($W$4:$AD$153,$A88,7),"")</f>
        <v>RAH01-2026-064</v>
      </c>
      <c r="I88" s="23" t="str">
        <f t="shared" ref="I88:I119" si="25">IF(E88="","",IF(E88&gt;=6,"Immediate corrective action",IF(E88&gt;=3,"Document improvement plan","Maintain controls")))</f>
        <v>Immediate corrective action</v>
      </c>
      <c r="T88" t="str">
        <f t="shared" ref="T88:T119" si="26">IFERROR(INDEX($W$4:$AD$153,$A88,8),"")</f>
        <v>ASM-2026-064</v>
      </c>
      <c r="W88" t="str">
        <f>IFERROR(INDEX('01 assessment'!$A$4:$A$1000,MATCH(ROWS($W$4:W88),$AJ$4:$AJ$1000,0)),"")</f>
        <v/>
      </c>
      <c r="X88" t="str">
        <f>IFERROR(INDEX('01 assessment'!$F$4:$F$1000,MATCH(ROWS($X$4:X88),$AJ$4:$AJ$1000,0)),"")</f>
        <v/>
      </c>
      <c r="Y88" t="str">
        <f>IFERROR(INDEX('01 assessment'!$C$4:$C$1000,MATCH(ROWS($Y$4:Y88),$AJ$4:$AJ$1000,0)),"")</f>
        <v/>
      </c>
      <c r="Z88" t="str">
        <f>IFERROR(INDEX('01 assessment'!$G$4:$G$1000,MATCH(ROWS($Z$4:Z88),$AJ$4:$AJ$1000,0)),"")</f>
        <v/>
      </c>
      <c r="AA88" t="str">
        <f>IFERROR(INDEX('01 assessment'!$H$4:$H$1000,MATCH(ROWS($AA$4:AA88),$AJ$4:$AJ$1000,0)),"")</f>
        <v/>
      </c>
      <c r="AB88" t="str">
        <f>IFERROR(INDEX('01 assessment'!$B$4:$B$1000,MATCH(ROWS($AB$4:AB88),$AJ$4:$AJ$1000,0)),"")</f>
        <v/>
      </c>
      <c r="AC88" t="str">
        <f>IFERROR(INDEX('01 assessment'!$I$4:$I$1000,MATCH(ROWS($AC$4:AC88),$AJ$4:$AJ$1000,0)),"")</f>
        <v/>
      </c>
      <c r="AD88" t="str">
        <f>IFERROR(INDEX('01 assessment'!$M$4:$M$1000,MATCH(ROWS($AD$4:AD88),$AJ$4:$AJ$1000,0)),"")</f>
        <v/>
      </c>
      <c r="AG88" t="str">
        <f>IF('01 assessment'!$M88="","",1+COUNTIFS('01 assessment'!$L$4:$L$1000,'01 assessment'!$L88,'01 assessment'!$J$4:$J$1000,"&gt;"&amp;'01 assessment'!$J88)+COUNTIFS('01 assessment'!$L$4:$L$1000,'01 assessment'!$L88,'01 assessment'!$J$4:$J$1000,'01 assessment'!$J88,'01 assessment'!$M$4:$M$1000,"&lt;"&amp;'01 assessment'!$M88))</f>
        <v/>
      </c>
      <c r="AH88" t="str">
        <f>IF(OR($AG88&lt;&gt;1,'01 assessment'!$M88=""),"",SUMIFS('04 Hazards'!$K$4:$K$1000,'04 Hazards'!$S$4:$S$1000,'01 assessment'!$M88,'04 Hazards'!$R$4:$R$1000,TRUE,'04 Hazards'!$U$4:$U$1000,TRUE))</f>
        <v/>
      </c>
      <c r="AI88" t="str">
        <f>IF(OR($AG88&lt;&gt;1,$AH88&lt;=0),"",1+COUNTIFS($AG$4:$AG$1000,1,$AH$4:$AH$1000,"&gt;"&amp;$AH88)+COUNTIFS($AG$4:$AG$1000,1,$AH$4:$AH$1000,$AH88,'01 assessment'!$A$4:$A$1000,"&lt;"&amp;'01 assessment'!$A88))</f>
        <v/>
      </c>
      <c r="AJ88" t="str">
        <f>IF('01 assessment'!$M88="","",1+COUNTIFS('01 assessment'!$A$4:$A$1000,"&lt;"&amp;'01 assessment'!$A88,'01 assessment'!$M$4:$M$1000,"&lt;&gt;")+COUNTIFS('01 assessment'!$A$4:$A$1000,'01 assessment'!$A88,'01 assessment'!$B$4:$B$1000,"&gt;"&amp;'01 assessment'!$B88,'01 assessment'!$M$4:$M$1000,"&lt;&gt;")+COUNTIFS('01 assessment'!$A$4:$A$1000,'01 assessment'!$A88,'01 assessment'!$B$4:$B$1000,'01 assessment'!$B88,'01 assessment'!$M$4:$M$1000,"&lt;"&amp;'01 assessment'!$M88))</f>
        <v/>
      </c>
    </row>
    <row r="89" spans="1:36">
      <c r="A89" s="23">
        <v>66</v>
      </c>
      <c r="B89" s="25" t="str">
        <f t="shared" si="18"/>
        <v>Ward 7</v>
      </c>
      <c r="C89" s="23">
        <f t="shared" si="19"/>
        <v>55</v>
      </c>
      <c r="D89" s="23" t="str">
        <f t="shared" si="20"/>
        <v>RETURNED</v>
      </c>
      <c r="E89" s="23">
        <f t="shared" si="21"/>
        <v>9</v>
      </c>
      <c r="F89" s="23" t="str">
        <f t="shared" si="22"/>
        <v>HIGH</v>
      </c>
      <c r="G89" s="27">
        <f t="shared" si="23"/>
        <v>46163</v>
      </c>
      <c r="H89" s="23" t="str">
        <f t="shared" si="24"/>
        <v>RAH01-2026-065</v>
      </c>
      <c r="I89" s="23" t="str">
        <f t="shared" si="25"/>
        <v>Immediate corrective action</v>
      </c>
      <c r="T89" t="str">
        <f t="shared" si="26"/>
        <v>ASM-2026-065</v>
      </c>
      <c r="W89" t="str">
        <f>IFERROR(INDEX('01 assessment'!$A$4:$A$1000,MATCH(ROWS($W$4:W89),$AJ$4:$AJ$1000,0)),"")</f>
        <v/>
      </c>
      <c r="X89" t="str">
        <f>IFERROR(INDEX('01 assessment'!$F$4:$F$1000,MATCH(ROWS($X$4:X89),$AJ$4:$AJ$1000,0)),"")</f>
        <v/>
      </c>
      <c r="Y89" t="str">
        <f>IFERROR(INDEX('01 assessment'!$C$4:$C$1000,MATCH(ROWS($Y$4:Y89),$AJ$4:$AJ$1000,0)),"")</f>
        <v/>
      </c>
      <c r="Z89" t="str">
        <f>IFERROR(INDEX('01 assessment'!$G$4:$G$1000,MATCH(ROWS($Z$4:Z89),$AJ$4:$AJ$1000,0)),"")</f>
        <v/>
      </c>
      <c r="AA89" t="str">
        <f>IFERROR(INDEX('01 assessment'!$H$4:$H$1000,MATCH(ROWS($AA$4:AA89),$AJ$4:$AJ$1000,0)),"")</f>
        <v/>
      </c>
      <c r="AB89" t="str">
        <f>IFERROR(INDEX('01 assessment'!$B$4:$B$1000,MATCH(ROWS($AB$4:AB89),$AJ$4:$AJ$1000,0)),"")</f>
        <v/>
      </c>
      <c r="AC89" t="str">
        <f>IFERROR(INDEX('01 assessment'!$I$4:$I$1000,MATCH(ROWS($AC$4:AC89),$AJ$4:$AJ$1000,0)),"")</f>
        <v/>
      </c>
      <c r="AD89" t="str">
        <f>IFERROR(INDEX('01 assessment'!$M$4:$M$1000,MATCH(ROWS($AD$4:AD89),$AJ$4:$AJ$1000,0)),"")</f>
        <v/>
      </c>
      <c r="AG89" t="str">
        <f>IF('01 assessment'!$M89="","",1+COUNTIFS('01 assessment'!$L$4:$L$1000,'01 assessment'!$L89,'01 assessment'!$J$4:$J$1000,"&gt;"&amp;'01 assessment'!$J89)+COUNTIFS('01 assessment'!$L$4:$L$1000,'01 assessment'!$L89,'01 assessment'!$J$4:$J$1000,'01 assessment'!$J89,'01 assessment'!$M$4:$M$1000,"&lt;"&amp;'01 assessment'!$M89))</f>
        <v/>
      </c>
      <c r="AH89" t="str">
        <f>IF(OR($AG89&lt;&gt;1,'01 assessment'!$M89=""),"",SUMIFS('04 Hazards'!$K$4:$K$1000,'04 Hazards'!$S$4:$S$1000,'01 assessment'!$M89,'04 Hazards'!$R$4:$R$1000,TRUE,'04 Hazards'!$U$4:$U$1000,TRUE))</f>
        <v/>
      </c>
      <c r="AI89" t="str">
        <f>IF(OR($AG89&lt;&gt;1,$AH89&lt;=0),"",1+COUNTIFS($AG$4:$AG$1000,1,$AH$4:$AH$1000,"&gt;"&amp;$AH89)+COUNTIFS($AG$4:$AG$1000,1,$AH$4:$AH$1000,$AH89,'01 assessment'!$A$4:$A$1000,"&lt;"&amp;'01 assessment'!$A89))</f>
        <v/>
      </c>
      <c r="AJ89" t="str">
        <f>IF('01 assessment'!$M89="","",1+COUNTIFS('01 assessment'!$A$4:$A$1000,"&lt;"&amp;'01 assessment'!$A89,'01 assessment'!$M$4:$M$1000,"&lt;&gt;")+COUNTIFS('01 assessment'!$A$4:$A$1000,'01 assessment'!$A89,'01 assessment'!$B$4:$B$1000,"&gt;"&amp;'01 assessment'!$B89,'01 assessment'!$M$4:$M$1000,"&lt;&gt;")+COUNTIFS('01 assessment'!$A$4:$A$1000,'01 assessment'!$A89,'01 assessment'!$B$4:$B$1000,'01 assessment'!$B89,'01 assessment'!$M$4:$M$1000,"&lt;"&amp;'01 assessment'!$M89))</f>
        <v/>
      </c>
    </row>
    <row r="90" spans="1:36">
      <c r="A90" s="23">
        <v>67</v>
      </c>
      <c r="B90" s="25" t="str">
        <f t="shared" si="18"/>
        <v>Ward 8</v>
      </c>
      <c r="C90" s="23">
        <f t="shared" si="19"/>
        <v>62</v>
      </c>
      <c r="D90" s="23" t="str">
        <f t="shared" si="20"/>
        <v>SUBMITTED</v>
      </c>
      <c r="E90" s="23">
        <f t="shared" si="21"/>
        <v>9</v>
      </c>
      <c r="F90" s="23" t="str">
        <f t="shared" si="22"/>
        <v>HIGH</v>
      </c>
      <c r="G90" s="27">
        <f t="shared" si="23"/>
        <v>46197</v>
      </c>
      <c r="H90" s="23" t="str">
        <f t="shared" si="24"/>
        <v>RAH01-2026-066</v>
      </c>
      <c r="I90" s="23" t="str">
        <f t="shared" si="25"/>
        <v>Immediate corrective action</v>
      </c>
      <c r="T90" t="str">
        <f t="shared" si="26"/>
        <v>ASM-2026-066</v>
      </c>
      <c r="W90" t="str">
        <f>IFERROR(INDEX('01 assessment'!$A$4:$A$1000,MATCH(ROWS($W$4:W90),$AJ$4:$AJ$1000,0)),"")</f>
        <v/>
      </c>
      <c r="X90" t="str">
        <f>IFERROR(INDEX('01 assessment'!$F$4:$F$1000,MATCH(ROWS($X$4:X90),$AJ$4:$AJ$1000,0)),"")</f>
        <v/>
      </c>
      <c r="Y90" t="str">
        <f>IFERROR(INDEX('01 assessment'!$C$4:$C$1000,MATCH(ROWS($Y$4:Y90),$AJ$4:$AJ$1000,0)),"")</f>
        <v/>
      </c>
      <c r="Z90" t="str">
        <f>IFERROR(INDEX('01 assessment'!$G$4:$G$1000,MATCH(ROWS($Z$4:Z90),$AJ$4:$AJ$1000,0)),"")</f>
        <v/>
      </c>
      <c r="AA90" t="str">
        <f>IFERROR(INDEX('01 assessment'!$H$4:$H$1000,MATCH(ROWS($AA$4:AA90),$AJ$4:$AJ$1000,0)),"")</f>
        <v/>
      </c>
      <c r="AB90" t="str">
        <f>IFERROR(INDEX('01 assessment'!$B$4:$B$1000,MATCH(ROWS($AB$4:AB90),$AJ$4:$AJ$1000,0)),"")</f>
        <v/>
      </c>
      <c r="AC90" t="str">
        <f>IFERROR(INDEX('01 assessment'!$I$4:$I$1000,MATCH(ROWS($AC$4:AC90),$AJ$4:$AJ$1000,0)),"")</f>
        <v/>
      </c>
      <c r="AD90" t="str">
        <f>IFERROR(INDEX('01 assessment'!$M$4:$M$1000,MATCH(ROWS($AD$4:AD90),$AJ$4:$AJ$1000,0)),"")</f>
        <v/>
      </c>
      <c r="AG90" t="str">
        <f>IF('01 assessment'!$M90="","",1+COUNTIFS('01 assessment'!$L$4:$L$1000,'01 assessment'!$L90,'01 assessment'!$J$4:$J$1000,"&gt;"&amp;'01 assessment'!$J90)+COUNTIFS('01 assessment'!$L$4:$L$1000,'01 assessment'!$L90,'01 assessment'!$J$4:$J$1000,'01 assessment'!$J90,'01 assessment'!$M$4:$M$1000,"&lt;"&amp;'01 assessment'!$M90))</f>
        <v/>
      </c>
      <c r="AH90" t="str">
        <f>IF(OR($AG90&lt;&gt;1,'01 assessment'!$M90=""),"",SUMIFS('04 Hazards'!$K$4:$K$1000,'04 Hazards'!$S$4:$S$1000,'01 assessment'!$M90,'04 Hazards'!$R$4:$R$1000,TRUE,'04 Hazards'!$U$4:$U$1000,TRUE))</f>
        <v/>
      </c>
      <c r="AI90" t="str">
        <f>IF(OR($AG90&lt;&gt;1,$AH90&lt;=0),"",1+COUNTIFS($AG$4:$AG$1000,1,$AH$4:$AH$1000,"&gt;"&amp;$AH90)+COUNTIFS($AG$4:$AG$1000,1,$AH$4:$AH$1000,$AH90,'01 assessment'!$A$4:$A$1000,"&lt;"&amp;'01 assessment'!$A90))</f>
        <v/>
      </c>
      <c r="AJ90" t="str">
        <f>IF('01 assessment'!$M90="","",1+COUNTIFS('01 assessment'!$A$4:$A$1000,"&lt;"&amp;'01 assessment'!$A90,'01 assessment'!$M$4:$M$1000,"&lt;&gt;")+COUNTIFS('01 assessment'!$A$4:$A$1000,'01 assessment'!$A90,'01 assessment'!$B$4:$B$1000,"&gt;"&amp;'01 assessment'!$B90,'01 assessment'!$M$4:$M$1000,"&lt;&gt;")+COUNTIFS('01 assessment'!$A$4:$A$1000,'01 assessment'!$A90,'01 assessment'!$B$4:$B$1000,'01 assessment'!$B90,'01 assessment'!$M$4:$M$1000,"&lt;"&amp;'01 assessment'!$M90))</f>
        <v/>
      </c>
    </row>
    <row r="91" spans="1:36">
      <c r="A91" s="23">
        <v>68</v>
      </c>
      <c r="B91" s="25" t="str">
        <f t="shared" si="18"/>
        <v>Ward 9</v>
      </c>
      <c r="C91" s="23">
        <f t="shared" si="19"/>
        <v>11</v>
      </c>
      <c r="D91" s="23" t="str">
        <f t="shared" si="20"/>
        <v>IN_REVIEW</v>
      </c>
      <c r="E91" s="23">
        <f t="shared" si="21"/>
        <v>9</v>
      </c>
      <c r="F91" s="23" t="str">
        <f t="shared" si="22"/>
        <v>HIGH</v>
      </c>
      <c r="G91" s="27">
        <f t="shared" si="23"/>
        <v>46024</v>
      </c>
      <c r="H91" s="23" t="str">
        <f t="shared" si="24"/>
        <v>RAH01-2026-067</v>
      </c>
      <c r="I91" s="23" t="str">
        <f t="shared" si="25"/>
        <v>Immediate corrective action</v>
      </c>
      <c r="T91" t="str">
        <f t="shared" si="26"/>
        <v>ASM-2026-067</v>
      </c>
      <c r="W91" t="str">
        <f>IFERROR(INDEX('01 assessment'!$A$4:$A$1000,MATCH(ROWS($W$4:W91),$AJ$4:$AJ$1000,0)),"")</f>
        <v/>
      </c>
      <c r="X91" t="str">
        <f>IFERROR(INDEX('01 assessment'!$F$4:$F$1000,MATCH(ROWS($X$4:X91),$AJ$4:$AJ$1000,0)),"")</f>
        <v/>
      </c>
      <c r="Y91" t="str">
        <f>IFERROR(INDEX('01 assessment'!$C$4:$C$1000,MATCH(ROWS($Y$4:Y91),$AJ$4:$AJ$1000,0)),"")</f>
        <v/>
      </c>
      <c r="Z91" t="str">
        <f>IFERROR(INDEX('01 assessment'!$G$4:$G$1000,MATCH(ROWS($Z$4:Z91),$AJ$4:$AJ$1000,0)),"")</f>
        <v/>
      </c>
      <c r="AA91" t="str">
        <f>IFERROR(INDEX('01 assessment'!$H$4:$H$1000,MATCH(ROWS($AA$4:AA91),$AJ$4:$AJ$1000,0)),"")</f>
        <v/>
      </c>
      <c r="AB91" t="str">
        <f>IFERROR(INDEX('01 assessment'!$B$4:$B$1000,MATCH(ROWS($AB$4:AB91),$AJ$4:$AJ$1000,0)),"")</f>
        <v/>
      </c>
      <c r="AC91" t="str">
        <f>IFERROR(INDEX('01 assessment'!$I$4:$I$1000,MATCH(ROWS($AC$4:AC91),$AJ$4:$AJ$1000,0)),"")</f>
        <v/>
      </c>
      <c r="AD91" t="str">
        <f>IFERROR(INDEX('01 assessment'!$M$4:$M$1000,MATCH(ROWS($AD$4:AD91),$AJ$4:$AJ$1000,0)),"")</f>
        <v/>
      </c>
      <c r="AG91" t="str">
        <f>IF('01 assessment'!$M91="","",1+COUNTIFS('01 assessment'!$L$4:$L$1000,'01 assessment'!$L91,'01 assessment'!$J$4:$J$1000,"&gt;"&amp;'01 assessment'!$J91)+COUNTIFS('01 assessment'!$L$4:$L$1000,'01 assessment'!$L91,'01 assessment'!$J$4:$J$1000,'01 assessment'!$J91,'01 assessment'!$M$4:$M$1000,"&lt;"&amp;'01 assessment'!$M91))</f>
        <v/>
      </c>
      <c r="AH91" t="str">
        <f>IF(OR($AG91&lt;&gt;1,'01 assessment'!$M91=""),"",SUMIFS('04 Hazards'!$K$4:$K$1000,'04 Hazards'!$S$4:$S$1000,'01 assessment'!$M91,'04 Hazards'!$R$4:$R$1000,TRUE,'04 Hazards'!$U$4:$U$1000,TRUE))</f>
        <v/>
      </c>
      <c r="AI91" t="str">
        <f>IF(OR($AG91&lt;&gt;1,$AH91&lt;=0),"",1+COUNTIFS($AG$4:$AG$1000,1,$AH$4:$AH$1000,"&gt;"&amp;$AH91)+COUNTIFS($AG$4:$AG$1000,1,$AH$4:$AH$1000,$AH91,'01 assessment'!$A$4:$A$1000,"&lt;"&amp;'01 assessment'!$A91))</f>
        <v/>
      </c>
      <c r="AJ91" t="str">
        <f>IF('01 assessment'!$M91="","",1+COUNTIFS('01 assessment'!$A$4:$A$1000,"&lt;"&amp;'01 assessment'!$A91,'01 assessment'!$M$4:$M$1000,"&lt;&gt;")+COUNTIFS('01 assessment'!$A$4:$A$1000,'01 assessment'!$A91,'01 assessment'!$B$4:$B$1000,"&gt;"&amp;'01 assessment'!$B91,'01 assessment'!$M$4:$M$1000,"&lt;&gt;")+COUNTIFS('01 assessment'!$A$4:$A$1000,'01 assessment'!$A91,'01 assessment'!$B$4:$B$1000,'01 assessment'!$B91,'01 assessment'!$M$4:$M$1000,"&lt;"&amp;'01 assessment'!$M91))</f>
        <v/>
      </c>
    </row>
    <row r="92" spans="1:36">
      <c r="A92" s="23">
        <v>69</v>
      </c>
      <c r="B92" s="25" t="str">
        <f t="shared" si="18"/>
        <v>Women’s Health</v>
      </c>
      <c r="C92" s="23">
        <f t="shared" si="19"/>
        <v>25</v>
      </c>
      <c r="D92" s="23" t="str">
        <f t="shared" si="20"/>
        <v>CLOSED</v>
      </c>
      <c r="E92" s="23">
        <f t="shared" si="21"/>
        <v>4</v>
      </c>
      <c r="F92" s="23" t="str">
        <f t="shared" si="22"/>
        <v>MEDIUM</v>
      </c>
      <c r="G92" s="27">
        <f t="shared" si="23"/>
        <v>46089</v>
      </c>
      <c r="H92" s="23" t="str">
        <f t="shared" si="24"/>
        <v>RAH01-2026-069</v>
      </c>
      <c r="I92" s="23" t="str">
        <f t="shared" si="25"/>
        <v>Document improvement plan</v>
      </c>
      <c r="T92" t="str">
        <f t="shared" si="26"/>
        <v>ASM-2026-069</v>
      </c>
      <c r="W92" t="str">
        <f>IFERROR(INDEX('01 assessment'!$A$4:$A$1000,MATCH(ROWS($W$4:W92),$AJ$4:$AJ$1000,0)),"")</f>
        <v/>
      </c>
      <c r="X92" t="str">
        <f>IFERROR(INDEX('01 assessment'!$F$4:$F$1000,MATCH(ROWS($X$4:X92),$AJ$4:$AJ$1000,0)),"")</f>
        <v/>
      </c>
      <c r="Y92" t="str">
        <f>IFERROR(INDEX('01 assessment'!$C$4:$C$1000,MATCH(ROWS($Y$4:Y92),$AJ$4:$AJ$1000,0)),"")</f>
        <v/>
      </c>
      <c r="Z92" t="str">
        <f>IFERROR(INDEX('01 assessment'!$G$4:$G$1000,MATCH(ROWS($Z$4:Z92),$AJ$4:$AJ$1000,0)),"")</f>
        <v/>
      </c>
      <c r="AA92" t="str">
        <f>IFERROR(INDEX('01 assessment'!$H$4:$H$1000,MATCH(ROWS($AA$4:AA92),$AJ$4:$AJ$1000,0)),"")</f>
        <v/>
      </c>
      <c r="AB92" t="str">
        <f>IFERROR(INDEX('01 assessment'!$B$4:$B$1000,MATCH(ROWS($AB$4:AB92),$AJ$4:$AJ$1000,0)),"")</f>
        <v/>
      </c>
      <c r="AC92" t="str">
        <f>IFERROR(INDEX('01 assessment'!$I$4:$I$1000,MATCH(ROWS($AC$4:AC92),$AJ$4:$AJ$1000,0)),"")</f>
        <v/>
      </c>
      <c r="AD92" t="str">
        <f>IFERROR(INDEX('01 assessment'!$M$4:$M$1000,MATCH(ROWS($AD$4:AD92),$AJ$4:$AJ$1000,0)),"")</f>
        <v/>
      </c>
      <c r="AG92" t="str">
        <f>IF('01 assessment'!$M92="","",1+COUNTIFS('01 assessment'!$L$4:$L$1000,'01 assessment'!$L92,'01 assessment'!$J$4:$J$1000,"&gt;"&amp;'01 assessment'!$J92)+COUNTIFS('01 assessment'!$L$4:$L$1000,'01 assessment'!$L92,'01 assessment'!$J$4:$J$1000,'01 assessment'!$J92,'01 assessment'!$M$4:$M$1000,"&lt;"&amp;'01 assessment'!$M92))</f>
        <v/>
      </c>
      <c r="AH92" t="str">
        <f>IF(OR($AG92&lt;&gt;1,'01 assessment'!$M92=""),"",SUMIFS('04 Hazards'!$K$4:$K$1000,'04 Hazards'!$S$4:$S$1000,'01 assessment'!$M92,'04 Hazards'!$R$4:$R$1000,TRUE,'04 Hazards'!$U$4:$U$1000,TRUE))</f>
        <v/>
      </c>
      <c r="AI92" t="str">
        <f>IF(OR($AG92&lt;&gt;1,$AH92&lt;=0),"",1+COUNTIFS($AG$4:$AG$1000,1,$AH$4:$AH$1000,"&gt;"&amp;$AH92)+COUNTIFS($AG$4:$AG$1000,1,$AH$4:$AH$1000,$AH92,'01 assessment'!$A$4:$A$1000,"&lt;"&amp;'01 assessment'!$A92))</f>
        <v/>
      </c>
      <c r="AJ92" t="str">
        <f>IF('01 assessment'!$M92="","",1+COUNTIFS('01 assessment'!$A$4:$A$1000,"&lt;"&amp;'01 assessment'!$A92,'01 assessment'!$M$4:$M$1000,"&lt;&gt;")+COUNTIFS('01 assessment'!$A$4:$A$1000,'01 assessment'!$A92,'01 assessment'!$B$4:$B$1000,"&gt;"&amp;'01 assessment'!$B92,'01 assessment'!$M$4:$M$1000,"&lt;&gt;")+COUNTIFS('01 assessment'!$A$4:$A$1000,'01 assessment'!$A92,'01 assessment'!$B$4:$B$1000,'01 assessment'!$B92,'01 assessment'!$M$4:$M$1000,"&lt;"&amp;'01 assessment'!$M92))</f>
        <v/>
      </c>
    </row>
    <row r="93" spans="1:36">
      <c r="A93" s="23">
        <v>70</v>
      </c>
      <c r="B93" s="25" t="str">
        <f t="shared" si="18"/>
        <v>Workplace Safety</v>
      </c>
      <c r="C93" s="23">
        <f t="shared" si="19"/>
        <v>32</v>
      </c>
      <c r="D93" s="23" t="str">
        <f t="shared" si="20"/>
        <v>RETURNED</v>
      </c>
      <c r="E93" s="23">
        <f t="shared" si="21"/>
        <v>4</v>
      </c>
      <c r="F93" s="23" t="str">
        <f t="shared" si="22"/>
        <v>MEDIUM</v>
      </c>
      <c r="G93" s="27">
        <f t="shared" si="23"/>
        <v>46123</v>
      </c>
      <c r="H93" s="23" t="str">
        <f t="shared" si="24"/>
        <v>RAH01-2026-070</v>
      </c>
      <c r="I93" s="23" t="str">
        <f t="shared" si="25"/>
        <v>Document improvement plan</v>
      </c>
      <c r="T93" t="str">
        <f t="shared" si="26"/>
        <v>ASM-2026-070</v>
      </c>
      <c r="W93" t="str">
        <f>IFERROR(INDEX('01 assessment'!$A$4:$A$1000,MATCH(ROWS($W$4:W93),$AJ$4:$AJ$1000,0)),"")</f>
        <v/>
      </c>
      <c r="X93" t="str">
        <f>IFERROR(INDEX('01 assessment'!$F$4:$F$1000,MATCH(ROWS($X$4:X93),$AJ$4:$AJ$1000,0)),"")</f>
        <v/>
      </c>
      <c r="Y93" t="str">
        <f>IFERROR(INDEX('01 assessment'!$C$4:$C$1000,MATCH(ROWS($Y$4:Y93),$AJ$4:$AJ$1000,0)),"")</f>
        <v/>
      </c>
      <c r="Z93" t="str">
        <f>IFERROR(INDEX('01 assessment'!$G$4:$G$1000,MATCH(ROWS($Z$4:Z93),$AJ$4:$AJ$1000,0)),"")</f>
        <v/>
      </c>
      <c r="AA93" t="str">
        <f>IFERROR(INDEX('01 assessment'!$H$4:$H$1000,MATCH(ROWS($AA$4:AA93),$AJ$4:$AJ$1000,0)),"")</f>
        <v/>
      </c>
      <c r="AB93" t="str">
        <f>IFERROR(INDEX('01 assessment'!$B$4:$B$1000,MATCH(ROWS($AB$4:AB93),$AJ$4:$AJ$1000,0)),"")</f>
        <v/>
      </c>
      <c r="AC93" t="str">
        <f>IFERROR(INDEX('01 assessment'!$I$4:$I$1000,MATCH(ROWS($AC$4:AC93),$AJ$4:$AJ$1000,0)),"")</f>
        <v/>
      </c>
      <c r="AD93" t="str">
        <f>IFERROR(INDEX('01 assessment'!$M$4:$M$1000,MATCH(ROWS($AD$4:AD93),$AJ$4:$AJ$1000,0)),"")</f>
        <v/>
      </c>
      <c r="AG93" t="str">
        <f>IF('01 assessment'!$M93="","",1+COUNTIFS('01 assessment'!$L$4:$L$1000,'01 assessment'!$L93,'01 assessment'!$J$4:$J$1000,"&gt;"&amp;'01 assessment'!$J93)+COUNTIFS('01 assessment'!$L$4:$L$1000,'01 assessment'!$L93,'01 assessment'!$J$4:$J$1000,'01 assessment'!$J93,'01 assessment'!$M$4:$M$1000,"&lt;"&amp;'01 assessment'!$M93))</f>
        <v/>
      </c>
      <c r="AH93" t="str">
        <f>IF(OR($AG93&lt;&gt;1,'01 assessment'!$M93=""),"",SUMIFS('04 Hazards'!$K$4:$K$1000,'04 Hazards'!$S$4:$S$1000,'01 assessment'!$M93,'04 Hazards'!$R$4:$R$1000,TRUE,'04 Hazards'!$U$4:$U$1000,TRUE))</f>
        <v/>
      </c>
      <c r="AI93" t="str">
        <f>IF(OR($AG93&lt;&gt;1,$AH93&lt;=0),"",1+COUNTIFS($AG$4:$AG$1000,1,$AH$4:$AH$1000,"&gt;"&amp;$AH93)+COUNTIFS($AG$4:$AG$1000,1,$AH$4:$AH$1000,$AH93,'01 assessment'!$A$4:$A$1000,"&lt;"&amp;'01 assessment'!$A93))</f>
        <v/>
      </c>
      <c r="AJ93" t="str">
        <f>IF('01 assessment'!$M93="","",1+COUNTIFS('01 assessment'!$A$4:$A$1000,"&lt;"&amp;'01 assessment'!$A93,'01 assessment'!$M$4:$M$1000,"&lt;&gt;")+COUNTIFS('01 assessment'!$A$4:$A$1000,'01 assessment'!$A93,'01 assessment'!$B$4:$B$1000,"&gt;"&amp;'01 assessment'!$B93,'01 assessment'!$M$4:$M$1000,"&lt;&gt;")+COUNTIFS('01 assessment'!$A$4:$A$1000,'01 assessment'!$A93,'01 assessment'!$B$4:$B$1000,'01 assessment'!$B93,'01 assessment'!$M$4:$M$1000,"&lt;"&amp;'01 assessment'!$M93))</f>
        <v/>
      </c>
    </row>
    <row r="94" spans="1:36">
      <c r="A94" s="23">
        <v>71</v>
      </c>
      <c r="B94" s="25" t="str">
        <f t="shared" si="18"/>
        <v/>
      </c>
      <c r="C94" s="23" t="str">
        <f t="shared" si="19"/>
        <v/>
      </c>
      <c r="D94" s="23" t="str">
        <f t="shared" si="20"/>
        <v/>
      </c>
      <c r="E94" s="23" t="str">
        <f t="shared" si="21"/>
        <v/>
      </c>
      <c r="F94" s="23" t="str">
        <f t="shared" si="22"/>
        <v/>
      </c>
      <c r="G94" s="27" t="str">
        <f t="shared" si="23"/>
        <v/>
      </c>
      <c r="H94" s="23" t="str">
        <f t="shared" si="24"/>
        <v/>
      </c>
      <c r="I94" s="23" t="str">
        <f t="shared" si="25"/>
        <v/>
      </c>
      <c r="T94" t="str">
        <f t="shared" si="26"/>
        <v/>
      </c>
      <c r="W94" t="str">
        <f>IFERROR(INDEX('01 assessment'!$A$4:$A$1000,MATCH(ROWS($W$4:W94),$AJ$4:$AJ$1000,0)),"")</f>
        <v/>
      </c>
      <c r="X94" t="str">
        <f>IFERROR(INDEX('01 assessment'!$F$4:$F$1000,MATCH(ROWS($X$4:X94),$AJ$4:$AJ$1000,0)),"")</f>
        <v/>
      </c>
      <c r="Y94" t="str">
        <f>IFERROR(INDEX('01 assessment'!$C$4:$C$1000,MATCH(ROWS($Y$4:Y94),$AJ$4:$AJ$1000,0)),"")</f>
        <v/>
      </c>
      <c r="Z94" t="str">
        <f>IFERROR(INDEX('01 assessment'!$G$4:$G$1000,MATCH(ROWS($Z$4:Z94),$AJ$4:$AJ$1000,0)),"")</f>
        <v/>
      </c>
      <c r="AA94" t="str">
        <f>IFERROR(INDEX('01 assessment'!$H$4:$H$1000,MATCH(ROWS($AA$4:AA94),$AJ$4:$AJ$1000,0)),"")</f>
        <v/>
      </c>
      <c r="AB94" t="str">
        <f>IFERROR(INDEX('01 assessment'!$B$4:$B$1000,MATCH(ROWS($AB$4:AB94),$AJ$4:$AJ$1000,0)),"")</f>
        <v/>
      </c>
      <c r="AC94" t="str">
        <f>IFERROR(INDEX('01 assessment'!$I$4:$I$1000,MATCH(ROWS($AC$4:AC94),$AJ$4:$AJ$1000,0)),"")</f>
        <v/>
      </c>
      <c r="AD94" t="str">
        <f>IFERROR(INDEX('01 assessment'!$M$4:$M$1000,MATCH(ROWS($AD$4:AD94),$AJ$4:$AJ$1000,0)),"")</f>
        <v/>
      </c>
      <c r="AG94" t="str">
        <f>IF('01 assessment'!$M94="","",1+COUNTIFS('01 assessment'!$L$4:$L$1000,'01 assessment'!$L94,'01 assessment'!$J$4:$J$1000,"&gt;"&amp;'01 assessment'!$J94)+COUNTIFS('01 assessment'!$L$4:$L$1000,'01 assessment'!$L94,'01 assessment'!$J$4:$J$1000,'01 assessment'!$J94,'01 assessment'!$M$4:$M$1000,"&lt;"&amp;'01 assessment'!$M94))</f>
        <v/>
      </c>
      <c r="AH94" t="str">
        <f>IF(OR($AG94&lt;&gt;1,'01 assessment'!$M94=""),"",SUMIFS('04 Hazards'!$K$4:$K$1000,'04 Hazards'!$S$4:$S$1000,'01 assessment'!$M94,'04 Hazards'!$R$4:$R$1000,TRUE,'04 Hazards'!$U$4:$U$1000,TRUE))</f>
        <v/>
      </c>
      <c r="AI94" t="str">
        <f>IF(OR($AG94&lt;&gt;1,$AH94&lt;=0),"",1+COUNTIFS($AG$4:$AG$1000,1,$AH$4:$AH$1000,"&gt;"&amp;$AH94)+COUNTIFS($AG$4:$AG$1000,1,$AH$4:$AH$1000,$AH94,'01 assessment'!$A$4:$A$1000,"&lt;"&amp;'01 assessment'!$A94))</f>
        <v/>
      </c>
      <c r="AJ94" t="str">
        <f>IF('01 assessment'!$M94="","",1+COUNTIFS('01 assessment'!$A$4:$A$1000,"&lt;"&amp;'01 assessment'!$A94,'01 assessment'!$M$4:$M$1000,"&lt;&gt;")+COUNTIFS('01 assessment'!$A$4:$A$1000,'01 assessment'!$A94,'01 assessment'!$B$4:$B$1000,"&gt;"&amp;'01 assessment'!$B94,'01 assessment'!$M$4:$M$1000,"&lt;&gt;")+COUNTIFS('01 assessment'!$A$4:$A$1000,'01 assessment'!$A94,'01 assessment'!$B$4:$B$1000,'01 assessment'!$B94,'01 assessment'!$M$4:$M$1000,"&lt;"&amp;'01 assessment'!$M94))</f>
        <v/>
      </c>
    </row>
    <row r="95" spans="1:36">
      <c r="A95" s="23">
        <v>72</v>
      </c>
      <c r="B95" s="25" t="str">
        <f t="shared" si="18"/>
        <v/>
      </c>
      <c r="C95" s="23" t="str">
        <f t="shared" si="19"/>
        <v/>
      </c>
      <c r="D95" s="23" t="str">
        <f t="shared" si="20"/>
        <v/>
      </c>
      <c r="E95" s="23" t="str">
        <f t="shared" si="21"/>
        <v/>
      </c>
      <c r="F95" s="23" t="str">
        <f t="shared" si="22"/>
        <v/>
      </c>
      <c r="G95" s="27" t="str">
        <f t="shared" si="23"/>
        <v/>
      </c>
      <c r="H95" s="23" t="str">
        <f t="shared" si="24"/>
        <v/>
      </c>
      <c r="I95" s="23" t="str">
        <f t="shared" si="25"/>
        <v/>
      </c>
      <c r="T95" t="str">
        <f t="shared" si="26"/>
        <v/>
      </c>
      <c r="W95" t="str">
        <f>IFERROR(INDEX('01 assessment'!$A$4:$A$1000,MATCH(ROWS($W$4:W95),$AJ$4:$AJ$1000,0)),"")</f>
        <v/>
      </c>
      <c r="X95" t="str">
        <f>IFERROR(INDEX('01 assessment'!$F$4:$F$1000,MATCH(ROWS($X$4:X95),$AJ$4:$AJ$1000,0)),"")</f>
        <v/>
      </c>
      <c r="Y95" t="str">
        <f>IFERROR(INDEX('01 assessment'!$C$4:$C$1000,MATCH(ROWS($Y$4:Y95),$AJ$4:$AJ$1000,0)),"")</f>
        <v/>
      </c>
      <c r="Z95" t="str">
        <f>IFERROR(INDEX('01 assessment'!$G$4:$G$1000,MATCH(ROWS($Z$4:Z95),$AJ$4:$AJ$1000,0)),"")</f>
        <v/>
      </c>
      <c r="AA95" t="str">
        <f>IFERROR(INDEX('01 assessment'!$H$4:$H$1000,MATCH(ROWS($AA$4:AA95),$AJ$4:$AJ$1000,0)),"")</f>
        <v/>
      </c>
      <c r="AB95" t="str">
        <f>IFERROR(INDEX('01 assessment'!$B$4:$B$1000,MATCH(ROWS($AB$4:AB95),$AJ$4:$AJ$1000,0)),"")</f>
        <v/>
      </c>
      <c r="AC95" t="str">
        <f>IFERROR(INDEX('01 assessment'!$I$4:$I$1000,MATCH(ROWS($AC$4:AC95),$AJ$4:$AJ$1000,0)),"")</f>
        <v/>
      </c>
      <c r="AD95" t="str">
        <f>IFERROR(INDEX('01 assessment'!$M$4:$M$1000,MATCH(ROWS($AD$4:AD95),$AJ$4:$AJ$1000,0)),"")</f>
        <v/>
      </c>
      <c r="AG95" t="str">
        <f>IF('01 assessment'!$M95="","",1+COUNTIFS('01 assessment'!$L$4:$L$1000,'01 assessment'!$L95,'01 assessment'!$J$4:$J$1000,"&gt;"&amp;'01 assessment'!$J95)+COUNTIFS('01 assessment'!$L$4:$L$1000,'01 assessment'!$L95,'01 assessment'!$J$4:$J$1000,'01 assessment'!$J95,'01 assessment'!$M$4:$M$1000,"&lt;"&amp;'01 assessment'!$M95))</f>
        <v/>
      </c>
      <c r="AH95" t="str">
        <f>IF(OR($AG95&lt;&gt;1,'01 assessment'!$M95=""),"",SUMIFS('04 Hazards'!$K$4:$K$1000,'04 Hazards'!$S$4:$S$1000,'01 assessment'!$M95,'04 Hazards'!$R$4:$R$1000,TRUE,'04 Hazards'!$U$4:$U$1000,TRUE))</f>
        <v/>
      </c>
      <c r="AI95" t="str">
        <f>IF(OR($AG95&lt;&gt;1,$AH95&lt;=0),"",1+COUNTIFS($AG$4:$AG$1000,1,$AH$4:$AH$1000,"&gt;"&amp;$AH95)+COUNTIFS($AG$4:$AG$1000,1,$AH$4:$AH$1000,$AH95,'01 assessment'!$A$4:$A$1000,"&lt;"&amp;'01 assessment'!$A95))</f>
        <v/>
      </c>
      <c r="AJ95" t="str">
        <f>IF('01 assessment'!$M95="","",1+COUNTIFS('01 assessment'!$A$4:$A$1000,"&lt;"&amp;'01 assessment'!$A95,'01 assessment'!$M$4:$M$1000,"&lt;&gt;")+COUNTIFS('01 assessment'!$A$4:$A$1000,'01 assessment'!$A95,'01 assessment'!$B$4:$B$1000,"&gt;"&amp;'01 assessment'!$B95,'01 assessment'!$M$4:$M$1000,"&lt;&gt;")+COUNTIFS('01 assessment'!$A$4:$A$1000,'01 assessment'!$A95,'01 assessment'!$B$4:$B$1000,'01 assessment'!$B95,'01 assessment'!$M$4:$M$1000,"&lt;"&amp;'01 assessment'!$M95))</f>
        <v/>
      </c>
    </row>
    <row r="96" spans="1:36">
      <c r="A96" s="23">
        <v>73</v>
      </c>
      <c r="B96" s="25" t="str">
        <f t="shared" si="18"/>
        <v/>
      </c>
      <c r="C96" s="23" t="str">
        <f t="shared" si="19"/>
        <v/>
      </c>
      <c r="D96" s="23" t="str">
        <f t="shared" si="20"/>
        <v/>
      </c>
      <c r="E96" s="23" t="str">
        <f t="shared" si="21"/>
        <v/>
      </c>
      <c r="F96" s="23" t="str">
        <f t="shared" si="22"/>
        <v/>
      </c>
      <c r="G96" s="27" t="str">
        <f t="shared" si="23"/>
        <v/>
      </c>
      <c r="H96" s="23" t="str">
        <f t="shared" si="24"/>
        <v/>
      </c>
      <c r="I96" s="23" t="str">
        <f t="shared" si="25"/>
        <v/>
      </c>
      <c r="T96" t="str">
        <f t="shared" si="26"/>
        <v/>
      </c>
      <c r="W96" t="str">
        <f>IFERROR(INDEX('01 assessment'!$A$4:$A$1000,MATCH(ROWS($W$4:W96),$AJ$4:$AJ$1000,0)),"")</f>
        <v/>
      </c>
      <c r="X96" t="str">
        <f>IFERROR(INDEX('01 assessment'!$F$4:$F$1000,MATCH(ROWS($X$4:X96),$AJ$4:$AJ$1000,0)),"")</f>
        <v/>
      </c>
      <c r="Y96" t="str">
        <f>IFERROR(INDEX('01 assessment'!$C$4:$C$1000,MATCH(ROWS($Y$4:Y96),$AJ$4:$AJ$1000,0)),"")</f>
        <v/>
      </c>
      <c r="Z96" t="str">
        <f>IFERROR(INDEX('01 assessment'!$G$4:$G$1000,MATCH(ROWS($Z$4:Z96),$AJ$4:$AJ$1000,0)),"")</f>
        <v/>
      </c>
      <c r="AA96" t="str">
        <f>IFERROR(INDEX('01 assessment'!$H$4:$H$1000,MATCH(ROWS($AA$4:AA96),$AJ$4:$AJ$1000,0)),"")</f>
        <v/>
      </c>
      <c r="AB96" t="str">
        <f>IFERROR(INDEX('01 assessment'!$B$4:$B$1000,MATCH(ROWS($AB$4:AB96),$AJ$4:$AJ$1000,0)),"")</f>
        <v/>
      </c>
      <c r="AC96" t="str">
        <f>IFERROR(INDEX('01 assessment'!$I$4:$I$1000,MATCH(ROWS($AC$4:AC96),$AJ$4:$AJ$1000,0)),"")</f>
        <v/>
      </c>
      <c r="AD96" t="str">
        <f>IFERROR(INDEX('01 assessment'!$M$4:$M$1000,MATCH(ROWS($AD$4:AD96),$AJ$4:$AJ$1000,0)),"")</f>
        <v/>
      </c>
      <c r="AG96" t="str">
        <f>IF('01 assessment'!$M96="","",1+COUNTIFS('01 assessment'!$L$4:$L$1000,'01 assessment'!$L96,'01 assessment'!$J$4:$J$1000,"&gt;"&amp;'01 assessment'!$J96)+COUNTIFS('01 assessment'!$L$4:$L$1000,'01 assessment'!$L96,'01 assessment'!$J$4:$J$1000,'01 assessment'!$J96,'01 assessment'!$M$4:$M$1000,"&lt;"&amp;'01 assessment'!$M96))</f>
        <v/>
      </c>
      <c r="AH96" t="str">
        <f>IF(OR($AG96&lt;&gt;1,'01 assessment'!$M96=""),"",SUMIFS('04 Hazards'!$K$4:$K$1000,'04 Hazards'!$S$4:$S$1000,'01 assessment'!$M96,'04 Hazards'!$R$4:$R$1000,TRUE,'04 Hazards'!$U$4:$U$1000,TRUE))</f>
        <v/>
      </c>
      <c r="AI96" t="str">
        <f>IF(OR($AG96&lt;&gt;1,$AH96&lt;=0),"",1+COUNTIFS($AG$4:$AG$1000,1,$AH$4:$AH$1000,"&gt;"&amp;$AH96)+COUNTIFS($AG$4:$AG$1000,1,$AH$4:$AH$1000,$AH96,'01 assessment'!$A$4:$A$1000,"&lt;"&amp;'01 assessment'!$A96))</f>
        <v/>
      </c>
      <c r="AJ96" t="str">
        <f>IF('01 assessment'!$M96="","",1+COUNTIFS('01 assessment'!$A$4:$A$1000,"&lt;"&amp;'01 assessment'!$A96,'01 assessment'!$M$4:$M$1000,"&lt;&gt;")+COUNTIFS('01 assessment'!$A$4:$A$1000,'01 assessment'!$A96,'01 assessment'!$B$4:$B$1000,"&gt;"&amp;'01 assessment'!$B96,'01 assessment'!$M$4:$M$1000,"&lt;&gt;")+COUNTIFS('01 assessment'!$A$4:$A$1000,'01 assessment'!$A96,'01 assessment'!$B$4:$B$1000,'01 assessment'!$B96,'01 assessment'!$M$4:$M$1000,"&lt;"&amp;'01 assessment'!$M96))</f>
        <v/>
      </c>
    </row>
    <row r="97" spans="1:36">
      <c r="A97" s="23">
        <v>74</v>
      </c>
      <c r="B97" s="25" t="str">
        <f t="shared" si="18"/>
        <v/>
      </c>
      <c r="C97" s="23" t="str">
        <f t="shared" si="19"/>
        <v/>
      </c>
      <c r="D97" s="23" t="str">
        <f t="shared" si="20"/>
        <v/>
      </c>
      <c r="E97" s="23" t="str">
        <f t="shared" si="21"/>
        <v/>
      </c>
      <c r="F97" s="23" t="str">
        <f t="shared" si="22"/>
        <v/>
      </c>
      <c r="G97" s="27" t="str">
        <f t="shared" si="23"/>
        <v/>
      </c>
      <c r="H97" s="23" t="str">
        <f t="shared" si="24"/>
        <v/>
      </c>
      <c r="I97" s="23" t="str">
        <f t="shared" si="25"/>
        <v/>
      </c>
      <c r="T97" t="str">
        <f t="shared" si="26"/>
        <v/>
      </c>
      <c r="W97" t="str">
        <f>IFERROR(INDEX('01 assessment'!$A$4:$A$1000,MATCH(ROWS($W$4:W97),$AJ$4:$AJ$1000,0)),"")</f>
        <v/>
      </c>
      <c r="X97" t="str">
        <f>IFERROR(INDEX('01 assessment'!$F$4:$F$1000,MATCH(ROWS($X$4:X97),$AJ$4:$AJ$1000,0)),"")</f>
        <v/>
      </c>
      <c r="Y97" t="str">
        <f>IFERROR(INDEX('01 assessment'!$C$4:$C$1000,MATCH(ROWS($Y$4:Y97),$AJ$4:$AJ$1000,0)),"")</f>
        <v/>
      </c>
      <c r="Z97" t="str">
        <f>IFERROR(INDEX('01 assessment'!$G$4:$G$1000,MATCH(ROWS($Z$4:Z97),$AJ$4:$AJ$1000,0)),"")</f>
        <v/>
      </c>
      <c r="AA97" t="str">
        <f>IFERROR(INDEX('01 assessment'!$H$4:$H$1000,MATCH(ROWS($AA$4:AA97),$AJ$4:$AJ$1000,0)),"")</f>
        <v/>
      </c>
      <c r="AB97" t="str">
        <f>IFERROR(INDEX('01 assessment'!$B$4:$B$1000,MATCH(ROWS($AB$4:AB97),$AJ$4:$AJ$1000,0)),"")</f>
        <v/>
      </c>
      <c r="AC97" t="str">
        <f>IFERROR(INDEX('01 assessment'!$I$4:$I$1000,MATCH(ROWS($AC$4:AC97),$AJ$4:$AJ$1000,0)),"")</f>
        <v/>
      </c>
      <c r="AD97" t="str">
        <f>IFERROR(INDEX('01 assessment'!$M$4:$M$1000,MATCH(ROWS($AD$4:AD97),$AJ$4:$AJ$1000,0)),"")</f>
        <v/>
      </c>
      <c r="AG97" t="str">
        <f>IF('01 assessment'!$M97="","",1+COUNTIFS('01 assessment'!$L$4:$L$1000,'01 assessment'!$L97,'01 assessment'!$J$4:$J$1000,"&gt;"&amp;'01 assessment'!$J97)+COUNTIFS('01 assessment'!$L$4:$L$1000,'01 assessment'!$L97,'01 assessment'!$J$4:$J$1000,'01 assessment'!$J97,'01 assessment'!$M$4:$M$1000,"&lt;"&amp;'01 assessment'!$M97))</f>
        <v/>
      </c>
      <c r="AH97" t="str">
        <f>IF(OR($AG97&lt;&gt;1,'01 assessment'!$M97=""),"",SUMIFS('04 Hazards'!$K$4:$K$1000,'04 Hazards'!$S$4:$S$1000,'01 assessment'!$M97,'04 Hazards'!$R$4:$R$1000,TRUE,'04 Hazards'!$U$4:$U$1000,TRUE))</f>
        <v/>
      </c>
      <c r="AI97" t="str">
        <f>IF(OR($AG97&lt;&gt;1,$AH97&lt;=0),"",1+COUNTIFS($AG$4:$AG$1000,1,$AH$4:$AH$1000,"&gt;"&amp;$AH97)+COUNTIFS($AG$4:$AG$1000,1,$AH$4:$AH$1000,$AH97,'01 assessment'!$A$4:$A$1000,"&lt;"&amp;'01 assessment'!$A97))</f>
        <v/>
      </c>
      <c r="AJ97" t="str">
        <f>IF('01 assessment'!$M97="","",1+COUNTIFS('01 assessment'!$A$4:$A$1000,"&lt;"&amp;'01 assessment'!$A97,'01 assessment'!$M$4:$M$1000,"&lt;&gt;")+COUNTIFS('01 assessment'!$A$4:$A$1000,'01 assessment'!$A97,'01 assessment'!$B$4:$B$1000,"&gt;"&amp;'01 assessment'!$B97,'01 assessment'!$M$4:$M$1000,"&lt;&gt;")+COUNTIFS('01 assessment'!$A$4:$A$1000,'01 assessment'!$A97,'01 assessment'!$B$4:$B$1000,'01 assessment'!$B97,'01 assessment'!$M$4:$M$1000,"&lt;"&amp;'01 assessment'!$M97))</f>
        <v/>
      </c>
    </row>
    <row r="98" spans="1:36">
      <c r="A98" s="23">
        <v>75</v>
      </c>
      <c r="B98" s="25" t="str">
        <f t="shared" si="18"/>
        <v/>
      </c>
      <c r="C98" s="23" t="str">
        <f t="shared" si="19"/>
        <v/>
      </c>
      <c r="D98" s="23" t="str">
        <f t="shared" si="20"/>
        <v/>
      </c>
      <c r="E98" s="23" t="str">
        <f t="shared" si="21"/>
        <v/>
      </c>
      <c r="F98" s="23" t="str">
        <f t="shared" si="22"/>
        <v/>
      </c>
      <c r="G98" s="27" t="str">
        <f t="shared" si="23"/>
        <v/>
      </c>
      <c r="H98" s="23" t="str">
        <f t="shared" si="24"/>
        <v/>
      </c>
      <c r="I98" s="23" t="str">
        <f t="shared" si="25"/>
        <v/>
      </c>
      <c r="T98" t="str">
        <f t="shared" si="26"/>
        <v/>
      </c>
      <c r="W98" t="str">
        <f>IFERROR(INDEX('01 assessment'!$A$4:$A$1000,MATCH(ROWS($W$4:W98),$AJ$4:$AJ$1000,0)),"")</f>
        <v/>
      </c>
      <c r="X98" t="str">
        <f>IFERROR(INDEX('01 assessment'!$F$4:$F$1000,MATCH(ROWS($X$4:X98),$AJ$4:$AJ$1000,0)),"")</f>
        <v/>
      </c>
      <c r="Y98" t="str">
        <f>IFERROR(INDEX('01 assessment'!$C$4:$C$1000,MATCH(ROWS($Y$4:Y98),$AJ$4:$AJ$1000,0)),"")</f>
        <v/>
      </c>
      <c r="Z98" t="str">
        <f>IFERROR(INDEX('01 assessment'!$G$4:$G$1000,MATCH(ROWS($Z$4:Z98),$AJ$4:$AJ$1000,0)),"")</f>
        <v/>
      </c>
      <c r="AA98" t="str">
        <f>IFERROR(INDEX('01 assessment'!$H$4:$H$1000,MATCH(ROWS($AA$4:AA98),$AJ$4:$AJ$1000,0)),"")</f>
        <v/>
      </c>
      <c r="AB98" t="str">
        <f>IFERROR(INDEX('01 assessment'!$B$4:$B$1000,MATCH(ROWS($AB$4:AB98),$AJ$4:$AJ$1000,0)),"")</f>
        <v/>
      </c>
      <c r="AC98" t="str">
        <f>IFERROR(INDEX('01 assessment'!$I$4:$I$1000,MATCH(ROWS($AC$4:AC98),$AJ$4:$AJ$1000,0)),"")</f>
        <v/>
      </c>
      <c r="AD98" t="str">
        <f>IFERROR(INDEX('01 assessment'!$M$4:$M$1000,MATCH(ROWS($AD$4:AD98),$AJ$4:$AJ$1000,0)),"")</f>
        <v/>
      </c>
      <c r="AG98" t="str">
        <f>IF('01 assessment'!$M98="","",1+COUNTIFS('01 assessment'!$L$4:$L$1000,'01 assessment'!$L98,'01 assessment'!$J$4:$J$1000,"&gt;"&amp;'01 assessment'!$J98)+COUNTIFS('01 assessment'!$L$4:$L$1000,'01 assessment'!$L98,'01 assessment'!$J$4:$J$1000,'01 assessment'!$J98,'01 assessment'!$M$4:$M$1000,"&lt;"&amp;'01 assessment'!$M98))</f>
        <v/>
      </c>
      <c r="AH98" t="str">
        <f>IF(OR($AG98&lt;&gt;1,'01 assessment'!$M98=""),"",SUMIFS('04 Hazards'!$K$4:$K$1000,'04 Hazards'!$S$4:$S$1000,'01 assessment'!$M98,'04 Hazards'!$R$4:$R$1000,TRUE,'04 Hazards'!$U$4:$U$1000,TRUE))</f>
        <v/>
      </c>
      <c r="AI98" t="str">
        <f>IF(OR($AG98&lt;&gt;1,$AH98&lt;=0),"",1+COUNTIFS($AG$4:$AG$1000,1,$AH$4:$AH$1000,"&gt;"&amp;$AH98)+COUNTIFS($AG$4:$AG$1000,1,$AH$4:$AH$1000,$AH98,'01 assessment'!$A$4:$A$1000,"&lt;"&amp;'01 assessment'!$A98))</f>
        <v/>
      </c>
      <c r="AJ98" t="str">
        <f>IF('01 assessment'!$M98="","",1+COUNTIFS('01 assessment'!$A$4:$A$1000,"&lt;"&amp;'01 assessment'!$A98,'01 assessment'!$M$4:$M$1000,"&lt;&gt;")+COUNTIFS('01 assessment'!$A$4:$A$1000,'01 assessment'!$A98,'01 assessment'!$B$4:$B$1000,"&gt;"&amp;'01 assessment'!$B98,'01 assessment'!$M$4:$M$1000,"&lt;&gt;")+COUNTIFS('01 assessment'!$A$4:$A$1000,'01 assessment'!$A98,'01 assessment'!$B$4:$B$1000,'01 assessment'!$B98,'01 assessment'!$M$4:$M$1000,"&lt;"&amp;'01 assessment'!$M98))</f>
        <v/>
      </c>
    </row>
    <row r="99" spans="1:36">
      <c r="A99" s="23">
        <v>76</v>
      </c>
      <c r="B99" s="25" t="str">
        <f t="shared" si="18"/>
        <v/>
      </c>
      <c r="C99" s="23" t="str">
        <f t="shared" si="19"/>
        <v/>
      </c>
      <c r="D99" s="23" t="str">
        <f t="shared" si="20"/>
        <v/>
      </c>
      <c r="E99" s="23" t="str">
        <f t="shared" si="21"/>
        <v/>
      </c>
      <c r="F99" s="23" t="str">
        <f t="shared" si="22"/>
        <v/>
      </c>
      <c r="G99" s="27" t="str">
        <f t="shared" si="23"/>
        <v/>
      </c>
      <c r="H99" s="23" t="str">
        <f t="shared" si="24"/>
        <v/>
      </c>
      <c r="I99" s="23" t="str">
        <f t="shared" si="25"/>
        <v/>
      </c>
      <c r="T99" t="str">
        <f t="shared" si="26"/>
        <v/>
      </c>
      <c r="W99" t="str">
        <f>IFERROR(INDEX('01 assessment'!$A$4:$A$1000,MATCH(ROWS($W$4:W99),$AJ$4:$AJ$1000,0)),"")</f>
        <v/>
      </c>
      <c r="X99" t="str">
        <f>IFERROR(INDEX('01 assessment'!$F$4:$F$1000,MATCH(ROWS($X$4:X99),$AJ$4:$AJ$1000,0)),"")</f>
        <v/>
      </c>
      <c r="Y99" t="str">
        <f>IFERROR(INDEX('01 assessment'!$C$4:$C$1000,MATCH(ROWS($Y$4:Y99),$AJ$4:$AJ$1000,0)),"")</f>
        <v/>
      </c>
      <c r="Z99" t="str">
        <f>IFERROR(INDEX('01 assessment'!$G$4:$G$1000,MATCH(ROWS($Z$4:Z99),$AJ$4:$AJ$1000,0)),"")</f>
        <v/>
      </c>
      <c r="AA99" t="str">
        <f>IFERROR(INDEX('01 assessment'!$H$4:$H$1000,MATCH(ROWS($AA$4:AA99),$AJ$4:$AJ$1000,0)),"")</f>
        <v/>
      </c>
      <c r="AB99" t="str">
        <f>IFERROR(INDEX('01 assessment'!$B$4:$B$1000,MATCH(ROWS($AB$4:AB99),$AJ$4:$AJ$1000,0)),"")</f>
        <v/>
      </c>
      <c r="AC99" t="str">
        <f>IFERROR(INDEX('01 assessment'!$I$4:$I$1000,MATCH(ROWS($AC$4:AC99),$AJ$4:$AJ$1000,0)),"")</f>
        <v/>
      </c>
      <c r="AD99" t="str">
        <f>IFERROR(INDEX('01 assessment'!$M$4:$M$1000,MATCH(ROWS($AD$4:AD99),$AJ$4:$AJ$1000,0)),"")</f>
        <v/>
      </c>
      <c r="AG99" t="str">
        <f>IF('01 assessment'!$M99="","",1+COUNTIFS('01 assessment'!$L$4:$L$1000,'01 assessment'!$L99,'01 assessment'!$J$4:$J$1000,"&gt;"&amp;'01 assessment'!$J99)+COUNTIFS('01 assessment'!$L$4:$L$1000,'01 assessment'!$L99,'01 assessment'!$J$4:$J$1000,'01 assessment'!$J99,'01 assessment'!$M$4:$M$1000,"&lt;"&amp;'01 assessment'!$M99))</f>
        <v/>
      </c>
      <c r="AH99" t="str">
        <f>IF(OR($AG99&lt;&gt;1,'01 assessment'!$M99=""),"",SUMIFS('04 Hazards'!$K$4:$K$1000,'04 Hazards'!$S$4:$S$1000,'01 assessment'!$M99,'04 Hazards'!$R$4:$R$1000,TRUE,'04 Hazards'!$U$4:$U$1000,TRUE))</f>
        <v/>
      </c>
      <c r="AI99" t="str">
        <f>IF(OR($AG99&lt;&gt;1,$AH99&lt;=0),"",1+COUNTIFS($AG$4:$AG$1000,1,$AH$4:$AH$1000,"&gt;"&amp;$AH99)+COUNTIFS($AG$4:$AG$1000,1,$AH$4:$AH$1000,$AH99,'01 assessment'!$A$4:$A$1000,"&lt;"&amp;'01 assessment'!$A99))</f>
        <v/>
      </c>
      <c r="AJ99" t="str">
        <f>IF('01 assessment'!$M99="","",1+COUNTIFS('01 assessment'!$A$4:$A$1000,"&lt;"&amp;'01 assessment'!$A99,'01 assessment'!$M$4:$M$1000,"&lt;&gt;")+COUNTIFS('01 assessment'!$A$4:$A$1000,'01 assessment'!$A99,'01 assessment'!$B$4:$B$1000,"&gt;"&amp;'01 assessment'!$B99,'01 assessment'!$M$4:$M$1000,"&lt;&gt;")+COUNTIFS('01 assessment'!$A$4:$A$1000,'01 assessment'!$A99,'01 assessment'!$B$4:$B$1000,'01 assessment'!$B99,'01 assessment'!$M$4:$M$1000,"&lt;"&amp;'01 assessment'!$M99))</f>
        <v/>
      </c>
    </row>
    <row r="100" spans="1:36">
      <c r="A100" s="23">
        <v>77</v>
      </c>
      <c r="B100" s="25" t="str">
        <f t="shared" si="18"/>
        <v/>
      </c>
      <c r="C100" s="23" t="str">
        <f t="shared" si="19"/>
        <v/>
      </c>
      <c r="D100" s="23" t="str">
        <f t="shared" si="20"/>
        <v/>
      </c>
      <c r="E100" s="23" t="str">
        <f t="shared" si="21"/>
        <v/>
      </c>
      <c r="F100" s="23" t="str">
        <f t="shared" si="22"/>
        <v/>
      </c>
      <c r="G100" s="27" t="str">
        <f t="shared" si="23"/>
        <v/>
      </c>
      <c r="H100" s="23" t="str">
        <f t="shared" si="24"/>
        <v/>
      </c>
      <c r="I100" s="23" t="str">
        <f t="shared" si="25"/>
        <v/>
      </c>
      <c r="T100" t="str">
        <f t="shared" si="26"/>
        <v/>
      </c>
      <c r="W100" t="str">
        <f>IFERROR(INDEX('01 assessment'!$A$4:$A$1000,MATCH(ROWS($W$4:W100),$AJ$4:$AJ$1000,0)),"")</f>
        <v/>
      </c>
      <c r="X100" t="str">
        <f>IFERROR(INDEX('01 assessment'!$F$4:$F$1000,MATCH(ROWS($X$4:X100),$AJ$4:$AJ$1000,0)),"")</f>
        <v/>
      </c>
      <c r="Y100" t="str">
        <f>IFERROR(INDEX('01 assessment'!$C$4:$C$1000,MATCH(ROWS($Y$4:Y100),$AJ$4:$AJ$1000,0)),"")</f>
        <v/>
      </c>
      <c r="Z100" t="str">
        <f>IFERROR(INDEX('01 assessment'!$G$4:$G$1000,MATCH(ROWS($Z$4:Z100),$AJ$4:$AJ$1000,0)),"")</f>
        <v/>
      </c>
      <c r="AA100" t="str">
        <f>IFERROR(INDEX('01 assessment'!$H$4:$H$1000,MATCH(ROWS($AA$4:AA100),$AJ$4:$AJ$1000,0)),"")</f>
        <v/>
      </c>
      <c r="AB100" t="str">
        <f>IFERROR(INDEX('01 assessment'!$B$4:$B$1000,MATCH(ROWS($AB$4:AB100),$AJ$4:$AJ$1000,0)),"")</f>
        <v/>
      </c>
      <c r="AC100" t="str">
        <f>IFERROR(INDEX('01 assessment'!$I$4:$I$1000,MATCH(ROWS($AC$4:AC100),$AJ$4:$AJ$1000,0)),"")</f>
        <v/>
      </c>
      <c r="AD100" t="str">
        <f>IFERROR(INDEX('01 assessment'!$M$4:$M$1000,MATCH(ROWS($AD$4:AD100),$AJ$4:$AJ$1000,0)),"")</f>
        <v/>
      </c>
      <c r="AG100" t="str">
        <f>IF('01 assessment'!$M100="","",1+COUNTIFS('01 assessment'!$L$4:$L$1000,'01 assessment'!$L100,'01 assessment'!$J$4:$J$1000,"&gt;"&amp;'01 assessment'!$J100)+COUNTIFS('01 assessment'!$L$4:$L$1000,'01 assessment'!$L100,'01 assessment'!$J$4:$J$1000,'01 assessment'!$J100,'01 assessment'!$M$4:$M$1000,"&lt;"&amp;'01 assessment'!$M100))</f>
        <v/>
      </c>
      <c r="AH100" t="str">
        <f>IF(OR($AG100&lt;&gt;1,'01 assessment'!$M100=""),"",SUMIFS('04 Hazards'!$K$4:$K$1000,'04 Hazards'!$S$4:$S$1000,'01 assessment'!$M100,'04 Hazards'!$R$4:$R$1000,TRUE,'04 Hazards'!$U$4:$U$1000,TRUE))</f>
        <v/>
      </c>
      <c r="AI100" t="str">
        <f>IF(OR($AG100&lt;&gt;1,$AH100&lt;=0),"",1+COUNTIFS($AG$4:$AG$1000,1,$AH$4:$AH$1000,"&gt;"&amp;$AH100)+COUNTIFS($AG$4:$AG$1000,1,$AH$4:$AH$1000,$AH100,'01 assessment'!$A$4:$A$1000,"&lt;"&amp;'01 assessment'!$A100))</f>
        <v/>
      </c>
      <c r="AJ100" t="str">
        <f>IF('01 assessment'!$M100="","",1+COUNTIFS('01 assessment'!$A$4:$A$1000,"&lt;"&amp;'01 assessment'!$A100,'01 assessment'!$M$4:$M$1000,"&lt;&gt;")+COUNTIFS('01 assessment'!$A$4:$A$1000,'01 assessment'!$A100,'01 assessment'!$B$4:$B$1000,"&gt;"&amp;'01 assessment'!$B100,'01 assessment'!$M$4:$M$1000,"&lt;&gt;")+COUNTIFS('01 assessment'!$A$4:$A$1000,'01 assessment'!$A100,'01 assessment'!$B$4:$B$1000,'01 assessment'!$B100,'01 assessment'!$M$4:$M$1000,"&lt;"&amp;'01 assessment'!$M100))</f>
        <v/>
      </c>
    </row>
    <row r="101" spans="1:36">
      <c r="A101" s="23">
        <v>78</v>
      </c>
      <c r="B101" s="25" t="str">
        <f t="shared" si="18"/>
        <v/>
      </c>
      <c r="C101" s="23" t="str">
        <f t="shared" si="19"/>
        <v/>
      </c>
      <c r="D101" s="23" t="str">
        <f t="shared" si="20"/>
        <v/>
      </c>
      <c r="E101" s="23" t="str">
        <f t="shared" si="21"/>
        <v/>
      </c>
      <c r="F101" s="23" t="str">
        <f t="shared" si="22"/>
        <v/>
      </c>
      <c r="G101" s="27" t="str">
        <f t="shared" si="23"/>
        <v/>
      </c>
      <c r="H101" s="23" t="str">
        <f t="shared" si="24"/>
        <v/>
      </c>
      <c r="I101" s="23" t="str">
        <f t="shared" si="25"/>
        <v/>
      </c>
      <c r="T101" t="str">
        <f t="shared" si="26"/>
        <v/>
      </c>
      <c r="W101" t="str">
        <f>IFERROR(INDEX('01 assessment'!$A$4:$A$1000,MATCH(ROWS($W$4:W101),$AJ$4:$AJ$1000,0)),"")</f>
        <v/>
      </c>
      <c r="X101" t="str">
        <f>IFERROR(INDEX('01 assessment'!$F$4:$F$1000,MATCH(ROWS($X$4:X101),$AJ$4:$AJ$1000,0)),"")</f>
        <v/>
      </c>
      <c r="Y101" t="str">
        <f>IFERROR(INDEX('01 assessment'!$C$4:$C$1000,MATCH(ROWS($Y$4:Y101),$AJ$4:$AJ$1000,0)),"")</f>
        <v/>
      </c>
      <c r="Z101" t="str">
        <f>IFERROR(INDEX('01 assessment'!$G$4:$G$1000,MATCH(ROWS($Z$4:Z101),$AJ$4:$AJ$1000,0)),"")</f>
        <v/>
      </c>
      <c r="AA101" t="str">
        <f>IFERROR(INDEX('01 assessment'!$H$4:$H$1000,MATCH(ROWS($AA$4:AA101),$AJ$4:$AJ$1000,0)),"")</f>
        <v/>
      </c>
      <c r="AB101" t="str">
        <f>IFERROR(INDEX('01 assessment'!$B$4:$B$1000,MATCH(ROWS($AB$4:AB101),$AJ$4:$AJ$1000,0)),"")</f>
        <v/>
      </c>
      <c r="AC101" t="str">
        <f>IFERROR(INDEX('01 assessment'!$I$4:$I$1000,MATCH(ROWS($AC$4:AC101),$AJ$4:$AJ$1000,0)),"")</f>
        <v/>
      </c>
      <c r="AD101" t="str">
        <f>IFERROR(INDEX('01 assessment'!$M$4:$M$1000,MATCH(ROWS($AD$4:AD101),$AJ$4:$AJ$1000,0)),"")</f>
        <v/>
      </c>
      <c r="AG101" t="str">
        <f>IF('01 assessment'!$M101="","",1+COUNTIFS('01 assessment'!$L$4:$L$1000,'01 assessment'!$L101,'01 assessment'!$J$4:$J$1000,"&gt;"&amp;'01 assessment'!$J101)+COUNTIFS('01 assessment'!$L$4:$L$1000,'01 assessment'!$L101,'01 assessment'!$J$4:$J$1000,'01 assessment'!$J101,'01 assessment'!$M$4:$M$1000,"&lt;"&amp;'01 assessment'!$M101))</f>
        <v/>
      </c>
      <c r="AH101" t="str">
        <f>IF(OR($AG101&lt;&gt;1,'01 assessment'!$M101=""),"",SUMIFS('04 Hazards'!$K$4:$K$1000,'04 Hazards'!$S$4:$S$1000,'01 assessment'!$M101,'04 Hazards'!$R$4:$R$1000,TRUE,'04 Hazards'!$U$4:$U$1000,TRUE))</f>
        <v/>
      </c>
      <c r="AI101" t="str">
        <f>IF(OR($AG101&lt;&gt;1,$AH101&lt;=0),"",1+COUNTIFS($AG$4:$AG$1000,1,$AH$4:$AH$1000,"&gt;"&amp;$AH101)+COUNTIFS($AG$4:$AG$1000,1,$AH$4:$AH$1000,$AH101,'01 assessment'!$A$4:$A$1000,"&lt;"&amp;'01 assessment'!$A101))</f>
        <v/>
      </c>
      <c r="AJ101" t="str">
        <f>IF('01 assessment'!$M101="","",1+COUNTIFS('01 assessment'!$A$4:$A$1000,"&lt;"&amp;'01 assessment'!$A101,'01 assessment'!$M$4:$M$1000,"&lt;&gt;")+COUNTIFS('01 assessment'!$A$4:$A$1000,'01 assessment'!$A101,'01 assessment'!$B$4:$B$1000,"&gt;"&amp;'01 assessment'!$B101,'01 assessment'!$M$4:$M$1000,"&lt;&gt;")+COUNTIFS('01 assessment'!$A$4:$A$1000,'01 assessment'!$A101,'01 assessment'!$B$4:$B$1000,'01 assessment'!$B101,'01 assessment'!$M$4:$M$1000,"&lt;"&amp;'01 assessment'!$M101))</f>
        <v/>
      </c>
    </row>
    <row r="102" spans="1:36">
      <c r="A102" s="23">
        <v>79</v>
      </c>
      <c r="B102" s="25" t="str">
        <f t="shared" si="18"/>
        <v/>
      </c>
      <c r="C102" s="23" t="str">
        <f t="shared" si="19"/>
        <v/>
      </c>
      <c r="D102" s="23" t="str">
        <f t="shared" si="20"/>
        <v/>
      </c>
      <c r="E102" s="23" t="str">
        <f t="shared" si="21"/>
        <v/>
      </c>
      <c r="F102" s="23" t="str">
        <f t="shared" si="22"/>
        <v/>
      </c>
      <c r="G102" s="27" t="str">
        <f t="shared" si="23"/>
        <v/>
      </c>
      <c r="H102" s="23" t="str">
        <f t="shared" si="24"/>
        <v/>
      </c>
      <c r="I102" s="23" t="str">
        <f t="shared" si="25"/>
        <v/>
      </c>
      <c r="T102" t="str">
        <f t="shared" si="26"/>
        <v/>
      </c>
      <c r="W102" t="str">
        <f>IFERROR(INDEX('01 assessment'!$A$4:$A$1000,MATCH(ROWS($W$4:W102),$AJ$4:$AJ$1000,0)),"")</f>
        <v/>
      </c>
      <c r="X102" t="str">
        <f>IFERROR(INDEX('01 assessment'!$F$4:$F$1000,MATCH(ROWS($X$4:X102),$AJ$4:$AJ$1000,0)),"")</f>
        <v/>
      </c>
      <c r="Y102" t="str">
        <f>IFERROR(INDEX('01 assessment'!$C$4:$C$1000,MATCH(ROWS($Y$4:Y102),$AJ$4:$AJ$1000,0)),"")</f>
        <v/>
      </c>
      <c r="Z102" t="str">
        <f>IFERROR(INDEX('01 assessment'!$G$4:$G$1000,MATCH(ROWS($Z$4:Z102),$AJ$4:$AJ$1000,0)),"")</f>
        <v/>
      </c>
      <c r="AA102" t="str">
        <f>IFERROR(INDEX('01 assessment'!$H$4:$H$1000,MATCH(ROWS($AA$4:AA102),$AJ$4:$AJ$1000,0)),"")</f>
        <v/>
      </c>
      <c r="AB102" t="str">
        <f>IFERROR(INDEX('01 assessment'!$B$4:$B$1000,MATCH(ROWS($AB$4:AB102),$AJ$4:$AJ$1000,0)),"")</f>
        <v/>
      </c>
      <c r="AC102" t="str">
        <f>IFERROR(INDEX('01 assessment'!$I$4:$I$1000,MATCH(ROWS($AC$4:AC102),$AJ$4:$AJ$1000,0)),"")</f>
        <v/>
      </c>
      <c r="AD102" t="str">
        <f>IFERROR(INDEX('01 assessment'!$M$4:$M$1000,MATCH(ROWS($AD$4:AD102),$AJ$4:$AJ$1000,0)),"")</f>
        <v/>
      </c>
      <c r="AG102" t="str">
        <f>IF('01 assessment'!$M102="","",1+COUNTIFS('01 assessment'!$L$4:$L$1000,'01 assessment'!$L102,'01 assessment'!$J$4:$J$1000,"&gt;"&amp;'01 assessment'!$J102)+COUNTIFS('01 assessment'!$L$4:$L$1000,'01 assessment'!$L102,'01 assessment'!$J$4:$J$1000,'01 assessment'!$J102,'01 assessment'!$M$4:$M$1000,"&lt;"&amp;'01 assessment'!$M102))</f>
        <v/>
      </c>
      <c r="AH102" t="str">
        <f>IF(OR($AG102&lt;&gt;1,'01 assessment'!$M102=""),"",SUMIFS('04 Hazards'!$K$4:$K$1000,'04 Hazards'!$S$4:$S$1000,'01 assessment'!$M102,'04 Hazards'!$R$4:$R$1000,TRUE,'04 Hazards'!$U$4:$U$1000,TRUE))</f>
        <v/>
      </c>
      <c r="AI102" t="str">
        <f>IF(OR($AG102&lt;&gt;1,$AH102&lt;=0),"",1+COUNTIFS($AG$4:$AG$1000,1,$AH$4:$AH$1000,"&gt;"&amp;$AH102)+COUNTIFS($AG$4:$AG$1000,1,$AH$4:$AH$1000,$AH102,'01 assessment'!$A$4:$A$1000,"&lt;"&amp;'01 assessment'!$A102))</f>
        <v/>
      </c>
      <c r="AJ102" t="str">
        <f>IF('01 assessment'!$M102="","",1+COUNTIFS('01 assessment'!$A$4:$A$1000,"&lt;"&amp;'01 assessment'!$A102,'01 assessment'!$M$4:$M$1000,"&lt;&gt;")+COUNTIFS('01 assessment'!$A$4:$A$1000,'01 assessment'!$A102,'01 assessment'!$B$4:$B$1000,"&gt;"&amp;'01 assessment'!$B102,'01 assessment'!$M$4:$M$1000,"&lt;&gt;")+COUNTIFS('01 assessment'!$A$4:$A$1000,'01 assessment'!$A102,'01 assessment'!$B$4:$B$1000,'01 assessment'!$B102,'01 assessment'!$M$4:$M$1000,"&lt;"&amp;'01 assessment'!$M102))</f>
        <v/>
      </c>
    </row>
    <row r="103" spans="1:36">
      <c r="A103" s="23">
        <v>80</v>
      </c>
      <c r="B103" s="25" t="str">
        <f t="shared" si="18"/>
        <v/>
      </c>
      <c r="C103" s="23" t="str">
        <f t="shared" si="19"/>
        <v/>
      </c>
      <c r="D103" s="23" t="str">
        <f t="shared" si="20"/>
        <v/>
      </c>
      <c r="E103" s="23" t="str">
        <f t="shared" si="21"/>
        <v/>
      </c>
      <c r="F103" s="23" t="str">
        <f t="shared" si="22"/>
        <v/>
      </c>
      <c r="G103" s="27" t="str">
        <f t="shared" si="23"/>
        <v/>
      </c>
      <c r="H103" s="23" t="str">
        <f t="shared" si="24"/>
        <v/>
      </c>
      <c r="I103" s="23" t="str">
        <f t="shared" si="25"/>
        <v/>
      </c>
      <c r="T103" t="str">
        <f t="shared" si="26"/>
        <v/>
      </c>
      <c r="W103" t="str">
        <f>IFERROR(INDEX('01 assessment'!$A$4:$A$1000,MATCH(ROWS($W$4:W103),$AJ$4:$AJ$1000,0)),"")</f>
        <v/>
      </c>
      <c r="X103" t="str">
        <f>IFERROR(INDEX('01 assessment'!$F$4:$F$1000,MATCH(ROWS($X$4:X103),$AJ$4:$AJ$1000,0)),"")</f>
        <v/>
      </c>
      <c r="Y103" t="str">
        <f>IFERROR(INDEX('01 assessment'!$C$4:$C$1000,MATCH(ROWS($Y$4:Y103),$AJ$4:$AJ$1000,0)),"")</f>
        <v/>
      </c>
      <c r="Z103" t="str">
        <f>IFERROR(INDEX('01 assessment'!$G$4:$G$1000,MATCH(ROWS($Z$4:Z103),$AJ$4:$AJ$1000,0)),"")</f>
        <v/>
      </c>
      <c r="AA103" t="str">
        <f>IFERROR(INDEX('01 assessment'!$H$4:$H$1000,MATCH(ROWS($AA$4:AA103),$AJ$4:$AJ$1000,0)),"")</f>
        <v/>
      </c>
      <c r="AB103" t="str">
        <f>IFERROR(INDEX('01 assessment'!$B$4:$B$1000,MATCH(ROWS($AB$4:AB103),$AJ$4:$AJ$1000,0)),"")</f>
        <v/>
      </c>
      <c r="AC103" t="str">
        <f>IFERROR(INDEX('01 assessment'!$I$4:$I$1000,MATCH(ROWS($AC$4:AC103),$AJ$4:$AJ$1000,0)),"")</f>
        <v/>
      </c>
      <c r="AD103" t="str">
        <f>IFERROR(INDEX('01 assessment'!$M$4:$M$1000,MATCH(ROWS($AD$4:AD103),$AJ$4:$AJ$1000,0)),"")</f>
        <v/>
      </c>
      <c r="AG103" t="str">
        <f>IF('01 assessment'!$M103="","",1+COUNTIFS('01 assessment'!$L$4:$L$1000,'01 assessment'!$L103,'01 assessment'!$J$4:$J$1000,"&gt;"&amp;'01 assessment'!$J103)+COUNTIFS('01 assessment'!$L$4:$L$1000,'01 assessment'!$L103,'01 assessment'!$J$4:$J$1000,'01 assessment'!$J103,'01 assessment'!$M$4:$M$1000,"&lt;"&amp;'01 assessment'!$M103))</f>
        <v/>
      </c>
      <c r="AH103" t="str">
        <f>IF(OR($AG103&lt;&gt;1,'01 assessment'!$M103=""),"",SUMIFS('04 Hazards'!$K$4:$K$1000,'04 Hazards'!$S$4:$S$1000,'01 assessment'!$M103,'04 Hazards'!$R$4:$R$1000,TRUE,'04 Hazards'!$U$4:$U$1000,TRUE))</f>
        <v/>
      </c>
      <c r="AI103" t="str">
        <f>IF(OR($AG103&lt;&gt;1,$AH103&lt;=0),"",1+COUNTIFS($AG$4:$AG$1000,1,$AH$4:$AH$1000,"&gt;"&amp;$AH103)+COUNTIFS($AG$4:$AG$1000,1,$AH$4:$AH$1000,$AH103,'01 assessment'!$A$4:$A$1000,"&lt;"&amp;'01 assessment'!$A103))</f>
        <v/>
      </c>
      <c r="AJ103" t="str">
        <f>IF('01 assessment'!$M103="","",1+COUNTIFS('01 assessment'!$A$4:$A$1000,"&lt;"&amp;'01 assessment'!$A103,'01 assessment'!$M$4:$M$1000,"&lt;&gt;")+COUNTIFS('01 assessment'!$A$4:$A$1000,'01 assessment'!$A103,'01 assessment'!$B$4:$B$1000,"&gt;"&amp;'01 assessment'!$B103,'01 assessment'!$M$4:$M$1000,"&lt;&gt;")+COUNTIFS('01 assessment'!$A$4:$A$1000,'01 assessment'!$A103,'01 assessment'!$B$4:$B$1000,'01 assessment'!$B103,'01 assessment'!$M$4:$M$1000,"&lt;"&amp;'01 assessment'!$M103))</f>
        <v/>
      </c>
    </row>
    <row r="104" spans="1:36">
      <c r="A104" s="23">
        <v>81</v>
      </c>
      <c r="B104" s="25" t="str">
        <f t="shared" si="18"/>
        <v/>
      </c>
      <c r="C104" s="23" t="str">
        <f t="shared" si="19"/>
        <v/>
      </c>
      <c r="D104" s="23" t="str">
        <f t="shared" si="20"/>
        <v/>
      </c>
      <c r="E104" s="23" t="str">
        <f t="shared" si="21"/>
        <v/>
      </c>
      <c r="F104" s="23" t="str">
        <f t="shared" si="22"/>
        <v/>
      </c>
      <c r="G104" s="27" t="str">
        <f t="shared" si="23"/>
        <v/>
      </c>
      <c r="H104" s="23" t="str">
        <f t="shared" si="24"/>
        <v/>
      </c>
      <c r="I104" s="23" t="str">
        <f t="shared" si="25"/>
        <v/>
      </c>
      <c r="T104" t="str">
        <f t="shared" si="26"/>
        <v/>
      </c>
      <c r="W104" t="str">
        <f>IFERROR(INDEX('01 assessment'!$A$4:$A$1000,MATCH(ROWS($W$4:W104),$AJ$4:$AJ$1000,0)),"")</f>
        <v/>
      </c>
      <c r="X104" t="str">
        <f>IFERROR(INDEX('01 assessment'!$F$4:$F$1000,MATCH(ROWS($X$4:X104),$AJ$4:$AJ$1000,0)),"")</f>
        <v/>
      </c>
      <c r="Y104" t="str">
        <f>IFERROR(INDEX('01 assessment'!$C$4:$C$1000,MATCH(ROWS($Y$4:Y104),$AJ$4:$AJ$1000,0)),"")</f>
        <v/>
      </c>
      <c r="Z104" t="str">
        <f>IFERROR(INDEX('01 assessment'!$G$4:$G$1000,MATCH(ROWS($Z$4:Z104),$AJ$4:$AJ$1000,0)),"")</f>
        <v/>
      </c>
      <c r="AA104" t="str">
        <f>IFERROR(INDEX('01 assessment'!$H$4:$H$1000,MATCH(ROWS($AA$4:AA104),$AJ$4:$AJ$1000,0)),"")</f>
        <v/>
      </c>
      <c r="AB104" t="str">
        <f>IFERROR(INDEX('01 assessment'!$B$4:$B$1000,MATCH(ROWS($AB$4:AB104),$AJ$4:$AJ$1000,0)),"")</f>
        <v/>
      </c>
      <c r="AC104" t="str">
        <f>IFERROR(INDEX('01 assessment'!$I$4:$I$1000,MATCH(ROWS($AC$4:AC104),$AJ$4:$AJ$1000,0)),"")</f>
        <v/>
      </c>
      <c r="AD104" t="str">
        <f>IFERROR(INDEX('01 assessment'!$M$4:$M$1000,MATCH(ROWS($AD$4:AD104),$AJ$4:$AJ$1000,0)),"")</f>
        <v/>
      </c>
      <c r="AG104" t="str">
        <f>IF('01 assessment'!$M104="","",1+COUNTIFS('01 assessment'!$L$4:$L$1000,'01 assessment'!$L104,'01 assessment'!$J$4:$J$1000,"&gt;"&amp;'01 assessment'!$J104)+COUNTIFS('01 assessment'!$L$4:$L$1000,'01 assessment'!$L104,'01 assessment'!$J$4:$J$1000,'01 assessment'!$J104,'01 assessment'!$M$4:$M$1000,"&lt;"&amp;'01 assessment'!$M104))</f>
        <v/>
      </c>
      <c r="AH104" t="str">
        <f>IF(OR($AG104&lt;&gt;1,'01 assessment'!$M104=""),"",SUMIFS('04 Hazards'!$K$4:$K$1000,'04 Hazards'!$S$4:$S$1000,'01 assessment'!$M104,'04 Hazards'!$R$4:$R$1000,TRUE,'04 Hazards'!$U$4:$U$1000,TRUE))</f>
        <v/>
      </c>
      <c r="AI104" t="str">
        <f>IF(OR($AG104&lt;&gt;1,$AH104&lt;=0),"",1+COUNTIFS($AG$4:$AG$1000,1,$AH$4:$AH$1000,"&gt;"&amp;$AH104)+COUNTIFS($AG$4:$AG$1000,1,$AH$4:$AH$1000,$AH104,'01 assessment'!$A$4:$A$1000,"&lt;"&amp;'01 assessment'!$A104))</f>
        <v/>
      </c>
      <c r="AJ104" t="str">
        <f>IF('01 assessment'!$M104="","",1+COUNTIFS('01 assessment'!$A$4:$A$1000,"&lt;"&amp;'01 assessment'!$A104,'01 assessment'!$M$4:$M$1000,"&lt;&gt;")+COUNTIFS('01 assessment'!$A$4:$A$1000,'01 assessment'!$A104,'01 assessment'!$B$4:$B$1000,"&gt;"&amp;'01 assessment'!$B104,'01 assessment'!$M$4:$M$1000,"&lt;&gt;")+COUNTIFS('01 assessment'!$A$4:$A$1000,'01 assessment'!$A104,'01 assessment'!$B$4:$B$1000,'01 assessment'!$B104,'01 assessment'!$M$4:$M$1000,"&lt;"&amp;'01 assessment'!$M104))</f>
        <v/>
      </c>
    </row>
    <row r="105" spans="1:36">
      <c r="A105" s="23">
        <v>82</v>
      </c>
      <c r="B105" s="25" t="str">
        <f t="shared" si="18"/>
        <v/>
      </c>
      <c r="C105" s="23" t="str">
        <f t="shared" si="19"/>
        <v/>
      </c>
      <c r="D105" s="23" t="str">
        <f t="shared" si="20"/>
        <v/>
      </c>
      <c r="E105" s="23" t="str">
        <f t="shared" si="21"/>
        <v/>
      </c>
      <c r="F105" s="23" t="str">
        <f t="shared" si="22"/>
        <v/>
      </c>
      <c r="G105" s="27" t="str">
        <f t="shared" si="23"/>
        <v/>
      </c>
      <c r="H105" s="23" t="str">
        <f t="shared" si="24"/>
        <v/>
      </c>
      <c r="I105" s="23" t="str">
        <f t="shared" si="25"/>
        <v/>
      </c>
      <c r="T105" t="str">
        <f t="shared" si="26"/>
        <v/>
      </c>
      <c r="W105" t="str">
        <f>IFERROR(INDEX('01 assessment'!$A$4:$A$1000,MATCH(ROWS($W$4:W105),$AJ$4:$AJ$1000,0)),"")</f>
        <v/>
      </c>
      <c r="X105" t="str">
        <f>IFERROR(INDEX('01 assessment'!$F$4:$F$1000,MATCH(ROWS($X$4:X105),$AJ$4:$AJ$1000,0)),"")</f>
        <v/>
      </c>
      <c r="Y105" t="str">
        <f>IFERROR(INDEX('01 assessment'!$C$4:$C$1000,MATCH(ROWS($Y$4:Y105),$AJ$4:$AJ$1000,0)),"")</f>
        <v/>
      </c>
      <c r="Z105" t="str">
        <f>IFERROR(INDEX('01 assessment'!$G$4:$G$1000,MATCH(ROWS($Z$4:Z105),$AJ$4:$AJ$1000,0)),"")</f>
        <v/>
      </c>
      <c r="AA105" t="str">
        <f>IFERROR(INDEX('01 assessment'!$H$4:$H$1000,MATCH(ROWS($AA$4:AA105),$AJ$4:$AJ$1000,0)),"")</f>
        <v/>
      </c>
      <c r="AB105" t="str">
        <f>IFERROR(INDEX('01 assessment'!$B$4:$B$1000,MATCH(ROWS($AB$4:AB105),$AJ$4:$AJ$1000,0)),"")</f>
        <v/>
      </c>
      <c r="AC105" t="str">
        <f>IFERROR(INDEX('01 assessment'!$I$4:$I$1000,MATCH(ROWS($AC$4:AC105),$AJ$4:$AJ$1000,0)),"")</f>
        <v/>
      </c>
      <c r="AD105" t="str">
        <f>IFERROR(INDEX('01 assessment'!$M$4:$M$1000,MATCH(ROWS($AD$4:AD105),$AJ$4:$AJ$1000,0)),"")</f>
        <v/>
      </c>
      <c r="AG105" t="str">
        <f>IF('01 assessment'!$M105="","",1+COUNTIFS('01 assessment'!$L$4:$L$1000,'01 assessment'!$L105,'01 assessment'!$J$4:$J$1000,"&gt;"&amp;'01 assessment'!$J105)+COUNTIFS('01 assessment'!$L$4:$L$1000,'01 assessment'!$L105,'01 assessment'!$J$4:$J$1000,'01 assessment'!$J105,'01 assessment'!$M$4:$M$1000,"&lt;"&amp;'01 assessment'!$M105))</f>
        <v/>
      </c>
      <c r="AH105" t="str">
        <f>IF(OR($AG105&lt;&gt;1,'01 assessment'!$M105=""),"",SUMIFS('04 Hazards'!$K$4:$K$1000,'04 Hazards'!$S$4:$S$1000,'01 assessment'!$M105,'04 Hazards'!$R$4:$R$1000,TRUE,'04 Hazards'!$U$4:$U$1000,TRUE))</f>
        <v/>
      </c>
      <c r="AI105" t="str">
        <f>IF(OR($AG105&lt;&gt;1,$AH105&lt;=0),"",1+COUNTIFS($AG$4:$AG$1000,1,$AH$4:$AH$1000,"&gt;"&amp;$AH105)+COUNTIFS($AG$4:$AG$1000,1,$AH$4:$AH$1000,$AH105,'01 assessment'!$A$4:$A$1000,"&lt;"&amp;'01 assessment'!$A105))</f>
        <v/>
      </c>
      <c r="AJ105" t="str">
        <f>IF('01 assessment'!$M105="","",1+COUNTIFS('01 assessment'!$A$4:$A$1000,"&lt;"&amp;'01 assessment'!$A105,'01 assessment'!$M$4:$M$1000,"&lt;&gt;")+COUNTIFS('01 assessment'!$A$4:$A$1000,'01 assessment'!$A105,'01 assessment'!$B$4:$B$1000,"&gt;"&amp;'01 assessment'!$B105,'01 assessment'!$M$4:$M$1000,"&lt;&gt;")+COUNTIFS('01 assessment'!$A$4:$A$1000,'01 assessment'!$A105,'01 assessment'!$B$4:$B$1000,'01 assessment'!$B105,'01 assessment'!$M$4:$M$1000,"&lt;"&amp;'01 assessment'!$M105))</f>
        <v/>
      </c>
    </row>
    <row r="106" spans="1:36">
      <c r="A106" s="23">
        <v>83</v>
      </c>
      <c r="B106" s="25" t="str">
        <f t="shared" si="18"/>
        <v/>
      </c>
      <c r="C106" s="23" t="str">
        <f t="shared" si="19"/>
        <v/>
      </c>
      <c r="D106" s="23" t="str">
        <f t="shared" si="20"/>
        <v/>
      </c>
      <c r="E106" s="23" t="str">
        <f t="shared" si="21"/>
        <v/>
      </c>
      <c r="F106" s="23" t="str">
        <f t="shared" si="22"/>
        <v/>
      </c>
      <c r="G106" s="27" t="str">
        <f t="shared" si="23"/>
        <v/>
      </c>
      <c r="H106" s="23" t="str">
        <f t="shared" si="24"/>
        <v/>
      </c>
      <c r="I106" s="23" t="str">
        <f t="shared" si="25"/>
        <v/>
      </c>
      <c r="T106" t="str">
        <f t="shared" si="26"/>
        <v/>
      </c>
      <c r="W106" t="str">
        <f>IFERROR(INDEX('01 assessment'!$A$4:$A$1000,MATCH(ROWS($W$4:W106),$AJ$4:$AJ$1000,0)),"")</f>
        <v/>
      </c>
      <c r="X106" t="str">
        <f>IFERROR(INDEX('01 assessment'!$F$4:$F$1000,MATCH(ROWS($X$4:X106),$AJ$4:$AJ$1000,0)),"")</f>
        <v/>
      </c>
      <c r="Y106" t="str">
        <f>IFERROR(INDEX('01 assessment'!$C$4:$C$1000,MATCH(ROWS($Y$4:Y106),$AJ$4:$AJ$1000,0)),"")</f>
        <v/>
      </c>
      <c r="Z106" t="str">
        <f>IFERROR(INDEX('01 assessment'!$G$4:$G$1000,MATCH(ROWS($Z$4:Z106),$AJ$4:$AJ$1000,0)),"")</f>
        <v/>
      </c>
      <c r="AA106" t="str">
        <f>IFERROR(INDEX('01 assessment'!$H$4:$H$1000,MATCH(ROWS($AA$4:AA106),$AJ$4:$AJ$1000,0)),"")</f>
        <v/>
      </c>
      <c r="AB106" t="str">
        <f>IFERROR(INDEX('01 assessment'!$B$4:$B$1000,MATCH(ROWS($AB$4:AB106),$AJ$4:$AJ$1000,0)),"")</f>
        <v/>
      </c>
      <c r="AC106" t="str">
        <f>IFERROR(INDEX('01 assessment'!$I$4:$I$1000,MATCH(ROWS($AC$4:AC106),$AJ$4:$AJ$1000,0)),"")</f>
        <v/>
      </c>
      <c r="AD106" t="str">
        <f>IFERROR(INDEX('01 assessment'!$M$4:$M$1000,MATCH(ROWS($AD$4:AD106),$AJ$4:$AJ$1000,0)),"")</f>
        <v/>
      </c>
      <c r="AG106" t="str">
        <f>IF('01 assessment'!$M106="","",1+COUNTIFS('01 assessment'!$L$4:$L$1000,'01 assessment'!$L106,'01 assessment'!$J$4:$J$1000,"&gt;"&amp;'01 assessment'!$J106)+COUNTIFS('01 assessment'!$L$4:$L$1000,'01 assessment'!$L106,'01 assessment'!$J$4:$J$1000,'01 assessment'!$J106,'01 assessment'!$M$4:$M$1000,"&lt;"&amp;'01 assessment'!$M106))</f>
        <v/>
      </c>
      <c r="AH106" t="str">
        <f>IF(OR($AG106&lt;&gt;1,'01 assessment'!$M106=""),"",SUMIFS('04 Hazards'!$K$4:$K$1000,'04 Hazards'!$S$4:$S$1000,'01 assessment'!$M106,'04 Hazards'!$R$4:$R$1000,TRUE,'04 Hazards'!$U$4:$U$1000,TRUE))</f>
        <v/>
      </c>
      <c r="AI106" t="str">
        <f>IF(OR($AG106&lt;&gt;1,$AH106&lt;=0),"",1+COUNTIFS($AG$4:$AG$1000,1,$AH$4:$AH$1000,"&gt;"&amp;$AH106)+COUNTIFS($AG$4:$AG$1000,1,$AH$4:$AH$1000,$AH106,'01 assessment'!$A$4:$A$1000,"&lt;"&amp;'01 assessment'!$A106))</f>
        <v/>
      </c>
      <c r="AJ106" t="str">
        <f>IF('01 assessment'!$M106="","",1+COUNTIFS('01 assessment'!$A$4:$A$1000,"&lt;"&amp;'01 assessment'!$A106,'01 assessment'!$M$4:$M$1000,"&lt;&gt;")+COUNTIFS('01 assessment'!$A$4:$A$1000,'01 assessment'!$A106,'01 assessment'!$B$4:$B$1000,"&gt;"&amp;'01 assessment'!$B106,'01 assessment'!$M$4:$M$1000,"&lt;&gt;")+COUNTIFS('01 assessment'!$A$4:$A$1000,'01 assessment'!$A106,'01 assessment'!$B$4:$B$1000,'01 assessment'!$B106,'01 assessment'!$M$4:$M$1000,"&lt;"&amp;'01 assessment'!$M106))</f>
        <v/>
      </c>
    </row>
    <row r="107" spans="1:36">
      <c r="A107" s="23">
        <v>84</v>
      </c>
      <c r="B107" s="25" t="str">
        <f t="shared" si="18"/>
        <v/>
      </c>
      <c r="C107" s="23" t="str">
        <f t="shared" si="19"/>
        <v/>
      </c>
      <c r="D107" s="23" t="str">
        <f t="shared" si="20"/>
        <v/>
      </c>
      <c r="E107" s="23" t="str">
        <f t="shared" si="21"/>
        <v/>
      </c>
      <c r="F107" s="23" t="str">
        <f t="shared" si="22"/>
        <v/>
      </c>
      <c r="G107" s="27" t="str">
        <f t="shared" si="23"/>
        <v/>
      </c>
      <c r="H107" s="23" t="str">
        <f t="shared" si="24"/>
        <v/>
      </c>
      <c r="I107" s="23" t="str">
        <f t="shared" si="25"/>
        <v/>
      </c>
      <c r="T107" t="str">
        <f t="shared" si="26"/>
        <v/>
      </c>
      <c r="W107" t="str">
        <f>IFERROR(INDEX('01 assessment'!$A$4:$A$1000,MATCH(ROWS($W$4:W107),$AJ$4:$AJ$1000,0)),"")</f>
        <v/>
      </c>
      <c r="X107" t="str">
        <f>IFERROR(INDEX('01 assessment'!$F$4:$F$1000,MATCH(ROWS($X$4:X107),$AJ$4:$AJ$1000,0)),"")</f>
        <v/>
      </c>
      <c r="Y107" t="str">
        <f>IFERROR(INDEX('01 assessment'!$C$4:$C$1000,MATCH(ROWS($Y$4:Y107),$AJ$4:$AJ$1000,0)),"")</f>
        <v/>
      </c>
      <c r="Z107" t="str">
        <f>IFERROR(INDEX('01 assessment'!$G$4:$G$1000,MATCH(ROWS($Z$4:Z107),$AJ$4:$AJ$1000,0)),"")</f>
        <v/>
      </c>
      <c r="AA107" t="str">
        <f>IFERROR(INDEX('01 assessment'!$H$4:$H$1000,MATCH(ROWS($AA$4:AA107),$AJ$4:$AJ$1000,0)),"")</f>
        <v/>
      </c>
      <c r="AB107" t="str">
        <f>IFERROR(INDEX('01 assessment'!$B$4:$B$1000,MATCH(ROWS($AB$4:AB107),$AJ$4:$AJ$1000,0)),"")</f>
        <v/>
      </c>
      <c r="AC107" t="str">
        <f>IFERROR(INDEX('01 assessment'!$I$4:$I$1000,MATCH(ROWS($AC$4:AC107),$AJ$4:$AJ$1000,0)),"")</f>
        <v/>
      </c>
      <c r="AD107" t="str">
        <f>IFERROR(INDEX('01 assessment'!$M$4:$M$1000,MATCH(ROWS($AD$4:AD107),$AJ$4:$AJ$1000,0)),"")</f>
        <v/>
      </c>
      <c r="AG107" t="str">
        <f>IF('01 assessment'!$M107="","",1+COUNTIFS('01 assessment'!$L$4:$L$1000,'01 assessment'!$L107,'01 assessment'!$J$4:$J$1000,"&gt;"&amp;'01 assessment'!$J107)+COUNTIFS('01 assessment'!$L$4:$L$1000,'01 assessment'!$L107,'01 assessment'!$J$4:$J$1000,'01 assessment'!$J107,'01 assessment'!$M$4:$M$1000,"&lt;"&amp;'01 assessment'!$M107))</f>
        <v/>
      </c>
      <c r="AH107" t="str">
        <f>IF(OR($AG107&lt;&gt;1,'01 assessment'!$M107=""),"",SUMIFS('04 Hazards'!$K$4:$K$1000,'04 Hazards'!$S$4:$S$1000,'01 assessment'!$M107,'04 Hazards'!$R$4:$R$1000,TRUE,'04 Hazards'!$U$4:$U$1000,TRUE))</f>
        <v/>
      </c>
      <c r="AI107" t="str">
        <f>IF(OR($AG107&lt;&gt;1,$AH107&lt;=0),"",1+COUNTIFS($AG$4:$AG$1000,1,$AH$4:$AH$1000,"&gt;"&amp;$AH107)+COUNTIFS($AG$4:$AG$1000,1,$AH$4:$AH$1000,$AH107,'01 assessment'!$A$4:$A$1000,"&lt;"&amp;'01 assessment'!$A107))</f>
        <v/>
      </c>
      <c r="AJ107" t="str">
        <f>IF('01 assessment'!$M107="","",1+COUNTIFS('01 assessment'!$A$4:$A$1000,"&lt;"&amp;'01 assessment'!$A107,'01 assessment'!$M$4:$M$1000,"&lt;&gt;")+COUNTIFS('01 assessment'!$A$4:$A$1000,'01 assessment'!$A107,'01 assessment'!$B$4:$B$1000,"&gt;"&amp;'01 assessment'!$B107,'01 assessment'!$M$4:$M$1000,"&lt;&gt;")+COUNTIFS('01 assessment'!$A$4:$A$1000,'01 assessment'!$A107,'01 assessment'!$B$4:$B$1000,'01 assessment'!$B107,'01 assessment'!$M$4:$M$1000,"&lt;"&amp;'01 assessment'!$M107))</f>
        <v/>
      </c>
    </row>
    <row r="108" spans="1:36">
      <c r="A108" s="23">
        <v>85</v>
      </c>
      <c r="B108" s="25" t="str">
        <f t="shared" si="18"/>
        <v/>
      </c>
      <c r="C108" s="23" t="str">
        <f t="shared" si="19"/>
        <v/>
      </c>
      <c r="D108" s="23" t="str">
        <f t="shared" si="20"/>
        <v/>
      </c>
      <c r="E108" s="23" t="str">
        <f t="shared" si="21"/>
        <v/>
      </c>
      <c r="F108" s="23" t="str">
        <f t="shared" si="22"/>
        <v/>
      </c>
      <c r="G108" s="27" t="str">
        <f t="shared" si="23"/>
        <v/>
      </c>
      <c r="H108" s="23" t="str">
        <f t="shared" si="24"/>
        <v/>
      </c>
      <c r="I108" s="23" t="str">
        <f t="shared" si="25"/>
        <v/>
      </c>
      <c r="T108" t="str">
        <f t="shared" si="26"/>
        <v/>
      </c>
      <c r="W108" t="str">
        <f>IFERROR(INDEX('01 assessment'!$A$4:$A$1000,MATCH(ROWS($W$4:W108),$AJ$4:$AJ$1000,0)),"")</f>
        <v/>
      </c>
      <c r="X108" t="str">
        <f>IFERROR(INDEX('01 assessment'!$F$4:$F$1000,MATCH(ROWS($X$4:X108),$AJ$4:$AJ$1000,0)),"")</f>
        <v/>
      </c>
      <c r="Y108" t="str">
        <f>IFERROR(INDEX('01 assessment'!$C$4:$C$1000,MATCH(ROWS($Y$4:Y108),$AJ$4:$AJ$1000,0)),"")</f>
        <v/>
      </c>
      <c r="Z108" t="str">
        <f>IFERROR(INDEX('01 assessment'!$G$4:$G$1000,MATCH(ROWS($Z$4:Z108),$AJ$4:$AJ$1000,0)),"")</f>
        <v/>
      </c>
      <c r="AA108" t="str">
        <f>IFERROR(INDEX('01 assessment'!$H$4:$H$1000,MATCH(ROWS($AA$4:AA108),$AJ$4:$AJ$1000,0)),"")</f>
        <v/>
      </c>
      <c r="AB108" t="str">
        <f>IFERROR(INDEX('01 assessment'!$B$4:$B$1000,MATCH(ROWS($AB$4:AB108),$AJ$4:$AJ$1000,0)),"")</f>
        <v/>
      </c>
      <c r="AC108" t="str">
        <f>IFERROR(INDEX('01 assessment'!$I$4:$I$1000,MATCH(ROWS($AC$4:AC108),$AJ$4:$AJ$1000,0)),"")</f>
        <v/>
      </c>
      <c r="AD108" t="str">
        <f>IFERROR(INDEX('01 assessment'!$M$4:$M$1000,MATCH(ROWS($AD$4:AD108),$AJ$4:$AJ$1000,0)),"")</f>
        <v/>
      </c>
      <c r="AG108" t="str">
        <f>IF('01 assessment'!$M108="","",1+COUNTIFS('01 assessment'!$L$4:$L$1000,'01 assessment'!$L108,'01 assessment'!$J$4:$J$1000,"&gt;"&amp;'01 assessment'!$J108)+COUNTIFS('01 assessment'!$L$4:$L$1000,'01 assessment'!$L108,'01 assessment'!$J$4:$J$1000,'01 assessment'!$J108,'01 assessment'!$M$4:$M$1000,"&lt;"&amp;'01 assessment'!$M108))</f>
        <v/>
      </c>
      <c r="AH108" t="str">
        <f>IF(OR($AG108&lt;&gt;1,'01 assessment'!$M108=""),"",SUMIFS('04 Hazards'!$K$4:$K$1000,'04 Hazards'!$S$4:$S$1000,'01 assessment'!$M108,'04 Hazards'!$R$4:$R$1000,TRUE,'04 Hazards'!$U$4:$U$1000,TRUE))</f>
        <v/>
      </c>
      <c r="AI108" t="str">
        <f>IF(OR($AG108&lt;&gt;1,$AH108&lt;=0),"",1+COUNTIFS($AG$4:$AG$1000,1,$AH$4:$AH$1000,"&gt;"&amp;$AH108)+COUNTIFS($AG$4:$AG$1000,1,$AH$4:$AH$1000,$AH108,'01 assessment'!$A$4:$A$1000,"&lt;"&amp;'01 assessment'!$A108))</f>
        <v/>
      </c>
      <c r="AJ108" t="str">
        <f>IF('01 assessment'!$M108="","",1+COUNTIFS('01 assessment'!$A$4:$A$1000,"&lt;"&amp;'01 assessment'!$A108,'01 assessment'!$M$4:$M$1000,"&lt;&gt;")+COUNTIFS('01 assessment'!$A$4:$A$1000,'01 assessment'!$A108,'01 assessment'!$B$4:$B$1000,"&gt;"&amp;'01 assessment'!$B108,'01 assessment'!$M$4:$M$1000,"&lt;&gt;")+COUNTIFS('01 assessment'!$A$4:$A$1000,'01 assessment'!$A108,'01 assessment'!$B$4:$B$1000,'01 assessment'!$B108,'01 assessment'!$M$4:$M$1000,"&lt;"&amp;'01 assessment'!$M108))</f>
        <v/>
      </c>
    </row>
    <row r="109" spans="1:36">
      <c r="A109" s="23">
        <v>86</v>
      </c>
      <c r="B109" s="25" t="str">
        <f t="shared" si="18"/>
        <v/>
      </c>
      <c r="C109" s="23" t="str">
        <f t="shared" si="19"/>
        <v/>
      </c>
      <c r="D109" s="23" t="str">
        <f t="shared" si="20"/>
        <v/>
      </c>
      <c r="E109" s="23" t="str">
        <f t="shared" si="21"/>
        <v/>
      </c>
      <c r="F109" s="23" t="str">
        <f t="shared" si="22"/>
        <v/>
      </c>
      <c r="G109" s="27" t="str">
        <f t="shared" si="23"/>
        <v/>
      </c>
      <c r="H109" s="23" t="str">
        <f t="shared" si="24"/>
        <v/>
      </c>
      <c r="I109" s="23" t="str">
        <f t="shared" si="25"/>
        <v/>
      </c>
      <c r="T109" t="str">
        <f t="shared" si="26"/>
        <v/>
      </c>
      <c r="W109" t="str">
        <f>IFERROR(INDEX('01 assessment'!$A$4:$A$1000,MATCH(ROWS($W$4:W109),$AJ$4:$AJ$1000,0)),"")</f>
        <v/>
      </c>
      <c r="X109" t="str">
        <f>IFERROR(INDEX('01 assessment'!$F$4:$F$1000,MATCH(ROWS($X$4:X109),$AJ$4:$AJ$1000,0)),"")</f>
        <v/>
      </c>
      <c r="Y109" t="str">
        <f>IFERROR(INDEX('01 assessment'!$C$4:$C$1000,MATCH(ROWS($Y$4:Y109),$AJ$4:$AJ$1000,0)),"")</f>
        <v/>
      </c>
      <c r="Z109" t="str">
        <f>IFERROR(INDEX('01 assessment'!$G$4:$G$1000,MATCH(ROWS($Z$4:Z109),$AJ$4:$AJ$1000,0)),"")</f>
        <v/>
      </c>
      <c r="AA109" t="str">
        <f>IFERROR(INDEX('01 assessment'!$H$4:$H$1000,MATCH(ROWS($AA$4:AA109),$AJ$4:$AJ$1000,0)),"")</f>
        <v/>
      </c>
      <c r="AB109" t="str">
        <f>IFERROR(INDEX('01 assessment'!$B$4:$B$1000,MATCH(ROWS($AB$4:AB109),$AJ$4:$AJ$1000,0)),"")</f>
        <v/>
      </c>
      <c r="AC109" t="str">
        <f>IFERROR(INDEX('01 assessment'!$I$4:$I$1000,MATCH(ROWS($AC$4:AC109),$AJ$4:$AJ$1000,0)),"")</f>
        <v/>
      </c>
      <c r="AD109" t="str">
        <f>IFERROR(INDEX('01 assessment'!$M$4:$M$1000,MATCH(ROWS($AD$4:AD109),$AJ$4:$AJ$1000,0)),"")</f>
        <v/>
      </c>
      <c r="AG109" t="str">
        <f>IF('01 assessment'!$M109="","",1+COUNTIFS('01 assessment'!$L$4:$L$1000,'01 assessment'!$L109,'01 assessment'!$J$4:$J$1000,"&gt;"&amp;'01 assessment'!$J109)+COUNTIFS('01 assessment'!$L$4:$L$1000,'01 assessment'!$L109,'01 assessment'!$J$4:$J$1000,'01 assessment'!$J109,'01 assessment'!$M$4:$M$1000,"&lt;"&amp;'01 assessment'!$M109))</f>
        <v/>
      </c>
      <c r="AH109" t="str">
        <f>IF(OR($AG109&lt;&gt;1,'01 assessment'!$M109=""),"",SUMIFS('04 Hazards'!$K$4:$K$1000,'04 Hazards'!$S$4:$S$1000,'01 assessment'!$M109,'04 Hazards'!$R$4:$R$1000,TRUE,'04 Hazards'!$U$4:$U$1000,TRUE))</f>
        <v/>
      </c>
      <c r="AI109" t="str">
        <f>IF(OR($AG109&lt;&gt;1,$AH109&lt;=0),"",1+COUNTIFS($AG$4:$AG$1000,1,$AH$4:$AH$1000,"&gt;"&amp;$AH109)+COUNTIFS($AG$4:$AG$1000,1,$AH$4:$AH$1000,$AH109,'01 assessment'!$A$4:$A$1000,"&lt;"&amp;'01 assessment'!$A109))</f>
        <v/>
      </c>
      <c r="AJ109" t="str">
        <f>IF('01 assessment'!$M109="","",1+COUNTIFS('01 assessment'!$A$4:$A$1000,"&lt;"&amp;'01 assessment'!$A109,'01 assessment'!$M$4:$M$1000,"&lt;&gt;")+COUNTIFS('01 assessment'!$A$4:$A$1000,'01 assessment'!$A109,'01 assessment'!$B$4:$B$1000,"&gt;"&amp;'01 assessment'!$B109,'01 assessment'!$M$4:$M$1000,"&lt;&gt;")+COUNTIFS('01 assessment'!$A$4:$A$1000,'01 assessment'!$A109,'01 assessment'!$B$4:$B$1000,'01 assessment'!$B109,'01 assessment'!$M$4:$M$1000,"&lt;"&amp;'01 assessment'!$M109))</f>
        <v/>
      </c>
    </row>
    <row r="110" spans="1:36">
      <c r="A110" s="23">
        <v>87</v>
      </c>
      <c r="B110" s="25" t="str">
        <f t="shared" si="18"/>
        <v/>
      </c>
      <c r="C110" s="23" t="str">
        <f t="shared" si="19"/>
        <v/>
      </c>
      <c r="D110" s="23" t="str">
        <f t="shared" si="20"/>
        <v/>
      </c>
      <c r="E110" s="23" t="str">
        <f t="shared" si="21"/>
        <v/>
      </c>
      <c r="F110" s="23" t="str">
        <f t="shared" si="22"/>
        <v/>
      </c>
      <c r="G110" s="27" t="str">
        <f t="shared" si="23"/>
        <v/>
      </c>
      <c r="H110" s="23" t="str">
        <f t="shared" si="24"/>
        <v/>
      </c>
      <c r="I110" s="23" t="str">
        <f t="shared" si="25"/>
        <v/>
      </c>
      <c r="T110" t="str">
        <f t="shared" si="26"/>
        <v/>
      </c>
      <c r="W110" t="str">
        <f>IFERROR(INDEX('01 assessment'!$A$4:$A$1000,MATCH(ROWS($W$4:W110),$AJ$4:$AJ$1000,0)),"")</f>
        <v/>
      </c>
      <c r="X110" t="str">
        <f>IFERROR(INDEX('01 assessment'!$F$4:$F$1000,MATCH(ROWS($X$4:X110),$AJ$4:$AJ$1000,0)),"")</f>
        <v/>
      </c>
      <c r="Y110" t="str">
        <f>IFERROR(INDEX('01 assessment'!$C$4:$C$1000,MATCH(ROWS($Y$4:Y110),$AJ$4:$AJ$1000,0)),"")</f>
        <v/>
      </c>
      <c r="Z110" t="str">
        <f>IFERROR(INDEX('01 assessment'!$G$4:$G$1000,MATCH(ROWS($Z$4:Z110),$AJ$4:$AJ$1000,0)),"")</f>
        <v/>
      </c>
      <c r="AA110" t="str">
        <f>IFERROR(INDEX('01 assessment'!$H$4:$H$1000,MATCH(ROWS($AA$4:AA110),$AJ$4:$AJ$1000,0)),"")</f>
        <v/>
      </c>
      <c r="AB110" t="str">
        <f>IFERROR(INDEX('01 assessment'!$B$4:$B$1000,MATCH(ROWS($AB$4:AB110),$AJ$4:$AJ$1000,0)),"")</f>
        <v/>
      </c>
      <c r="AC110" t="str">
        <f>IFERROR(INDEX('01 assessment'!$I$4:$I$1000,MATCH(ROWS($AC$4:AC110),$AJ$4:$AJ$1000,0)),"")</f>
        <v/>
      </c>
      <c r="AD110" t="str">
        <f>IFERROR(INDEX('01 assessment'!$M$4:$M$1000,MATCH(ROWS($AD$4:AD110),$AJ$4:$AJ$1000,0)),"")</f>
        <v/>
      </c>
      <c r="AG110" t="str">
        <f>IF('01 assessment'!$M110="","",1+COUNTIFS('01 assessment'!$L$4:$L$1000,'01 assessment'!$L110,'01 assessment'!$J$4:$J$1000,"&gt;"&amp;'01 assessment'!$J110)+COUNTIFS('01 assessment'!$L$4:$L$1000,'01 assessment'!$L110,'01 assessment'!$J$4:$J$1000,'01 assessment'!$J110,'01 assessment'!$M$4:$M$1000,"&lt;"&amp;'01 assessment'!$M110))</f>
        <v/>
      </c>
      <c r="AH110" t="str">
        <f>IF(OR($AG110&lt;&gt;1,'01 assessment'!$M110=""),"",SUMIFS('04 Hazards'!$K$4:$K$1000,'04 Hazards'!$S$4:$S$1000,'01 assessment'!$M110,'04 Hazards'!$R$4:$R$1000,TRUE,'04 Hazards'!$U$4:$U$1000,TRUE))</f>
        <v/>
      </c>
      <c r="AI110" t="str">
        <f>IF(OR($AG110&lt;&gt;1,$AH110&lt;=0),"",1+COUNTIFS($AG$4:$AG$1000,1,$AH$4:$AH$1000,"&gt;"&amp;$AH110)+COUNTIFS($AG$4:$AG$1000,1,$AH$4:$AH$1000,$AH110,'01 assessment'!$A$4:$A$1000,"&lt;"&amp;'01 assessment'!$A110))</f>
        <v/>
      </c>
      <c r="AJ110" t="str">
        <f>IF('01 assessment'!$M110="","",1+COUNTIFS('01 assessment'!$A$4:$A$1000,"&lt;"&amp;'01 assessment'!$A110,'01 assessment'!$M$4:$M$1000,"&lt;&gt;")+COUNTIFS('01 assessment'!$A$4:$A$1000,'01 assessment'!$A110,'01 assessment'!$B$4:$B$1000,"&gt;"&amp;'01 assessment'!$B110,'01 assessment'!$M$4:$M$1000,"&lt;&gt;")+COUNTIFS('01 assessment'!$A$4:$A$1000,'01 assessment'!$A110,'01 assessment'!$B$4:$B$1000,'01 assessment'!$B110,'01 assessment'!$M$4:$M$1000,"&lt;"&amp;'01 assessment'!$M110))</f>
        <v/>
      </c>
    </row>
    <row r="111" spans="1:36">
      <c r="A111" s="23">
        <v>88</v>
      </c>
      <c r="B111" s="25" t="str">
        <f t="shared" si="18"/>
        <v/>
      </c>
      <c r="C111" s="23" t="str">
        <f t="shared" si="19"/>
        <v/>
      </c>
      <c r="D111" s="23" t="str">
        <f t="shared" si="20"/>
        <v/>
      </c>
      <c r="E111" s="23" t="str">
        <f t="shared" si="21"/>
        <v/>
      </c>
      <c r="F111" s="23" t="str">
        <f t="shared" si="22"/>
        <v/>
      </c>
      <c r="G111" s="27" t="str">
        <f t="shared" si="23"/>
        <v/>
      </c>
      <c r="H111" s="23" t="str">
        <f t="shared" si="24"/>
        <v/>
      </c>
      <c r="I111" s="23" t="str">
        <f t="shared" si="25"/>
        <v/>
      </c>
      <c r="T111" t="str">
        <f t="shared" si="26"/>
        <v/>
      </c>
      <c r="W111" t="str">
        <f>IFERROR(INDEX('01 assessment'!$A$4:$A$1000,MATCH(ROWS($W$4:W111),$AJ$4:$AJ$1000,0)),"")</f>
        <v/>
      </c>
      <c r="X111" t="str">
        <f>IFERROR(INDEX('01 assessment'!$F$4:$F$1000,MATCH(ROWS($X$4:X111),$AJ$4:$AJ$1000,0)),"")</f>
        <v/>
      </c>
      <c r="Y111" t="str">
        <f>IFERROR(INDEX('01 assessment'!$C$4:$C$1000,MATCH(ROWS($Y$4:Y111),$AJ$4:$AJ$1000,0)),"")</f>
        <v/>
      </c>
      <c r="Z111" t="str">
        <f>IFERROR(INDEX('01 assessment'!$G$4:$G$1000,MATCH(ROWS($Z$4:Z111),$AJ$4:$AJ$1000,0)),"")</f>
        <v/>
      </c>
      <c r="AA111" t="str">
        <f>IFERROR(INDEX('01 assessment'!$H$4:$H$1000,MATCH(ROWS($AA$4:AA111),$AJ$4:$AJ$1000,0)),"")</f>
        <v/>
      </c>
      <c r="AB111" t="str">
        <f>IFERROR(INDEX('01 assessment'!$B$4:$B$1000,MATCH(ROWS($AB$4:AB111),$AJ$4:$AJ$1000,0)),"")</f>
        <v/>
      </c>
      <c r="AC111" t="str">
        <f>IFERROR(INDEX('01 assessment'!$I$4:$I$1000,MATCH(ROWS($AC$4:AC111),$AJ$4:$AJ$1000,0)),"")</f>
        <v/>
      </c>
      <c r="AD111" t="str">
        <f>IFERROR(INDEX('01 assessment'!$M$4:$M$1000,MATCH(ROWS($AD$4:AD111),$AJ$4:$AJ$1000,0)),"")</f>
        <v/>
      </c>
      <c r="AG111" t="str">
        <f>IF('01 assessment'!$M111="","",1+COUNTIFS('01 assessment'!$L$4:$L$1000,'01 assessment'!$L111,'01 assessment'!$J$4:$J$1000,"&gt;"&amp;'01 assessment'!$J111)+COUNTIFS('01 assessment'!$L$4:$L$1000,'01 assessment'!$L111,'01 assessment'!$J$4:$J$1000,'01 assessment'!$J111,'01 assessment'!$M$4:$M$1000,"&lt;"&amp;'01 assessment'!$M111))</f>
        <v/>
      </c>
      <c r="AH111" t="str">
        <f>IF(OR($AG111&lt;&gt;1,'01 assessment'!$M111=""),"",SUMIFS('04 Hazards'!$K$4:$K$1000,'04 Hazards'!$S$4:$S$1000,'01 assessment'!$M111,'04 Hazards'!$R$4:$R$1000,TRUE,'04 Hazards'!$U$4:$U$1000,TRUE))</f>
        <v/>
      </c>
      <c r="AI111" t="str">
        <f>IF(OR($AG111&lt;&gt;1,$AH111&lt;=0),"",1+COUNTIFS($AG$4:$AG$1000,1,$AH$4:$AH$1000,"&gt;"&amp;$AH111)+COUNTIFS($AG$4:$AG$1000,1,$AH$4:$AH$1000,$AH111,'01 assessment'!$A$4:$A$1000,"&lt;"&amp;'01 assessment'!$A111))</f>
        <v/>
      </c>
      <c r="AJ111" t="str">
        <f>IF('01 assessment'!$M111="","",1+COUNTIFS('01 assessment'!$A$4:$A$1000,"&lt;"&amp;'01 assessment'!$A111,'01 assessment'!$M$4:$M$1000,"&lt;&gt;")+COUNTIFS('01 assessment'!$A$4:$A$1000,'01 assessment'!$A111,'01 assessment'!$B$4:$B$1000,"&gt;"&amp;'01 assessment'!$B111,'01 assessment'!$M$4:$M$1000,"&lt;&gt;")+COUNTIFS('01 assessment'!$A$4:$A$1000,'01 assessment'!$A111,'01 assessment'!$B$4:$B$1000,'01 assessment'!$B111,'01 assessment'!$M$4:$M$1000,"&lt;"&amp;'01 assessment'!$M111))</f>
        <v/>
      </c>
    </row>
    <row r="112" spans="1:36">
      <c r="A112" s="23">
        <v>89</v>
      </c>
      <c r="B112" s="25" t="str">
        <f t="shared" si="18"/>
        <v/>
      </c>
      <c r="C112" s="23" t="str">
        <f t="shared" si="19"/>
        <v/>
      </c>
      <c r="D112" s="23" t="str">
        <f t="shared" si="20"/>
        <v/>
      </c>
      <c r="E112" s="23" t="str">
        <f t="shared" si="21"/>
        <v/>
      </c>
      <c r="F112" s="23" t="str">
        <f t="shared" si="22"/>
        <v/>
      </c>
      <c r="G112" s="27" t="str">
        <f t="shared" si="23"/>
        <v/>
      </c>
      <c r="H112" s="23" t="str">
        <f t="shared" si="24"/>
        <v/>
      </c>
      <c r="I112" s="23" t="str">
        <f t="shared" si="25"/>
        <v/>
      </c>
      <c r="T112" t="str">
        <f t="shared" si="26"/>
        <v/>
      </c>
      <c r="W112" t="str">
        <f>IFERROR(INDEX('01 assessment'!$A$4:$A$1000,MATCH(ROWS($W$4:W112),$AJ$4:$AJ$1000,0)),"")</f>
        <v/>
      </c>
      <c r="X112" t="str">
        <f>IFERROR(INDEX('01 assessment'!$F$4:$F$1000,MATCH(ROWS($X$4:X112),$AJ$4:$AJ$1000,0)),"")</f>
        <v/>
      </c>
      <c r="Y112" t="str">
        <f>IFERROR(INDEX('01 assessment'!$C$4:$C$1000,MATCH(ROWS($Y$4:Y112),$AJ$4:$AJ$1000,0)),"")</f>
        <v/>
      </c>
      <c r="Z112" t="str">
        <f>IFERROR(INDEX('01 assessment'!$G$4:$G$1000,MATCH(ROWS($Z$4:Z112),$AJ$4:$AJ$1000,0)),"")</f>
        <v/>
      </c>
      <c r="AA112" t="str">
        <f>IFERROR(INDEX('01 assessment'!$H$4:$H$1000,MATCH(ROWS($AA$4:AA112),$AJ$4:$AJ$1000,0)),"")</f>
        <v/>
      </c>
      <c r="AB112" t="str">
        <f>IFERROR(INDEX('01 assessment'!$B$4:$B$1000,MATCH(ROWS($AB$4:AB112),$AJ$4:$AJ$1000,0)),"")</f>
        <v/>
      </c>
      <c r="AC112" t="str">
        <f>IFERROR(INDEX('01 assessment'!$I$4:$I$1000,MATCH(ROWS($AC$4:AC112),$AJ$4:$AJ$1000,0)),"")</f>
        <v/>
      </c>
      <c r="AD112" t="str">
        <f>IFERROR(INDEX('01 assessment'!$M$4:$M$1000,MATCH(ROWS($AD$4:AD112),$AJ$4:$AJ$1000,0)),"")</f>
        <v/>
      </c>
      <c r="AG112" t="str">
        <f>IF('01 assessment'!$M112="","",1+COUNTIFS('01 assessment'!$L$4:$L$1000,'01 assessment'!$L112,'01 assessment'!$J$4:$J$1000,"&gt;"&amp;'01 assessment'!$J112)+COUNTIFS('01 assessment'!$L$4:$L$1000,'01 assessment'!$L112,'01 assessment'!$J$4:$J$1000,'01 assessment'!$J112,'01 assessment'!$M$4:$M$1000,"&lt;"&amp;'01 assessment'!$M112))</f>
        <v/>
      </c>
      <c r="AH112" t="str">
        <f>IF(OR($AG112&lt;&gt;1,'01 assessment'!$M112=""),"",SUMIFS('04 Hazards'!$K$4:$K$1000,'04 Hazards'!$S$4:$S$1000,'01 assessment'!$M112,'04 Hazards'!$R$4:$R$1000,TRUE,'04 Hazards'!$U$4:$U$1000,TRUE))</f>
        <v/>
      </c>
      <c r="AI112" t="str">
        <f>IF(OR($AG112&lt;&gt;1,$AH112&lt;=0),"",1+COUNTIFS($AG$4:$AG$1000,1,$AH$4:$AH$1000,"&gt;"&amp;$AH112)+COUNTIFS($AG$4:$AG$1000,1,$AH$4:$AH$1000,$AH112,'01 assessment'!$A$4:$A$1000,"&lt;"&amp;'01 assessment'!$A112))</f>
        <v/>
      </c>
      <c r="AJ112" t="str">
        <f>IF('01 assessment'!$M112="","",1+COUNTIFS('01 assessment'!$A$4:$A$1000,"&lt;"&amp;'01 assessment'!$A112,'01 assessment'!$M$4:$M$1000,"&lt;&gt;")+COUNTIFS('01 assessment'!$A$4:$A$1000,'01 assessment'!$A112,'01 assessment'!$B$4:$B$1000,"&gt;"&amp;'01 assessment'!$B112,'01 assessment'!$M$4:$M$1000,"&lt;&gt;")+COUNTIFS('01 assessment'!$A$4:$A$1000,'01 assessment'!$A112,'01 assessment'!$B$4:$B$1000,'01 assessment'!$B112,'01 assessment'!$M$4:$M$1000,"&lt;"&amp;'01 assessment'!$M112))</f>
        <v/>
      </c>
    </row>
    <row r="113" spans="1:36">
      <c r="A113" s="23">
        <v>90</v>
      </c>
      <c r="B113" s="25" t="str">
        <f t="shared" si="18"/>
        <v/>
      </c>
      <c r="C113" s="23" t="str">
        <f t="shared" si="19"/>
        <v/>
      </c>
      <c r="D113" s="23" t="str">
        <f t="shared" si="20"/>
        <v/>
      </c>
      <c r="E113" s="23" t="str">
        <f t="shared" si="21"/>
        <v/>
      </c>
      <c r="F113" s="23" t="str">
        <f t="shared" si="22"/>
        <v/>
      </c>
      <c r="G113" s="27" t="str">
        <f t="shared" si="23"/>
        <v/>
      </c>
      <c r="H113" s="23" t="str">
        <f t="shared" si="24"/>
        <v/>
      </c>
      <c r="I113" s="23" t="str">
        <f t="shared" si="25"/>
        <v/>
      </c>
      <c r="T113" t="str">
        <f t="shared" si="26"/>
        <v/>
      </c>
      <c r="W113" t="str">
        <f>IFERROR(INDEX('01 assessment'!$A$4:$A$1000,MATCH(ROWS($W$4:W113),$AJ$4:$AJ$1000,0)),"")</f>
        <v/>
      </c>
      <c r="X113" t="str">
        <f>IFERROR(INDEX('01 assessment'!$F$4:$F$1000,MATCH(ROWS($X$4:X113),$AJ$4:$AJ$1000,0)),"")</f>
        <v/>
      </c>
      <c r="Y113" t="str">
        <f>IFERROR(INDEX('01 assessment'!$C$4:$C$1000,MATCH(ROWS($Y$4:Y113),$AJ$4:$AJ$1000,0)),"")</f>
        <v/>
      </c>
      <c r="Z113" t="str">
        <f>IFERROR(INDEX('01 assessment'!$G$4:$G$1000,MATCH(ROWS($Z$4:Z113),$AJ$4:$AJ$1000,0)),"")</f>
        <v/>
      </c>
      <c r="AA113" t="str">
        <f>IFERROR(INDEX('01 assessment'!$H$4:$H$1000,MATCH(ROWS($AA$4:AA113),$AJ$4:$AJ$1000,0)),"")</f>
        <v/>
      </c>
      <c r="AB113" t="str">
        <f>IFERROR(INDEX('01 assessment'!$B$4:$B$1000,MATCH(ROWS($AB$4:AB113),$AJ$4:$AJ$1000,0)),"")</f>
        <v/>
      </c>
      <c r="AC113" t="str">
        <f>IFERROR(INDEX('01 assessment'!$I$4:$I$1000,MATCH(ROWS($AC$4:AC113),$AJ$4:$AJ$1000,0)),"")</f>
        <v/>
      </c>
      <c r="AD113" t="str">
        <f>IFERROR(INDEX('01 assessment'!$M$4:$M$1000,MATCH(ROWS($AD$4:AD113),$AJ$4:$AJ$1000,0)),"")</f>
        <v/>
      </c>
      <c r="AG113" t="str">
        <f>IF('01 assessment'!$M113="","",1+COUNTIFS('01 assessment'!$L$4:$L$1000,'01 assessment'!$L113,'01 assessment'!$J$4:$J$1000,"&gt;"&amp;'01 assessment'!$J113)+COUNTIFS('01 assessment'!$L$4:$L$1000,'01 assessment'!$L113,'01 assessment'!$J$4:$J$1000,'01 assessment'!$J113,'01 assessment'!$M$4:$M$1000,"&lt;"&amp;'01 assessment'!$M113))</f>
        <v/>
      </c>
      <c r="AH113" t="str">
        <f>IF(OR($AG113&lt;&gt;1,'01 assessment'!$M113=""),"",SUMIFS('04 Hazards'!$K$4:$K$1000,'04 Hazards'!$S$4:$S$1000,'01 assessment'!$M113,'04 Hazards'!$R$4:$R$1000,TRUE,'04 Hazards'!$U$4:$U$1000,TRUE))</f>
        <v/>
      </c>
      <c r="AI113" t="str">
        <f>IF(OR($AG113&lt;&gt;1,$AH113&lt;=0),"",1+COUNTIFS($AG$4:$AG$1000,1,$AH$4:$AH$1000,"&gt;"&amp;$AH113)+COUNTIFS($AG$4:$AG$1000,1,$AH$4:$AH$1000,$AH113,'01 assessment'!$A$4:$A$1000,"&lt;"&amp;'01 assessment'!$A113))</f>
        <v/>
      </c>
      <c r="AJ113" t="str">
        <f>IF('01 assessment'!$M113="","",1+COUNTIFS('01 assessment'!$A$4:$A$1000,"&lt;"&amp;'01 assessment'!$A113,'01 assessment'!$M$4:$M$1000,"&lt;&gt;")+COUNTIFS('01 assessment'!$A$4:$A$1000,'01 assessment'!$A113,'01 assessment'!$B$4:$B$1000,"&gt;"&amp;'01 assessment'!$B113,'01 assessment'!$M$4:$M$1000,"&lt;&gt;")+COUNTIFS('01 assessment'!$A$4:$A$1000,'01 assessment'!$A113,'01 assessment'!$B$4:$B$1000,'01 assessment'!$B113,'01 assessment'!$M$4:$M$1000,"&lt;"&amp;'01 assessment'!$M113))</f>
        <v/>
      </c>
    </row>
    <row r="114" spans="1:36">
      <c r="A114" s="23">
        <v>91</v>
      </c>
      <c r="B114" s="25" t="str">
        <f t="shared" si="18"/>
        <v/>
      </c>
      <c r="C114" s="23" t="str">
        <f t="shared" si="19"/>
        <v/>
      </c>
      <c r="D114" s="23" t="str">
        <f t="shared" si="20"/>
        <v/>
      </c>
      <c r="E114" s="23" t="str">
        <f t="shared" si="21"/>
        <v/>
      </c>
      <c r="F114" s="23" t="str">
        <f t="shared" si="22"/>
        <v/>
      </c>
      <c r="G114" s="27" t="str">
        <f t="shared" si="23"/>
        <v/>
      </c>
      <c r="H114" s="23" t="str">
        <f t="shared" si="24"/>
        <v/>
      </c>
      <c r="I114" s="23" t="str">
        <f t="shared" si="25"/>
        <v/>
      </c>
      <c r="T114" t="str">
        <f t="shared" si="26"/>
        <v/>
      </c>
      <c r="W114" t="str">
        <f>IFERROR(INDEX('01 assessment'!$A$4:$A$1000,MATCH(ROWS($W$4:W114),$AJ$4:$AJ$1000,0)),"")</f>
        <v/>
      </c>
      <c r="X114" t="str">
        <f>IFERROR(INDEX('01 assessment'!$F$4:$F$1000,MATCH(ROWS($X$4:X114),$AJ$4:$AJ$1000,0)),"")</f>
        <v/>
      </c>
      <c r="Y114" t="str">
        <f>IFERROR(INDEX('01 assessment'!$C$4:$C$1000,MATCH(ROWS($Y$4:Y114),$AJ$4:$AJ$1000,0)),"")</f>
        <v/>
      </c>
      <c r="Z114" t="str">
        <f>IFERROR(INDEX('01 assessment'!$G$4:$G$1000,MATCH(ROWS($Z$4:Z114),$AJ$4:$AJ$1000,0)),"")</f>
        <v/>
      </c>
      <c r="AA114" t="str">
        <f>IFERROR(INDEX('01 assessment'!$H$4:$H$1000,MATCH(ROWS($AA$4:AA114),$AJ$4:$AJ$1000,0)),"")</f>
        <v/>
      </c>
      <c r="AB114" t="str">
        <f>IFERROR(INDEX('01 assessment'!$B$4:$B$1000,MATCH(ROWS($AB$4:AB114),$AJ$4:$AJ$1000,0)),"")</f>
        <v/>
      </c>
      <c r="AC114" t="str">
        <f>IFERROR(INDEX('01 assessment'!$I$4:$I$1000,MATCH(ROWS($AC$4:AC114),$AJ$4:$AJ$1000,0)),"")</f>
        <v/>
      </c>
      <c r="AD114" t="str">
        <f>IFERROR(INDEX('01 assessment'!$M$4:$M$1000,MATCH(ROWS($AD$4:AD114),$AJ$4:$AJ$1000,0)),"")</f>
        <v/>
      </c>
      <c r="AG114" t="str">
        <f>IF('01 assessment'!$M114="","",1+COUNTIFS('01 assessment'!$L$4:$L$1000,'01 assessment'!$L114,'01 assessment'!$J$4:$J$1000,"&gt;"&amp;'01 assessment'!$J114)+COUNTIFS('01 assessment'!$L$4:$L$1000,'01 assessment'!$L114,'01 assessment'!$J$4:$J$1000,'01 assessment'!$J114,'01 assessment'!$M$4:$M$1000,"&lt;"&amp;'01 assessment'!$M114))</f>
        <v/>
      </c>
      <c r="AH114" t="str">
        <f>IF(OR($AG114&lt;&gt;1,'01 assessment'!$M114=""),"",SUMIFS('04 Hazards'!$K$4:$K$1000,'04 Hazards'!$S$4:$S$1000,'01 assessment'!$M114,'04 Hazards'!$R$4:$R$1000,TRUE,'04 Hazards'!$U$4:$U$1000,TRUE))</f>
        <v/>
      </c>
      <c r="AI114" t="str">
        <f>IF(OR($AG114&lt;&gt;1,$AH114&lt;=0),"",1+COUNTIFS($AG$4:$AG$1000,1,$AH$4:$AH$1000,"&gt;"&amp;$AH114)+COUNTIFS($AG$4:$AG$1000,1,$AH$4:$AH$1000,$AH114,'01 assessment'!$A$4:$A$1000,"&lt;"&amp;'01 assessment'!$A114))</f>
        <v/>
      </c>
      <c r="AJ114" t="str">
        <f>IF('01 assessment'!$M114="","",1+COUNTIFS('01 assessment'!$A$4:$A$1000,"&lt;"&amp;'01 assessment'!$A114,'01 assessment'!$M$4:$M$1000,"&lt;&gt;")+COUNTIFS('01 assessment'!$A$4:$A$1000,'01 assessment'!$A114,'01 assessment'!$B$4:$B$1000,"&gt;"&amp;'01 assessment'!$B114,'01 assessment'!$M$4:$M$1000,"&lt;&gt;")+COUNTIFS('01 assessment'!$A$4:$A$1000,'01 assessment'!$A114,'01 assessment'!$B$4:$B$1000,'01 assessment'!$B114,'01 assessment'!$M$4:$M$1000,"&lt;"&amp;'01 assessment'!$M114))</f>
        <v/>
      </c>
    </row>
    <row r="115" spans="1:36">
      <c r="A115" s="23">
        <v>92</v>
      </c>
      <c r="B115" s="25" t="str">
        <f t="shared" si="18"/>
        <v/>
      </c>
      <c r="C115" s="23" t="str">
        <f t="shared" si="19"/>
        <v/>
      </c>
      <c r="D115" s="23" t="str">
        <f t="shared" si="20"/>
        <v/>
      </c>
      <c r="E115" s="23" t="str">
        <f t="shared" si="21"/>
        <v/>
      </c>
      <c r="F115" s="23" t="str">
        <f t="shared" si="22"/>
        <v/>
      </c>
      <c r="G115" s="27" t="str">
        <f t="shared" si="23"/>
        <v/>
      </c>
      <c r="H115" s="23" t="str">
        <f t="shared" si="24"/>
        <v/>
      </c>
      <c r="I115" s="23" t="str">
        <f t="shared" si="25"/>
        <v/>
      </c>
      <c r="T115" t="str">
        <f t="shared" si="26"/>
        <v/>
      </c>
      <c r="W115" t="str">
        <f>IFERROR(INDEX('01 assessment'!$A$4:$A$1000,MATCH(ROWS($W$4:W115),$AJ$4:$AJ$1000,0)),"")</f>
        <v/>
      </c>
      <c r="X115" t="str">
        <f>IFERROR(INDEX('01 assessment'!$F$4:$F$1000,MATCH(ROWS($X$4:X115),$AJ$4:$AJ$1000,0)),"")</f>
        <v/>
      </c>
      <c r="Y115" t="str">
        <f>IFERROR(INDEX('01 assessment'!$C$4:$C$1000,MATCH(ROWS($Y$4:Y115),$AJ$4:$AJ$1000,0)),"")</f>
        <v/>
      </c>
      <c r="Z115" t="str">
        <f>IFERROR(INDEX('01 assessment'!$G$4:$G$1000,MATCH(ROWS($Z$4:Z115),$AJ$4:$AJ$1000,0)),"")</f>
        <v/>
      </c>
      <c r="AA115" t="str">
        <f>IFERROR(INDEX('01 assessment'!$H$4:$H$1000,MATCH(ROWS($AA$4:AA115),$AJ$4:$AJ$1000,0)),"")</f>
        <v/>
      </c>
      <c r="AB115" t="str">
        <f>IFERROR(INDEX('01 assessment'!$B$4:$B$1000,MATCH(ROWS($AB$4:AB115),$AJ$4:$AJ$1000,0)),"")</f>
        <v/>
      </c>
      <c r="AC115" t="str">
        <f>IFERROR(INDEX('01 assessment'!$I$4:$I$1000,MATCH(ROWS($AC$4:AC115),$AJ$4:$AJ$1000,0)),"")</f>
        <v/>
      </c>
      <c r="AD115" t="str">
        <f>IFERROR(INDEX('01 assessment'!$M$4:$M$1000,MATCH(ROWS($AD$4:AD115),$AJ$4:$AJ$1000,0)),"")</f>
        <v/>
      </c>
      <c r="AG115" t="str">
        <f>IF('01 assessment'!$M115="","",1+COUNTIFS('01 assessment'!$L$4:$L$1000,'01 assessment'!$L115,'01 assessment'!$J$4:$J$1000,"&gt;"&amp;'01 assessment'!$J115)+COUNTIFS('01 assessment'!$L$4:$L$1000,'01 assessment'!$L115,'01 assessment'!$J$4:$J$1000,'01 assessment'!$J115,'01 assessment'!$M$4:$M$1000,"&lt;"&amp;'01 assessment'!$M115))</f>
        <v/>
      </c>
      <c r="AH115" t="str">
        <f>IF(OR($AG115&lt;&gt;1,'01 assessment'!$M115=""),"",SUMIFS('04 Hazards'!$K$4:$K$1000,'04 Hazards'!$S$4:$S$1000,'01 assessment'!$M115,'04 Hazards'!$R$4:$R$1000,TRUE,'04 Hazards'!$U$4:$U$1000,TRUE))</f>
        <v/>
      </c>
      <c r="AI115" t="str">
        <f>IF(OR($AG115&lt;&gt;1,$AH115&lt;=0),"",1+COUNTIFS($AG$4:$AG$1000,1,$AH$4:$AH$1000,"&gt;"&amp;$AH115)+COUNTIFS($AG$4:$AG$1000,1,$AH$4:$AH$1000,$AH115,'01 assessment'!$A$4:$A$1000,"&lt;"&amp;'01 assessment'!$A115))</f>
        <v/>
      </c>
      <c r="AJ115" t="str">
        <f>IF('01 assessment'!$M115="","",1+COUNTIFS('01 assessment'!$A$4:$A$1000,"&lt;"&amp;'01 assessment'!$A115,'01 assessment'!$M$4:$M$1000,"&lt;&gt;")+COUNTIFS('01 assessment'!$A$4:$A$1000,'01 assessment'!$A115,'01 assessment'!$B$4:$B$1000,"&gt;"&amp;'01 assessment'!$B115,'01 assessment'!$M$4:$M$1000,"&lt;&gt;")+COUNTIFS('01 assessment'!$A$4:$A$1000,'01 assessment'!$A115,'01 assessment'!$B$4:$B$1000,'01 assessment'!$B115,'01 assessment'!$M$4:$M$1000,"&lt;"&amp;'01 assessment'!$M115))</f>
        <v/>
      </c>
    </row>
    <row r="116" spans="1:36">
      <c r="A116" s="23">
        <v>93</v>
      </c>
      <c r="B116" s="25" t="str">
        <f t="shared" si="18"/>
        <v/>
      </c>
      <c r="C116" s="23" t="str">
        <f t="shared" si="19"/>
        <v/>
      </c>
      <c r="D116" s="23" t="str">
        <f t="shared" si="20"/>
        <v/>
      </c>
      <c r="E116" s="23" t="str">
        <f t="shared" si="21"/>
        <v/>
      </c>
      <c r="F116" s="23" t="str">
        <f t="shared" si="22"/>
        <v/>
      </c>
      <c r="G116" s="27" t="str">
        <f t="shared" si="23"/>
        <v/>
      </c>
      <c r="H116" s="23" t="str">
        <f t="shared" si="24"/>
        <v/>
      </c>
      <c r="I116" s="23" t="str">
        <f t="shared" si="25"/>
        <v/>
      </c>
      <c r="T116" t="str">
        <f t="shared" si="26"/>
        <v/>
      </c>
      <c r="W116" t="str">
        <f>IFERROR(INDEX('01 assessment'!$A$4:$A$1000,MATCH(ROWS($W$4:W116),$AJ$4:$AJ$1000,0)),"")</f>
        <v/>
      </c>
      <c r="X116" t="str">
        <f>IFERROR(INDEX('01 assessment'!$F$4:$F$1000,MATCH(ROWS($X$4:X116),$AJ$4:$AJ$1000,0)),"")</f>
        <v/>
      </c>
      <c r="Y116" t="str">
        <f>IFERROR(INDEX('01 assessment'!$C$4:$C$1000,MATCH(ROWS($Y$4:Y116),$AJ$4:$AJ$1000,0)),"")</f>
        <v/>
      </c>
      <c r="Z116" t="str">
        <f>IFERROR(INDEX('01 assessment'!$G$4:$G$1000,MATCH(ROWS($Z$4:Z116),$AJ$4:$AJ$1000,0)),"")</f>
        <v/>
      </c>
      <c r="AA116" t="str">
        <f>IFERROR(INDEX('01 assessment'!$H$4:$H$1000,MATCH(ROWS($AA$4:AA116),$AJ$4:$AJ$1000,0)),"")</f>
        <v/>
      </c>
      <c r="AB116" t="str">
        <f>IFERROR(INDEX('01 assessment'!$B$4:$B$1000,MATCH(ROWS($AB$4:AB116),$AJ$4:$AJ$1000,0)),"")</f>
        <v/>
      </c>
      <c r="AC116" t="str">
        <f>IFERROR(INDEX('01 assessment'!$I$4:$I$1000,MATCH(ROWS($AC$4:AC116),$AJ$4:$AJ$1000,0)),"")</f>
        <v/>
      </c>
      <c r="AD116" t="str">
        <f>IFERROR(INDEX('01 assessment'!$M$4:$M$1000,MATCH(ROWS($AD$4:AD116),$AJ$4:$AJ$1000,0)),"")</f>
        <v/>
      </c>
      <c r="AG116" t="str">
        <f>IF('01 assessment'!$M116="","",1+COUNTIFS('01 assessment'!$L$4:$L$1000,'01 assessment'!$L116,'01 assessment'!$J$4:$J$1000,"&gt;"&amp;'01 assessment'!$J116)+COUNTIFS('01 assessment'!$L$4:$L$1000,'01 assessment'!$L116,'01 assessment'!$J$4:$J$1000,'01 assessment'!$J116,'01 assessment'!$M$4:$M$1000,"&lt;"&amp;'01 assessment'!$M116))</f>
        <v/>
      </c>
      <c r="AH116" t="str">
        <f>IF(OR($AG116&lt;&gt;1,'01 assessment'!$M116=""),"",SUMIFS('04 Hazards'!$K$4:$K$1000,'04 Hazards'!$S$4:$S$1000,'01 assessment'!$M116,'04 Hazards'!$R$4:$R$1000,TRUE,'04 Hazards'!$U$4:$U$1000,TRUE))</f>
        <v/>
      </c>
      <c r="AI116" t="str">
        <f>IF(OR($AG116&lt;&gt;1,$AH116&lt;=0),"",1+COUNTIFS($AG$4:$AG$1000,1,$AH$4:$AH$1000,"&gt;"&amp;$AH116)+COUNTIFS($AG$4:$AG$1000,1,$AH$4:$AH$1000,$AH116,'01 assessment'!$A$4:$A$1000,"&lt;"&amp;'01 assessment'!$A116))</f>
        <v/>
      </c>
      <c r="AJ116" t="str">
        <f>IF('01 assessment'!$M116="","",1+COUNTIFS('01 assessment'!$A$4:$A$1000,"&lt;"&amp;'01 assessment'!$A116,'01 assessment'!$M$4:$M$1000,"&lt;&gt;")+COUNTIFS('01 assessment'!$A$4:$A$1000,'01 assessment'!$A116,'01 assessment'!$B$4:$B$1000,"&gt;"&amp;'01 assessment'!$B116,'01 assessment'!$M$4:$M$1000,"&lt;&gt;")+COUNTIFS('01 assessment'!$A$4:$A$1000,'01 assessment'!$A116,'01 assessment'!$B$4:$B$1000,'01 assessment'!$B116,'01 assessment'!$M$4:$M$1000,"&lt;"&amp;'01 assessment'!$M116))</f>
        <v/>
      </c>
    </row>
    <row r="117" spans="1:36">
      <c r="A117" s="23">
        <v>94</v>
      </c>
      <c r="B117" s="25" t="str">
        <f t="shared" si="18"/>
        <v/>
      </c>
      <c r="C117" s="23" t="str">
        <f t="shared" si="19"/>
        <v/>
      </c>
      <c r="D117" s="23" t="str">
        <f t="shared" si="20"/>
        <v/>
      </c>
      <c r="E117" s="23" t="str">
        <f t="shared" si="21"/>
        <v/>
      </c>
      <c r="F117" s="23" t="str">
        <f t="shared" si="22"/>
        <v/>
      </c>
      <c r="G117" s="27" t="str">
        <f t="shared" si="23"/>
        <v/>
      </c>
      <c r="H117" s="23" t="str">
        <f t="shared" si="24"/>
        <v/>
      </c>
      <c r="I117" s="23" t="str">
        <f t="shared" si="25"/>
        <v/>
      </c>
      <c r="T117" t="str">
        <f t="shared" si="26"/>
        <v/>
      </c>
      <c r="W117" t="str">
        <f>IFERROR(INDEX('01 assessment'!$A$4:$A$1000,MATCH(ROWS($W$4:W117),$AJ$4:$AJ$1000,0)),"")</f>
        <v/>
      </c>
      <c r="X117" t="str">
        <f>IFERROR(INDEX('01 assessment'!$F$4:$F$1000,MATCH(ROWS($X$4:X117),$AJ$4:$AJ$1000,0)),"")</f>
        <v/>
      </c>
      <c r="Y117" t="str">
        <f>IFERROR(INDEX('01 assessment'!$C$4:$C$1000,MATCH(ROWS($Y$4:Y117),$AJ$4:$AJ$1000,0)),"")</f>
        <v/>
      </c>
      <c r="Z117" t="str">
        <f>IFERROR(INDEX('01 assessment'!$G$4:$G$1000,MATCH(ROWS($Z$4:Z117),$AJ$4:$AJ$1000,0)),"")</f>
        <v/>
      </c>
      <c r="AA117" t="str">
        <f>IFERROR(INDEX('01 assessment'!$H$4:$H$1000,MATCH(ROWS($AA$4:AA117),$AJ$4:$AJ$1000,0)),"")</f>
        <v/>
      </c>
      <c r="AB117" t="str">
        <f>IFERROR(INDEX('01 assessment'!$B$4:$B$1000,MATCH(ROWS($AB$4:AB117),$AJ$4:$AJ$1000,0)),"")</f>
        <v/>
      </c>
      <c r="AC117" t="str">
        <f>IFERROR(INDEX('01 assessment'!$I$4:$I$1000,MATCH(ROWS($AC$4:AC117),$AJ$4:$AJ$1000,0)),"")</f>
        <v/>
      </c>
      <c r="AD117" t="str">
        <f>IFERROR(INDEX('01 assessment'!$M$4:$M$1000,MATCH(ROWS($AD$4:AD117),$AJ$4:$AJ$1000,0)),"")</f>
        <v/>
      </c>
      <c r="AG117" t="str">
        <f>IF('01 assessment'!$M117="","",1+COUNTIFS('01 assessment'!$L$4:$L$1000,'01 assessment'!$L117,'01 assessment'!$J$4:$J$1000,"&gt;"&amp;'01 assessment'!$J117)+COUNTIFS('01 assessment'!$L$4:$L$1000,'01 assessment'!$L117,'01 assessment'!$J$4:$J$1000,'01 assessment'!$J117,'01 assessment'!$M$4:$M$1000,"&lt;"&amp;'01 assessment'!$M117))</f>
        <v/>
      </c>
      <c r="AH117" t="str">
        <f>IF(OR($AG117&lt;&gt;1,'01 assessment'!$M117=""),"",SUMIFS('04 Hazards'!$K$4:$K$1000,'04 Hazards'!$S$4:$S$1000,'01 assessment'!$M117,'04 Hazards'!$R$4:$R$1000,TRUE,'04 Hazards'!$U$4:$U$1000,TRUE))</f>
        <v/>
      </c>
      <c r="AI117" t="str">
        <f>IF(OR($AG117&lt;&gt;1,$AH117&lt;=0),"",1+COUNTIFS($AG$4:$AG$1000,1,$AH$4:$AH$1000,"&gt;"&amp;$AH117)+COUNTIFS($AG$4:$AG$1000,1,$AH$4:$AH$1000,$AH117,'01 assessment'!$A$4:$A$1000,"&lt;"&amp;'01 assessment'!$A117))</f>
        <v/>
      </c>
      <c r="AJ117" t="str">
        <f>IF('01 assessment'!$M117="","",1+COUNTIFS('01 assessment'!$A$4:$A$1000,"&lt;"&amp;'01 assessment'!$A117,'01 assessment'!$M$4:$M$1000,"&lt;&gt;")+COUNTIFS('01 assessment'!$A$4:$A$1000,'01 assessment'!$A117,'01 assessment'!$B$4:$B$1000,"&gt;"&amp;'01 assessment'!$B117,'01 assessment'!$M$4:$M$1000,"&lt;&gt;")+COUNTIFS('01 assessment'!$A$4:$A$1000,'01 assessment'!$A117,'01 assessment'!$B$4:$B$1000,'01 assessment'!$B117,'01 assessment'!$M$4:$M$1000,"&lt;"&amp;'01 assessment'!$M117))</f>
        <v/>
      </c>
    </row>
    <row r="118" spans="1:36">
      <c r="A118" s="23">
        <v>95</v>
      </c>
      <c r="B118" s="25" t="str">
        <f t="shared" si="18"/>
        <v/>
      </c>
      <c r="C118" s="23" t="str">
        <f t="shared" si="19"/>
        <v/>
      </c>
      <c r="D118" s="23" t="str">
        <f t="shared" si="20"/>
        <v/>
      </c>
      <c r="E118" s="23" t="str">
        <f t="shared" si="21"/>
        <v/>
      </c>
      <c r="F118" s="23" t="str">
        <f t="shared" si="22"/>
        <v/>
      </c>
      <c r="G118" s="27" t="str">
        <f t="shared" si="23"/>
        <v/>
      </c>
      <c r="H118" s="23" t="str">
        <f t="shared" si="24"/>
        <v/>
      </c>
      <c r="I118" s="23" t="str">
        <f t="shared" si="25"/>
        <v/>
      </c>
      <c r="T118" t="str">
        <f t="shared" si="26"/>
        <v/>
      </c>
      <c r="W118" t="str">
        <f>IFERROR(INDEX('01 assessment'!$A$4:$A$1000,MATCH(ROWS($W$4:W118),$AJ$4:$AJ$1000,0)),"")</f>
        <v/>
      </c>
      <c r="X118" t="str">
        <f>IFERROR(INDEX('01 assessment'!$F$4:$F$1000,MATCH(ROWS($X$4:X118),$AJ$4:$AJ$1000,0)),"")</f>
        <v/>
      </c>
      <c r="Y118" t="str">
        <f>IFERROR(INDEX('01 assessment'!$C$4:$C$1000,MATCH(ROWS($Y$4:Y118),$AJ$4:$AJ$1000,0)),"")</f>
        <v/>
      </c>
      <c r="Z118" t="str">
        <f>IFERROR(INDEX('01 assessment'!$G$4:$G$1000,MATCH(ROWS($Z$4:Z118),$AJ$4:$AJ$1000,0)),"")</f>
        <v/>
      </c>
      <c r="AA118" t="str">
        <f>IFERROR(INDEX('01 assessment'!$H$4:$H$1000,MATCH(ROWS($AA$4:AA118),$AJ$4:$AJ$1000,0)),"")</f>
        <v/>
      </c>
      <c r="AB118" t="str">
        <f>IFERROR(INDEX('01 assessment'!$B$4:$B$1000,MATCH(ROWS($AB$4:AB118),$AJ$4:$AJ$1000,0)),"")</f>
        <v/>
      </c>
      <c r="AC118" t="str">
        <f>IFERROR(INDEX('01 assessment'!$I$4:$I$1000,MATCH(ROWS($AC$4:AC118),$AJ$4:$AJ$1000,0)),"")</f>
        <v/>
      </c>
      <c r="AD118" t="str">
        <f>IFERROR(INDEX('01 assessment'!$M$4:$M$1000,MATCH(ROWS($AD$4:AD118),$AJ$4:$AJ$1000,0)),"")</f>
        <v/>
      </c>
      <c r="AG118" t="str">
        <f>IF('01 assessment'!$M118="","",1+COUNTIFS('01 assessment'!$L$4:$L$1000,'01 assessment'!$L118,'01 assessment'!$J$4:$J$1000,"&gt;"&amp;'01 assessment'!$J118)+COUNTIFS('01 assessment'!$L$4:$L$1000,'01 assessment'!$L118,'01 assessment'!$J$4:$J$1000,'01 assessment'!$J118,'01 assessment'!$M$4:$M$1000,"&lt;"&amp;'01 assessment'!$M118))</f>
        <v/>
      </c>
      <c r="AH118" t="str">
        <f>IF(OR($AG118&lt;&gt;1,'01 assessment'!$M118=""),"",SUMIFS('04 Hazards'!$K$4:$K$1000,'04 Hazards'!$S$4:$S$1000,'01 assessment'!$M118,'04 Hazards'!$R$4:$R$1000,TRUE,'04 Hazards'!$U$4:$U$1000,TRUE))</f>
        <v/>
      </c>
      <c r="AI118" t="str">
        <f>IF(OR($AG118&lt;&gt;1,$AH118&lt;=0),"",1+COUNTIFS($AG$4:$AG$1000,1,$AH$4:$AH$1000,"&gt;"&amp;$AH118)+COUNTIFS($AG$4:$AG$1000,1,$AH$4:$AH$1000,$AH118,'01 assessment'!$A$4:$A$1000,"&lt;"&amp;'01 assessment'!$A118))</f>
        <v/>
      </c>
      <c r="AJ118" t="str">
        <f>IF('01 assessment'!$M118="","",1+COUNTIFS('01 assessment'!$A$4:$A$1000,"&lt;"&amp;'01 assessment'!$A118,'01 assessment'!$M$4:$M$1000,"&lt;&gt;")+COUNTIFS('01 assessment'!$A$4:$A$1000,'01 assessment'!$A118,'01 assessment'!$B$4:$B$1000,"&gt;"&amp;'01 assessment'!$B118,'01 assessment'!$M$4:$M$1000,"&lt;&gt;")+COUNTIFS('01 assessment'!$A$4:$A$1000,'01 assessment'!$A118,'01 assessment'!$B$4:$B$1000,'01 assessment'!$B118,'01 assessment'!$M$4:$M$1000,"&lt;"&amp;'01 assessment'!$M118))</f>
        <v/>
      </c>
    </row>
    <row r="119" spans="1:36">
      <c r="A119" s="23">
        <v>96</v>
      </c>
      <c r="B119" s="25" t="str">
        <f t="shared" si="18"/>
        <v/>
      </c>
      <c r="C119" s="23" t="str">
        <f t="shared" si="19"/>
        <v/>
      </c>
      <c r="D119" s="23" t="str">
        <f t="shared" si="20"/>
        <v/>
      </c>
      <c r="E119" s="23" t="str">
        <f t="shared" si="21"/>
        <v/>
      </c>
      <c r="F119" s="23" t="str">
        <f t="shared" si="22"/>
        <v/>
      </c>
      <c r="G119" s="27" t="str">
        <f t="shared" si="23"/>
        <v/>
      </c>
      <c r="H119" s="23" t="str">
        <f t="shared" si="24"/>
        <v/>
      </c>
      <c r="I119" s="23" t="str">
        <f t="shared" si="25"/>
        <v/>
      </c>
      <c r="T119" t="str">
        <f t="shared" si="26"/>
        <v/>
      </c>
      <c r="W119" t="str">
        <f>IFERROR(INDEX('01 assessment'!$A$4:$A$1000,MATCH(ROWS($W$4:W119),$AJ$4:$AJ$1000,0)),"")</f>
        <v/>
      </c>
      <c r="X119" t="str">
        <f>IFERROR(INDEX('01 assessment'!$F$4:$F$1000,MATCH(ROWS($X$4:X119),$AJ$4:$AJ$1000,0)),"")</f>
        <v/>
      </c>
      <c r="Y119" t="str">
        <f>IFERROR(INDEX('01 assessment'!$C$4:$C$1000,MATCH(ROWS($Y$4:Y119),$AJ$4:$AJ$1000,0)),"")</f>
        <v/>
      </c>
      <c r="Z119" t="str">
        <f>IFERROR(INDEX('01 assessment'!$G$4:$G$1000,MATCH(ROWS($Z$4:Z119),$AJ$4:$AJ$1000,0)),"")</f>
        <v/>
      </c>
      <c r="AA119" t="str">
        <f>IFERROR(INDEX('01 assessment'!$H$4:$H$1000,MATCH(ROWS($AA$4:AA119),$AJ$4:$AJ$1000,0)),"")</f>
        <v/>
      </c>
      <c r="AB119" t="str">
        <f>IFERROR(INDEX('01 assessment'!$B$4:$B$1000,MATCH(ROWS($AB$4:AB119),$AJ$4:$AJ$1000,0)),"")</f>
        <v/>
      </c>
      <c r="AC119" t="str">
        <f>IFERROR(INDEX('01 assessment'!$I$4:$I$1000,MATCH(ROWS($AC$4:AC119),$AJ$4:$AJ$1000,0)),"")</f>
        <v/>
      </c>
      <c r="AD119" t="str">
        <f>IFERROR(INDEX('01 assessment'!$M$4:$M$1000,MATCH(ROWS($AD$4:AD119),$AJ$4:$AJ$1000,0)),"")</f>
        <v/>
      </c>
      <c r="AG119" t="str">
        <f>IF('01 assessment'!$M119="","",1+COUNTIFS('01 assessment'!$L$4:$L$1000,'01 assessment'!$L119,'01 assessment'!$J$4:$J$1000,"&gt;"&amp;'01 assessment'!$J119)+COUNTIFS('01 assessment'!$L$4:$L$1000,'01 assessment'!$L119,'01 assessment'!$J$4:$J$1000,'01 assessment'!$J119,'01 assessment'!$M$4:$M$1000,"&lt;"&amp;'01 assessment'!$M119))</f>
        <v/>
      </c>
      <c r="AH119" t="str">
        <f>IF(OR($AG119&lt;&gt;1,'01 assessment'!$M119=""),"",SUMIFS('04 Hazards'!$K$4:$K$1000,'04 Hazards'!$S$4:$S$1000,'01 assessment'!$M119,'04 Hazards'!$R$4:$R$1000,TRUE,'04 Hazards'!$U$4:$U$1000,TRUE))</f>
        <v/>
      </c>
      <c r="AI119" t="str">
        <f>IF(OR($AG119&lt;&gt;1,$AH119&lt;=0),"",1+COUNTIFS($AG$4:$AG$1000,1,$AH$4:$AH$1000,"&gt;"&amp;$AH119)+COUNTIFS($AG$4:$AG$1000,1,$AH$4:$AH$1000,$AH119,'01 assessment'!$A$4:$A$1000,"&lt;"&amp;'01 assessment'!$A119))</f>
        <v/>
      </c>
      <c r="AJ119" t="str">
        <f>IF('01 assessment'!$M119="","",1+COUNTIFS('01 assessment'!$A$4:$A$1000,"&lt;"&amp;'01 assessment'!$A119,'01 assessment'!$M$4:$M$1000,"&lt;&gt;")+COUNTIFS('01 assessment'!$A$4:$A$1000,'01 assessment'!$A119,'01 assessment'!$B$4:$B$1000,"&gt;"&amp;'01 assessment'!$B119,'01 assessment'!$M$4:$M$1000,"&lt;&gt;")+COUNTIFS('01 assessment'!$A$4:$A$1000,'01 assessment'!$A119,'01 assessment'!$B$4:$B$1000,'01 assessment'!$B119,'01 assessment'!$M$4:$M$1000,"&lt;"&amp;'01 assessment'!$M119))</f>
        <v/>
      </c>
    </row>
    <row r="120" spans="1:36">
      <c r="A120" s="23">
        <v>97</v>
      </c>
      <c r="B120" s="25" t="str">
        <f t="shared" ref="B120:B151" si="27">IFERROR(INDEX($W$4:$AD$153,$A120,1),"")</f>
        <v/>
      </c>
      <c r="C120" s="23" t="str">
        <f t="shared" ref="C120:C151" si="28">IFERROR(INDEX($W$4:$AD$153,$A120,2),"")</f>
        <v/>
      </c>
      <c r="D120" s="23" t="str">
        <f t="shared" ref="D120:D151" si="29">IFERROR(INDEX($W$4:$AD$153,$A120,3),"")</f>
        <v/>
      </c>
      <c r="E120" s="23" t="str">
        <f t="shared" ref="E120:E151" si="30">IFERROR(INDEX($W$4:$AD$153,$A120,4),"")</f>
        <v/>
      </c>
      <c r="F120" s="23" t="str">
        <f t="shared" ref="F120:F151" si="31">IFERROR(INDEX($W$4:$AD$153,$A120,5),"")</f>
        <v/>
      </c>
      <c r="G120" s="27" t="str">
        <f t="shared" ref="G120:G151" si="32">IFERROR(INDEX($W$4:$AD$153,$A120,6),"")</f>
        <v/>
      </c>
      <c r="H120" s="23" t="str">
        <f t="shared" ref="H120:H151" si="33">IFERROR(INDEX($W$4:$AD$153,$A120,7),"")</f>
        <v/>
      </c>
      <c r="I120" s="23" t="str">
        <f t="shared" ref="I120:I151" si="34">IF(E120="","",IF(E120&gt;=6,"Immediate corrective action",IF(E120&gt;=3,"Document improvement plan","Maintain controls")))</f>
        <v/>
      </c>
      <c r="T120" t="str">
        <f t="shared" ref="T120:T151" si="35">IFERROR(INDEX($W$4:$AD$153,$A120,8),"")</f>
        <v/>
      </c>
      <c r="W120" t="str">
        <f>IFERROR(INDEX('01 assessment'!$A$4:$A$1000,MATCH(ROWS($W$4:W120),$AJ$4:$AJ$1000,0)),"")</f>
        <v/>
      </c>
      <c r="X120" t="str">
        <f>IFERROR(INDEX('01 assessment'!$F$4:$F$1000,MATCH(ROWS($X$4:X120),$AJ$4:$AJ$1000,0)),"")</f>
        <v/>
      </c>
      <c r="Y120" t="str">
        <f>IFERROR(INDEX('01 assessment'!$C$4:$C$1000,MATCH(ROWS($Y$4:Y120),$AJ$4:$AJ$1000,0)),"")</f>
        <v/>
      </c>
      <c r="Z120" t="str">
        <f>IFERROR(INDEX('01 assessment'!$G$4:$G$1000,MATCH(ROWS($Z$4:Z120),$AJ$4:$AJ$1000,0)),"")</f>
        <v/>
      </c>
      <c r="AA120" t="str">
        <f>IFERROR(INDEX('01 assessment'!$H$4:$H$1000,MATCH(ROWS($AA$4:AA120),$AJ$4:$AJ$1000,0)),"")</f>
        <v/>
      </c>
      <c r="AB120" t="str">
        <f>IFERROR(INDEX('01 assessment'!$B$4:$B$1000,MATCH(ROWS($AB$4:AB120),$AJ$4:$AJ$1000,0)),"")</f>
        <v/>
      </c>
      <c r="AC120" t="str">
        <f>IFERROR(INDEX('01 assessment'!$I$4:$I$1000,MATCH(ROWS($AC$4:AC120),$AJ$4:$AJ$1000,0)),"")</f>
        <v/>
      </c>
      <c r="AD120" t="str">
        <f>IFERROR(INDEX('01 assessment'!$M$4:$M$1000,MATCH(ROWS($AD$4:AD120),$AJ$4:$AJ$1000,0)),"")</f>
        <v/>
      </c>
      <c r="AG120" t="str">
        <f>IF('01 assessment'!$M120="","",1+COUNTIFS('01 assessment'!$L$4:$L$1000,'01 assessment'!$L120,'01 assessment'!$J$4:$J$1000,"&gt;"&amp;'01 assessment'!$J120)+COUNTIFS('01 assessment'!$L$4:$L$1000,'01 assessment'!$L120,'01 assessment'!$J$4:$J$1000,'01 assessment'!$J120,'01 assessment'!$M$4:$M$1000,"&lt;"&amp;'01 assessment'!$M120))</f>
        <v/>
      </c>
      <c r="AH120" t="str">
        <f>IF(OR($AG120&lt;&gt;1,'01 assessment'!$M120=""),"",SUMIFS('04 Hazards'!$K$4:$K$1000,'04 Hazards'!$S$4:$S$1000,'01 assessment'!$M120,'04 Hazards'!$R$4:$R$1000,TRUE,'04 Hazards'!$U$4:$U$1000,TRUE))</f>
        <v/>
      </c>
      <c r="AI120" t="str">
        <f>IF(OR($AG120&lt;&gt;1,$AH120&lt;=0),"",1+COUNTIFS($AG$4:$AG$1000,1,$AH$4:$AH$1000,"&gt;"&amp;$AH120)+COUNTIFS($AG$4:$AG$1000,1,$AH$4:$AH$1000,$AH120,'01 assessment'!$A$4:$A$1000,"&lt;"&amp;'01 assessment'!$A120))</f>
        <v/>
      </c>
      <c r="AJ120" t="str">
        <f>IF('01 assessment'!$M120="","",1+COUNTIFS('01 assessment'!$A$4:$A$1000,"&lt;"&amp;'01 assessment'!$A120,'01 assessment'!$M$4:$M$1000,"&lt;&gt;")+COUNTIFS('01 assessment'!$A$4:$A$1000,'01 assessment'!$A120,'01 assessment'!$B$4:$B$1000,"&gt;"&amp;'01 assessment'!$B120,'01 assessment'!$M$4:$M$1000,"&lt;&gt;")+COUNTIFS('01 assessment'!$A$4:$A$1000,'01 assessment'!$A120,'01 assessment'!$B$4:$B$1000,'01 assessment'!$B120,'01 assessment'!$M$4:$M$1000,"&lt;"&amp;'01 assessment'!$M120))</f>
        <v/>
      </c>
    </row>
    <row r="121" spans="1:36">
      <c r="A121" s="23">
        <v>98</v>
      </c>
      <c r="B121" s="25" t="str">
        <f t="shared" si="27"/>
        <v/>
      </c>
      <c r="C121" s="23" t="str">
        <f t="shared" si="28"/>
        <v/>
      </c>
      <c r="D121" s="23" t="str">
        <f t="shared" si="29"/>
        <v/>
      </c>
      <c r="E121" s="23" t="str">
        <f t="shared" si="30"/>
        <v/>
      </c>
      <c r="F121" s="23" t="str">
        <f t="shared" si="31"/>
        <v/>
      </c>
      <c r="G121" s="27" t="str">
        <f t="shared" si="32"/>
        <v/>
      </c>
      <c r="H121" s="23" t="str">
        <f t="shared" si="33"/>
        <v/>
      </c>
      <c r="I121" s="23" t="str">
        <f t="shared" si="34"/>
        <v/>
      </c>
      <c r="T121" t="str">
        <f t="shared" si="35"/>
        <v/>
      </c>
      <c r="W121" t="str">
        <f>IFERROR(INDEX('01 assessment'!$A$4:$A$1000,MATCH(ROWS($W$4:W121),$AJ$4:$AJ$1000,0)),"")</f>
        <v/>
      </c>
      <c r="X121" t="str">
        <f>IFERROR(INDEX('01 assessment'!$F$4:$F$1000,MATCH(ROWS($X$4:X121),$AJ$4:$AJ$1000,0)),"")</f>
        <v/>
      </c>
      <c r="Y121" t="str">
        <f>IFERROR(INDEX('01 assessment'!$C$4:$C$1000,MATCH(ROWS($Y$4:Y121),$AJ$4:$AJ$1000,0)),"")</f>
        <v/>
      </c>
      <c r="Z121" t="str">
        <f>IFERROR(INDEX('01 assessment'!$G$4:$G$1000,MATCH(ROWS($Z$4:Z121),$AJ$4:$AJ$1000,0)),"")</f>
        <v/>
      </c>
      <c r="AA121" t="str">
        <f>IFERROR(INDEX('01 assessment'!$H$4:$H$1000,MATCH(ROWS($AA$4:AA121),$AJ$4:$AJ$1000,0)),"")</f>
        <v/>
      </c>
      <c r="AB121" t="str">
        <f>IFERROR(INDEX('01 assessment'!$B$4:$B$1000,MATCH(ROWS($AB$4:AB121),$AJ$4:$AJ$1000,0)),"")</f>
        <v/>
      </c>
      <c r="AC121" t="str">
        <f>IFERROR(INDEX('01 assessment'!$I$4:$I$1000,MATCH(ROWS($AC$4:AC121),$AJ$4:$AJ$1000,0)),"")</f>
        <v/>
      </c>
      <c r="AD121" t="str">
        <f>IFERROR(INDEX('01 assessment'!$M$4:$M$1000,MATCH(ROWS($AD$4:AD121),$AJ$4:$AJ$1000,0)),"")</f>
        <v/>
      </c>
      <c r="AG121" t="str">
        <f>IF('01 assessment'!$M121="","",1+COUNTIFS('01 assessment'!$L$4:$L$1000,'01 assessment'!$L121,'01 assessment'!$J$4:$J$1000,"&gt;"&amp;'01 assessment'!$J121)+COUNTIFS('01 assessment'!$L$4:$L$1000,'01 assessment'!$L121,'01 assessment'!$J$4:$J$1000,'01 assessment'!$J121,'01 assessment'!$M$4:$M$1000,"&lt;"&amp;'01 assessment'!$M121))</f>
        <v/>
      </c>
      <c r="AH121" t="str">
        <f>IF(OR($AG121&lt;&gt;1,'01 assessment'!$M121=""),"",SUMIFS('04 Hazards'!$K$4:$K$1000,'04 Hazards'!$S$4:$S$1000,'01 assessment'!$M121,'04 Hazards'!$R$4:$R$1000,TRUE,'04 Hazards'!$U$4:$U$1000,TRUE))</f>
        <v/>
      </c>
      <c r="AI121" t="str">
        <f>IF(OR($AG121&lt;&gt;1,$AH121&lt;=0),"",1+COUNTIFS($AG$4:$AG$1000,1,$AH$4:$AH$1000,"&gt;"&amp;$AH121)+COUNTIFS($AG$4:$AG$1000,1,$AH$4:$AH$1000,$AH121,'01 assessment'!$A$4:$A$1000,"&lt;"&amp;'01 assessment'!$A121))</f>
        <v/>
      </c>
      <c r="AJ121" t="str">
        <f>IF('01 assessment'!$M121="","",1+COUNTIFS('01 assessment'!$A$4:$A$1000,"&lt;"&amp;'01 assessment'!$A121,'01 assessment'!$M$4:$M$1000,"&lt;&gt;")+COUNTIFS('01 assessment'!$A$4:$A$1000,'01 assessment'!$A121,'01 assessment'!$B$4:$B$1000,"&gt;"&amp;'01 assessment'!$B121,'01 assessment'!$M$4:$M$1000,"&lt;&gt;")+COUNTIFS('01 assessment'!$A$4:$A$1000,'01 assessment'!$A121,'01 assessment'!$B$4:$B$1000,'01 assessment'!$B121,'01 assessment'!$M$4:$M$1000,"&lt;"&amp;'01 assessment'!$M121))</f>
        <v/>
      </c>
    </row>
    <row r="122" spans="1:36">
      <c r="A122" s="23">
        <v>99</v>
      </c>
      <c r="B122" s="25" t="str">
        <f t="shared" si="27"/>
        <v/>
      </c>
      <c r="C122" s="23" t="str">
        <f t="shared" si="28"/>
        <v/>
      </c>
      <c r="D122" s="23" t="str">
        <f t="shared" si="29"/>
        <v/>
      </c>
      <c r="E122" s="23" t="str">
        <f t="shared" si="30"/>
        <v/>
      </c>
      <c r="F122" s="23" t="str">
        <f t="shared" si="31"/>
        <v/>
      </c>
      <c r="G122" s="27" t="str">
        <f t="shared" si="32"/>
        <v/>
      </c>
      <c r="H122" s="23" t="str">
        <f t="shared" si="33"/>
        <v/>
      </c>
      <c r="I122" s="23" t="str">
        <f t="shared" si="34"/>
        <v/>
      </c>
      <c r="T122" t="str">
        <f t="shared" si="35"/>
        <v/>
      </c>
      <c r="W122" t="str">
        <f>IFERROR(INDEX('01 assessment'!$A$4:$A$1000,MATCH(ROWS($W$4:W122),$AJ$4:$AJ$1000,0)),"")</f>
        <v/>
      </c>
      <c r="X122" t="str">
        <f>IFERROR(INDEX('01 assessment'!$F$4:$F$1000,MATCH(ROWS($X$4:X122),$AJ$4:$AJ$1000,0)),"")</f>
        <v/>
      </c>
      <c r="Y122" t="str">
        <f>IFERROR(INDEX('01 assessment'!$C$4:$C$1000,MATCH(ROWS($Y$4:Y122),$AJ$4:$AJ$1000,0)),"")</f>
        <v/>
      </c>
      <c r="Z122" t="str">
        <f>IFERROR(INDEX('01 assessment'!$G$4:$G$1000,MATCH(ROWS($Z$4:Z122),$AJ$4:$AJ$1000,0)),"")</f>
        <v/>
      </c>
      <c r="AA122" t="str">
        <f>IFERROR(INDEX('01 assessment'!$H$4:$H$1000,MATCH(ROWS($AA$4:AA122),$AJ$4:$AJ$1000,0)),"")</f>
        <v/>
      </c>
      <c r="AB122" t="str">
        <f>IFERROR(INDEX('01 assessment'!$B$4:$B$1000,MATCH(ROWS($AB$4:AB122),$AJ$4:$AJ$1000,0)),"")</f>
        <v/>
      </c>
      <c r="AC122" t="str">
        <f>IFERROR(INDEX('01 assessment'!$I$4:$I$1000,MATCH(ROWS($AC$4:AC122),$AJ$4:$AJ$1000,0)),"")</f>
        <v/>
      </c>
      <c r="AD122" t="str">
        <f>IFERROR(INDEX('01 assessment'!$M$4:$M$1000,MATCH(ROWS($AD$4:AD122),$AJ$4:$AJ$1000,0)),"")</f>
        <v/>
      </c>
      <c r="AG122" t="str">
        <f>IF('01 assessment'!$M122="","",1+COUNTIFS('01 assessment'!$L$4:$L$1000,'01 assessment'!$L122,'01 assessment'!$J$4:$J$1000,"&gt;"&amp;'01 assessment'!$J122)+COUNTIFS('01 assessment'!$L$4:$L$1000,'01 assessment'!$L122,'01 assessment'!$J$4:$J$1000,'01 assessment'!$J122,'01 assessment'!$M$4:$M$1000,"&lt;"&amp;'01 assessment'!$M122))</f>
        <v/>
      </c>
      <c r="AH122" t="str">
        <f>IF(OR($AG122&lt;&gt;1,'01 assessment'!$M122=""),"",SUMIFS('04 Hazards'!$K$4:$K$1000,'04 Hazards'!$S$4:$S$1000,'01 assessment'!$M122,'04 Hazards'!$R$4:$R$1000,TRUE,'04 Hazards'!$U$4:$U$1000,TRUE))</f>
        <v/>
      </c>
      <c r="AI122" t="str">
        <f>IF(OR($AG122&lt;&gt;1,$AH122&lt;=0),"",1+COUNTIFS($AG$4:$AG$1000,1,$AH$4:$AH$1000,"&gt;"&amp;$AH122)+COUNTIFS($AG$4:$AG$1000,1,$AH$4:$AH$1000,$AH122,'01 assessment'!$A$4:$A$1000,"&lt;"&amp;'01 assessment'!$A122))</f>
        <v/>
      </c>
      <c r="AJ122" t="str">
        <f>IF('01 assessment'!$M122="","",1+COUNTIFS('01 assessment'!$A$4:$A$1000,"&lt;"&amp;'01 assessment'!$A122,'01 assessment'!$M$4:$M$1000,"&lt;&gt;")+COUNTIFS('01 assessment'!$A$4:$A$1000,'01 assessment'!$A122,'01 assessment'!$B$4:$B$1000,"&gt;"&amp;'01 assessment'!$B122,'01 assessment'!$M$4:$M$1000,"&lt;&gt;")+COUNTIFS('01 assessment'!$A$4:$A$1000,'01 assessment'!$A122,'01 assessment'!$B$4:$B$1000,'01 assessment'!$B122,'01 assessment'!$M$4:$M$1000,"&lt;"&amp;'01 assessment'!$M122))</f>
        <v/>
      </c>
    </row>
    <row r="123" spans="1:36">
      <c r="A123" s="23">
        <v>100</v>
      </c>
      <c r="B123" s="25" t="str">
        <f t="shared" si="27"/>
        <v/>
      </c>
      <c r="C123" s="23" t="str">
        <f t="shared" si="28"/>
        <v/>
      </c>
      <c r="D123" s="23" t="str">
        <f t="shared" si="29"/>
        <v/>
      </c>
      <c r="E123" s="23" t="str">
        <f t="shared" si="30"/>
        <v/>
      </c>
      <c r="F123" s="23" t="str">
        <f t="shared" si="31"/>
        <v/>
      </c>
      <c r="G123" s="27" t="str">
        <f t="shared" si="32"/>
        <v/>
      </c>
      <c r="H123" s="23" t="str">
        <f t="shared" si="33"/>
        <v/>
      </c>
      <c r="I123" s="23" t="str">
        <f t="shared" si="34"/>
        <v/>
      </c>
      <c r="T123" t="str">
        <f t="shared" si="35"/>
        <v/>
      </c>
      <c r="W123" t="str">
        <f>IFERROR(INDEX('01 assessment'!$A$4:$A$1000,MATCH(ROWS($W$4:W123),$AJ$4:$AJ$1000,0)),"")</f>
        <v/>
      </c>
      <c r="X123" t="str">
        <f>IFERROR(INDEX('01 assessment'!$F$4:$F$1000,MATCH(ROWS($X$4:X123),$AJ$4:$AJ$1000,0)),"")</f>
        <v/>
      </c>
      <c r="Y123" t="str">
        <f>IFERROR(INDEX('01 assessment'!$C$4:$C$1000,MATCH(ROWS($Y$4:Y123),$AJ$4:$AJ$1000,0)),"")</f>
        <v/>
      </c>
      <c r="Z123" t="str">
        <f>IFERROR(INDEX('01 assessment'!$G$4:$G$1000,MATCH(ROWS($Z$4:Z123),$AJ$4:$AJ$1000,0)),"")</f>
        <v/>
      </c>
      <c r="AA123" t="str">
        <f>IFERROR(INDEX('01 assessment'!$H$4:$H$1000,MATCH(ROWS($AA$4:AA123),$AJ$4:$AJ$1000,0)),"")</f>
        <v/>
      </c>
      <c r="AB123" t="str">
        <f>IFERROR(INDEX('01 assessment'!$B$4:$B$1000,MATCH(ROWS($AB$4:AB123),$AJ$4:$AJ$1000,0)),"")</f>
        <v/>
      </c>
      <c r="AC123" t="str">
        <f>IFERROR(INDEX('01 assessment'!$I$4:$I$1000,MATCH(ROWS($AC$4:AC123),$AJ$4:$AJ$1000,0)),"")</f>
        <v/>
      </c>
      <c r="AD123" t="str">
        <f>IFERROR(INDEX('01 assessment'!$M$4:$M$1000,MATCH(ROWS($AD$4:AD123),$AJ$4:$AJ$1000,0)),"")</f>
        <v/>
      </c>
      <c r="AG123" t="str">
        <f>IF('01 assessment'!$M123="","",1+COUNTIFS('01 assessment'!$L$4:$L$1000,'01 assessment'!$L123,'01 assessment'!$J$4:$J$1000,"&gt;"&amp;'01 assessment'!$J123)+COUNTIFS('01 assessment'!$L$4:$L$1000,'01 assessment'!$L123,'01 assessment'!$J$4:$J$1000,'01 assessment'!$J123,'01 assessment'!$M$4:$M$1000,"&lt;"&amp;'01 assessment'!$M123))</f>
        <v/>
      </c>
      <c r="AH123" t="str">
        <f>IF(OR($AG123&lt;&gt;1,'01 assessment'!$M123=""),"",SUMIFS('04 Hazards'!$K$4:$K$1000,'04 Hazards'!$S$4:$S$1000,'01 assessment'!$M123,'04 Hazards'!$R$4:$R$1000,TRUE,'04 Hazards'!$U$4:$U$1000,TRUE))</f>
        <v/>
      </c>
      <c r="AI123" t="str">
        <f>IF(OR($AG123&lt;&gt;1,$AH123&lt;=0),"",1+COUNTIFS($AG$4:$AG$1000,1,$AH$4:$AH$1000,"&gt;"&amp;$AH123)+COUNTIFS($AG$4:$AG$1000,1,$AH$4:$AH$1000,$AH123,'01 assessment'!$A$4:$A$1000,"&lt;"&amp;'01 assessment'!$A123))</f>
        <v/>
      </c>
      <c r="AJ123" t="str">
        <f>IF('01 assessment'!$M123="","",1+COUNTIFS('01 assessment'!$A$4:$A$1000,"&lt;"&amp;'01 assessment'!$A123,'01 assessment'!$M$4:$M$1000,"&lt;&gt;")+COUNTIFS('01 assessment'!$A$4:$A$1000,'01 assessment'!$A123,'01 assessment'!$B$4:$B$1000,"&gt;"&amp;'01 assessment'!$B123,'01 assessment'!$M$4:$M$1000,"&lt;&gt;")+COUNTIFS('01 assessment'!$A$4:$A$1000,'01 assessment'!$A123,'01 assessment'!$B$4:$B$1000,'01 assessment'!$B123,'01 assessment'!$M$4:$M$1000,"&lt;"&amp;'01 assessment'!$M123))</f>
        <v/>
      </c>
    </row>
    <row r="124" spans="1:36">
      <c r="A124" s="23">
        <v>101</v>
      </c>
      <c r="B124" s="25" t="str">
        <f t="shared" si="27"/>
        <v/>
      </c>
      <c r="C124" s="23" t="str">
        <f t="shared" si="28"/>
        <v/>
      </c>
      <c r="D124" s="23" t="str">
        <f t="shared" si="29"/>
        <v/>
      </c>
      <c r="E124" s="23" t="str">
        <f t="shared" si="30"/>
        <v/>
      </c>
      <c r="F124" s="23" t="str">
        <f t="shared" si="31"/>
        <v/>
      </c>
      <c r="G124" s="27" t="str">
        <f t="shared" si="32"/>
        <v/>
      </c>
      <c r="H124" s="23" t="str">
        <f t="shared" si="33"/>
        <v/>
      </c>
      <c r="I124" s="23" t="str">
        <f t="shared" si="34"/>
        <v/>
      </c>
      <c r="T124" t="str">
        <f t="shared" si="35"/>
        <v/>
      </c>
      <c r="W124" t="str">
        <f>IFERROR(INDEX('01 assessment'!$A$4:$A$1000,MATCH(ROWS($W$4:W124),$AJ$4:$AJ$1000,0)),"")</f>
        <v/>
      </c>
      <c r="X124" t="str">
        <f>IFERROR(INDEX('01 assessment'!$F$4:$F$1000,MATCH(ROWS($X$4:X124),$AJ$4:$AJ$1000,0)),"")</f>
        <v/>
      </c>
      <c r="Y124" t="str">
        <f>IFERROR(INDEX('01 assessment'!$C$4:$C$1000,MATCH(ROWS($Y$4:Y124),$AJ$4:$AJ$1000,0)),"")</f>
        <v/>
      </c>
      <c r="Z124" t="str">
        <f>IFERROR(INDEX('01 assessment'!$G$4:$G$1000,MATCH(ROWS($Z$4:Z124),$AJ$4:$AJ$1000,0)),"")</f>
        <v/>
      </c>
      <c r="AA124" t="str">
        <f>IFERROR(INDEX('01 assessment'!$H$4:$H$1000,MATCH(ROWS($AA$4:AA124),$AJ$4:$AJ$1000,0)),"")</f>
        <v/>
      </c>
      <c r="AB124" t="str">
        <f>IFERROR(INDEX('01 assessment'!$B$4:$B$1000,MATCH(ROWS($AB$4:AB124),$AJ$4:$AJ$1000,0)),"")</f>
        <v/>
      </c>
      <c r="AC124" t="str">
        <f>IFERROR(INDEX('01 assessment'!$I$4:$I$1000,MATCH(ROWS($AC$4:AC124),$AJ$4:$AJ$1000,0)),"")</f>
        <v/>
      </c>
      <c r="AD124" t="str">
        <f>IFERROR(INDEX('01 assessment'!$M$4:$M$1000,MATCH(ROWS($AD$4:AD124),$AJ$4:$AJ$1000,0)),"")</f>
        <v/>
      </c>
      <c r="AG124" t="str">
        <f>IF('01 assessment'!$M124="","",1+COUNTIFS('01 assessment'!$L$4:$L$1000,'01 assessment'!$L124,'01 assessment'!$J$4:$J$1000,"&gt;"&amp;'01 assessment'!$J124)+COUNTIFS('01 assessment'!$L$4:$L$1000,'01 assessment'!$L124,'01 assessment'!$J$4:$J$1000,'01 assessment'!$J124,'01 assessment'!$M$4:$M$1000,"&lt;"&amp;'01 assessment'!$M124))</f>
        <v/>
      </c>
      <c r="AH124" t="str">
        <f>IF(OR($AG124&lt;&gt;1,'01 assessment'!$M124=""),"",SUMIFS('04 Hazards'!$K$4:$K$1000,'04 Hazards'!$S$4:$S$1000,'01 assessment'!$M124,'04 Hazards'!$R$4:$R$1000,TRUE,'04 Hazards'!$U$4:$U$1000,TRUE))</f>
        <v/>
      </c>
      <c r="AI124" t="str">
        <f>IF(OR($AG124&lt;&gt;1,$AH124&lt;=0),"",1+COUNTIFS($AG$4:$AG$1000,1,$AH$4:$AH$1000,"&gt;"&amp;$AH124)+COUNTIFS($AG$4:$AG$1000,1,$AH$4:$AH$1000,$AH124,'01 assessment'!$A$4:$A$1000,"&lt;"&amp;'01 assessment'!$A124))</f>
        <v/>
      </c>
      <c r="AJ124" t="str">
        <f>IF('01 assessment'!$M124="","",1+COUNTIFS('01 assessment'!$A$4:$A$1000,"&lt;"&amp;'01 assessment'!$A124,'01 assessment'!$M$4:$M$1000,"&lt;&gt;")+COUNTIFS('01 assessment'!$A$4:$A$1000,'01 assessment'!$A124,'01 assessment'!$B$4:$B$1000,"&gt;"&amp;'01 assessment'!$B124,'01 assessment'!$M$4:$M$1000,"&lt;&gt;")+COUNTIFS('01 assessment'!$A$4:$A$1000,'01 assessment'!$A124,'01 assessment'!$B$4:$B$1000,'01 assessment'!$B124,'01 assessment'!$M$4:$M$1000,"&lt;"&amp;'01 assessment'!$M124))</f>
        <v/>
      </c>
    </row>
    <row r="125" spans="1:36">
      <c r="A125" s="23">
        <v>102</v>
      </c>
      <c r="B125" s="25" t="str">
        <f t="shared" si="27"/>
        <v/>
      </c>
      <c r="C125" s="23" t="str">
        <f t="shared" si="28"/>
        <v/>
      </c>
      <c r="D125" s="23" t="str">
        <f t="shared" si="29"/>
        <v/>
      </c>
      <c r="E125" s="23" t="str">
        <f t="shared" si="30"/>
        <v/>
      </c>
      <c r="F125" s="23" t="str">
        <f t="shared" si="31"/>
        <v/>
      </c>
      <c r="G125" s="27" t="str">
        <f t="shared" si="32"/>
        <v/>
      </c>
      <c r="H125" s="23" t="str">
        <f t="shared" si="33"/>
        <v/>
      </c>
      <c r="I125" s="23" t="str">
        <f t="shared" si="34"/>
        <v/>
      </c>
      <c r="T125" t="str">
        <f t="shared" si="35"/>
        <v/>
      </c>
      <c r="W125" t="str">
        <f>IFERROR(INDEX('01 assessment'!$A$4:$A$1000,MATCH(ROWS($W$4:W125),$AJ$4:$AJ$1000,0)),"")</f>
        <v/>
      </c>
      <c r="X125" t="str">
        <f>IFERROR(INDEX('01 assessment'!$F$4:$F$1000,MATCH(ROWS($X$4:X125),$AJ$4:$AJ$1000,0)),"")</f>
        <v/>
      </c>
      <c r="Y125" t="str">
        <f>IFERROR(INDEX('01 assessment'!$C$4:$C$1000,MATCH(ROWS($Y$4:Y125),$AJ$4:$AJ$1000,0)),"")</f>
        <v/>
      </c>
      <c r="Z125" t="str">
        <f>IFERROR(INDEX('01 assessment'!$G$4:$G$1000,MATCH(ROWS($Z$4:Z125),$AJ$4:$AJ$1000,0)),"")</f>
        <v/>
      </c>
      <c r="AA125" t="str">
        <f>IFERROR(INDEX('01 assessment'!$H$4:$H$1000,MATCH(ROWS($AA$4:AA125),$AJ$4:$AJ$1000,0)),"")</f>
        <v/>
      </c>
      <c r="AB125" t="str">
        <f>IFERROR(INDEX('01 assessment'!$B$4:$B$1000,MATCH(ROWS($AB$4:AB125),$AJ$4:$AJ$1000,0)),"")</f>
        <v/>
      </c>
      <c r="AC125" t="str">
        <f>IFERROR(INDEX('01 assessment'!$I$4:$I$1000,MATCH(ROWS($AC$4:AC125),$AJ$4:$AJ$1000,0)),"")</f>
        <v/>
      </c>
      <c r="AD125" t="str">
        <f>IFERROR(INDEX('01 assessment'!$M$4:$M$1000,MATCH(ROWS($AD$4:AD125),$AJ$4:$AJ$1000,0)),"")</f>
        <v/>
      </c>
      <c r="AG125" t="str">
        <f>IF('01 assessment'!$M125="","",1+COUNTIFS('01 assessment'!$L$4:$L$1000,'01 assessment'!$L125,'01 assessment'!$J$4:$J$1000,"&gt;"&amp;'01 assessment'!$J125)+COUNTIFS('01 assessment'!$L$4:$L$1000,'01 assessment'!$L125,'01 assessment'!$J$4:$J$1000,'01 assessment'!$J125,'01 assessment'!$M$4:$M$1000,"&lt;"&amp;'01 assessment'!$M125))</f>
        <v/>
      </c>
      <c r="AH125" t="str">
        <f>IF(OR($AG125&lt;&gt;1,'01 assessment'!$M125=""),"",SUMIFS('04 Hazards'!$K$4:$K$1000,'04 Hazards'!$S$4:$S$1000,'01 assessment'!$M125,'04 Hazards'!$R$4:$R$1000,TRUE,'04 Hazards'!$U$4:$U$1000,TRUE))</f>
        <v/>
      </c>
      <c r="AI125" t="str">
        <f>IF(OR($AG125&lt;&gt;1,$AH125&lt;=0),"",1+COUNTIFS($AG$4:$AG$1000,1,$AH$4:$AH$1000,"&gt;"&amp;$AH125)+COUNTIFS($AG$4:$AG$1000,1,$AH$4:$AH$1000,$AH125,'01 assessment'!$A$4:$A$1000,"&lt;"&amp;'01 assessment'!$A125))</f>
        <v/>
      </c>
      <c r="AJ125" t="str">
        <f>IF('01 assessment'!$M125="","",1+COUNTIFS('01 assessment'!$A$4:$A$1000,"&lt;"&amp;'01 assessment'!$A125,'01 assessment'!$M$4:$M$1000,"&lt;&gt;")+COUNTIFS('01 assessment'!$A$4:$A$1000,'01 assessment'!$A125,'01 assessment'!$B$4:$B$1000,"&gt;"&amp;'01 assessment'!$B125,'01 assessment'!$M$4:$M$1000,"&lt;&gt;")+COUNTIFS('01 assessment'!$A$4:$A$1000,'01 assessment'!$A125,'01 assessment'!$B$4:$B$1000,'01 assessment'!$B125,'01 assessment'!$M$4:$M$1000,"&lt;"&amp;'01 assessment'!$M125))</f>
        <v/>
      </c>
    </row>
    <row r="126" spans="1:36">
      <c r="A126" s="23">
        <v>103</v>
      </c>
      <c r="B126" s="25" t="str">
        <f t="shared" si="27"/>
        <v/>
      </c>
      <c r="C126" s="23" t="str">
        <f t="shared" si="28"/>
        <v/>
      </c>
      <c r="D126" s="23" t="str">
        <f t="shared" si="29"/>
        <v/>
      </c>
      <c r="E126" s="23" t="str">
        <f t="shared" si="30"/>
        <v/>
      </c>
      <c r="F126" s="23" t="str">
        <f t="shared" si="31"/>
        <v/>
      </c>
      <c r="G126" s="27" t="str">
        <f t="shared" si="32"/>
        <v/>
      </c>
      <c r="H126" s="23" t="str">
        <f t="shared" si="33"/>
        <v/>
      </c>
      <c r="I126" s="23" t="str">
        <f t="shared" si="34"/>
        <v/>
      </c>
      <c r="T126" t="str">
        <f t="shared" si="35"/>
        <v/>
      </c>
      <c r="W126" t="str">
        <f>IFERROR(INDEX('01 assessment'!$A$4:$A$1000,MATCH(ROWS($W$4:W126),$AJ$4:$AJ$1000,0)),"")</f>
        <v/>
      </c>
      <c r="X126" t="str">
        <f>IFERROR(INDEX('01 assessment'!$F$4:$F$1000,MATCH(ROWS($X$4:X126),$AJ$4:$AJ$1000,0)),"")</f>
        <v/>
      </c>
      <c r="Y126" t="str">
        <f>IFERROR(INDEX('01 assessment'!$C$4:$C$1000,MATCH(ROWS($Y$4:Y126),$AJ$4:$AJ$1000,0)),"")</f>
        <v/>
      </c>
      <c r="Z126" t="str">
        <f>IFERROR(INDEX('01 assessment'!$G$4:$G$1000,MATCH(ROWS($Z$4:Z126),$AJ$4:$AJ$1000,0)),"")</f>
        <v/>
      </c>
      <c r="AA126" t="str">
        <f>IFERROR(INDEX('01 assessment'!$H$4:$H$1000,MATCH(ROWS($AA$4:AA126),$AJ$4:$AJ$1000,0)),"")</f>
        <v/>
      </c>
      <c r="AB126" t="str">
        <f>IFERROR(INDEX('01 assessment'!$B$4:$B$1000,MATCH(ROWS($AB$4:AB126),$AJ$4:$AJ$1000,0)),"")</f>
        <v/>
      </c>
      <c r="AC126" t="str">
        <f>IFERROR(INDEX('01 assessment'!$I$4:$I$1000,MATCH(ROWS($AC$4:AC126),$AJ$4:$AJ$1000,0)),"")</f>
        <v/>
      </c>
      <c r="AD126" t="str">
        <f>IFERROR(INDEX('01 assessment'!$M$4:$M$1000,MATCH(ROWS($AD$4:AD126),$AJ$4:$AJ$1000,0)),"")</f>
        <v/>
      </c>
      <c r="AG126" t="str">
        <f>IF('01 assessment'!$M126="","",1+COUNTIFS('01 assessment'!$L$4:$L$1000,'01 assessment'!$L126,'01 assessment'!$J$4:$J$1000,"&gt;"&amp;'01 assessment'!$J126)+COUNTIFS('01 assessment'!$L$4:$L$1000,'01 assessment'!$L126,'01 assessment'!$J$4:$J$1000,'01 assessment'!$J126,'01 assessment'!$M$4:$M$1000,"&lt;"&amp;'01 assessment'!$M126))</f>
        <v/>
      </c>
      <c r="AH126" t="str">
        <f>IF(OR($AG126&lt;&gt;1,'01 assessment'!$M126=""),"",SUMIFS('04 Hazards'!$K$4:$K$1000,'04 Hazards'!$S$4:$S$1000,'01 assessment'!$M126,'04 Hazards'!$R$4:$R$1000,TRUE,'04 Hazards'!$U$4:$U$1000,TRUE))</f>
        <v/>
      </c>
      <c r="AI126" t="str">
        <f>IF(OR($AG126&lt;&gt;1,$AH126&lt;=0),"",1+COUNTIFS($AG$4:$AG$1000,1,$AH$4:$AH$1000,"&gt;"&amp;$AH126)+COUNTIFS($AG$4:$AG$1000,1,$AH$4:$AH$1000,$AH126,'01 assessment'!$A$4:$A$1000,"&lt;"&amp;'01 assessment'!$A126))</f>
        <v/>
      </c>
      <c r="AJ126" t="str">
        <f>IF('01 assessment'!$M126="","",1+COUNTIFS('01 assessment'!$A$4:$A$1000,"&lt;"&amp;'01 assessment'!$A126,'01 assessment'!$M$4:$M$1000,"&lt;&gt;")+COUNTIFS('01 assessment'!$A$4:$A$1000,'01 assessment'!$A126,'01 assessment'!$B$4:$B$1000,"&gt;"&amp;'01 assessment'!$B126,'01 assessment'!$M$4:$M$1000,"&lt;&gt;")+COUNTIFS('01 assessment'!$A$4:$A$1000,'01 assessment'!$A126,'01 assessment'!$B$4:$B$1000,'01 assessment'!$B126,'01 assessment'!$M$4:$M$1000,"&lt;"&amp;'01 assessment'!$M126))</f>
        <v/>
      </c>
    </row>
    <row r="127" spans="1:36">
      <c r="A127" s="23">
        <v>104</v>
      </c>
      <c r="B127" s="25" t="str">
        <f t="shared" si="27"/>
        <v/>
      </c>
      <c r="C127" s="23" t="str">
        <f t="shared" si="28"/>
        <v/>
      </c>
      <c r="D127" s="23" t="str">
        <f t="shared" si="29"/>
        <v/>
      </c>
      <c r="E127" s="23" t="str">
        <f t="shared" si="30"/>
        <v/>
      </c>
      <c r="F127" s="23" t="str">
        <f t="shared" si="31"/>
        <v/>
      </c>
      <c r="G127" s="27" t="str">
        <f t="shared" si="32"/>
        <v/>
      </c>
      <c r="H127" s="23" t="str">
        <f t="shared" si="33"/>
        <v/>
      </c>
      <c r="I127" s="23" t="str">
        <f t="shared" si="34"/>
        <v/>
      </c>
      <c r="T127" t="str">
        <f t="shared" si="35"/>
        <v/>
      </c>
      <c r="W127" t="str">
        <f>IFERROR(INDEX('01 assessment'!$A$4:$A$1000,MATCH(ROWS($W$4:W127),$AJ$4:$AJ$1000,0)),"")</f>
        <v/>
      </c>
      <c r="X127" t="str">
        <f>IFERROR(INDEX('01 assessment'!$F$4:$F$1000,MATCH(ROWS($X$4:X127),$AJ$4:$AJ$1000,0)),"")</f>
        <v/>
      </c>
      <c r="Y127" t="str">
        <f>IFERROR(INDEX('01 assessment'!$C$4:$C$1000,MATCH(ROWS($Y$4:Y127),$AJ$4:$AJ$1000,0)),"")</f>
        <v/>
      </c>
      <c r="Z127" t="str">
        <f>IFERROR(INDEX('01 assessment'!$G$4:$G$1000,MATCH(ROWS($Z$4:Z127),$AJ$4:$AJ$1000,0)),"")</f>
        <v/>
      </c>
      <c r="AA127" t="str">
        <f>IFERROR(INDEX('01 assessment'!$H$4:$H$1000,MATCH(ROWS($AA$4:AA127),$AJ$4:$AJ$1000,0)),"")</f>
        <v/>
      </c>
      <c r="AB127" t="str">
        <f>IFERROR(INDEX('01 assessment'!$B$4:$B$1000,MATCH(ROWS($AB$4:AB127),$AJ$4:$AJ$1000,0)),"")</f>
        <v/>
      </c>
      <c r="AC127" t="str">
        <f>IFERROR(INDEX('01 assessment'!$I$4:$I$1000,MATCH(ROWS($AC$4:AC127),$AJ$4:$AJ$1000,0)),"")</f>
        <v/>
      </c>
      <c r="AD127" t="str">
        <f>IFERROR(INDEX('01 assessment'!$M$4:$M$1000,MATCH(ROWS($AD$4:AD127),$AJ$4:$AJ$1000,0)),"")</f>
        <v/>
      </c>
      <c r="AG127" t="str">
        <f>IF('01 assessment'!$M127="","",1+COUNTIFS('01 assessment'!$L$4:$L$1000,'01 assessment'!$L127,'01 assessment'!$J$4:$J$1000,"&gt;"&amp;'01 assessment'!$J127)+COUNTIFS('01 assessment'!$L$4:$L$1000,'01 assessment'!$L127,'01 assessment'!$J$4:$J$1000,'01 assessment'!$J127,'01 assessment'!$M$4:$M$1000,"&lt;"&amp;'01 assessment'!$M127))</f>
        <v/>
      </c>
      <c r="AH127" t="str">
        <f>IF(OR($AG127&lt;&gt;1,'01 assessment'!$M127=""),"",SUMIFS('04 Hazards'!$K$4:$K$1000,'04 Hazards'!$S$4:$S$1000,'01 assessment'!$M127,'04 Hazards'!$R$4:$R$1000,TRUE,'04 Hazards'!$U$4:$U$1000,TRUE))</f>
        <v/>
      </c>
      <c r="AI127" t="str">
        <f>IF(OR($AG127&lt;&gt;1,$AH127&lt;=0),"",1+COUNTIFS($AG$4:$AG$1000,1,$AH$4:$AH$1000,"&gt;"&amp;$AH127)+COUNTIFS($AG$4:$AG$1000,1,$AH$4:$AH$1000,$AH127,'01 assessment'!$A$4:$A$1000,"&lt;"&amp;'01 assessment'!$A127))</f>
        <v/>
      </c>
      <c r="AJ127" t="str">
        <f>IF('01 assessment'!$M127="","",1+COUNTIFS('01 assessment'!$A$4:$A$1000,"&lt;"&amp;'01 assessment'!$A127,'01 assessment'!$M$4:$M$1000,"&lt;&gt;")+COUNTIFS('01 assessment'!$A$4:$A$1000,'01 assessment'!$A127,'01 assessment'!$B$4:$B$1000,"&gt;"&amp;'01 assessment'!$B127,'01 assessment'!$M$4:$M$1000,"&lt;&gt;")+COUNTIFS('01 assessment'!$A$4:$A$1000,'01 assessment'!$A127,'01 assessment'!$B$4:$B$1000,'01 assessment'!$B127,'01 assessment'!$M$4:$M$1000,"&lt;"&amp;'01 assessment'!$M127))</f>
        <v/>
      </c>
    </row>
    <row r="128" spans="1:36">
      <c r="A128" s="23">
        <v>105</v>
      </c>
      <c r="B128" s="25" t="str">
        <f t="shared" si="27"/>
        <v/>
      </c>
      <c r="C128" s="23" t="str">
        <f t="shared" si="28"/>
        <v/>
      </c>
      <c r="D128" s="23" t="str">
        <f t="shared" si="29"/>
        <v/>
      </c>
      <c r="E128" s="23" t="str">
        <f t="shared" si="30"/>
        <v/>
      </c>
      <c r="F128" s="23" t="str">
        <f t="shared" si="31"/>
        <v/>
      </c>
      <c r="G128" s="27" t="str">
        <f t="shared" si="32"/>
        <v/>
      </c>
      <c r="H128" s="23" t="str">
        <f t="shared" si="33"/>
        <v/>
      </c>
      <c r="I128" s="23" t="str">
        <f t="shared" si="34"/>
        <v/>
      </c>
      <c r="T128" t="str">
        <f t="shared" si="35"/>
        <v/>
      </c>
      <c r="W128" t="str">
        <f>IFERROR(INDEX('01 assessment'!$A$4:$A$1000,MATCH(ROWS($W$4:W128),$AJ$4:$AJ$1000,0)),"")</f>
        <v/>
      </c>
      <c r="X128" t="str">
        <f>IFERROR(INDEX('01 assessment'!$F$4:$F$1000,MATCH(ROWS($X$4:X128),$AJ$4:$AJ$1000,0)),"")</f>
        <v/>
      </c>
      <c r="Y128" t="str">
        <f>IFERROR(INDEX('01 assessment'!$C$4:$C$1000,MATCH(ROWS($Y$4:Y128),$AJ$4:$AJ$1000,0)),"")</f>
        <v/>
      </c>
      <c r="Z128" t="str">
        <f>IFERROR(INDEX('01 assessment'!$G$4:$G$1000,MATCH(ROWS($Z$4:Z128),$AJ$4:$AJ$1000,0)),"")</f>
        <v/>
      </c>
      <c r="AA128" t="str">
        <f>IFERROR(INDEX('01 assessment'!$H$4:$H$1000,MATCH(ROWS($AA$4:AA128),$AJ$4:$AJ$1000,0)),"")</f>
        <v/>
      </c>
      <c r="AB128" t="str">
        <f>IFERROR(INDEX('01 assessment'!$B$4:$B$1000,MATCH(ROWS($AB$4:AB128),$AJ$4:$AJ$1000,0)),"")</f>
        <v/>
      </c>
      <c r="AC128" t="str">
        <f>IFERROR(INDEX('01 assessment'!$I$4:$I$1000,MATCH(ROWS($AC$4:AC128),$AJ$4:$AJ$1000,0)),"")</f>
        <v/>
      </c>
      <c r="AD128" t="str">
        <f>IFERROR(INDEX('01 assessment'!$M$4:$M$1000,MATCH(ROWS($AD$4:AD128),$AJ$4:$AJ$1000,0)),"")</f>
        <v/>
      </c>
      <c r="AG128" t="str">
        <f>IF('01 assessment'!$M128="","",1+COUNTIFS('01 assessment'!$L$4:$L$1000,'01 assessment'!$L128,'01 assessment'!$J$4:$J$1000,"&gt;"&amp;'01 assessment'!$J128)+COUNTIFS('01 assessment'!$L$4:$L$1000,'01 assessment'!$L128,'01 assessment'!$J$4:$J$1000,'01 assessment'!$J128,'01 assessment'!$M$4:$M$1000,"&lt;"&amp;'01 assessment'!$M128))</f>
        <v/>
      </c>
      <c r="AH128" t="str">
        <f>IF(OR($AG128&lt;&gt;1,'01 assessment'!$M128=""),"",SUMIFS('04 Hazards'!$K$4:$K$1000,'04 Hazards'!$S$4:$S$1000,'01 assessment'!$M128,'04 Hazards'!$R$4:$R$1000,TRUE,'04 Hazards'!$U$4:$U$1000,TRUE))</f>
        <v/>
      </c>
      <c r="AI128" t="str">
        <f>IF(OR($AG128&lt;&gt;1,$AH128&lt;=0),"",1+COUNTIFS($AG$4:$AG$1000,1,$AH$4:$AH$1000,"&gt;"&amp;$AH128)+COUNTIFS($AG$4:$AG$1000,1,$AH$4:$AH$1000,$AH128,'01 assessment'!$A$4:$A$1000,"&lt;"&amp;'01 assessment'!$A128))</f>
        <v/>
      </c>
      <c r="AJ128" t="str">
        <f>IF('01 assessment'!$M128="","",1+COUNTIFS('01 assessment'!$A$4:$A$1000,"&lt;"&amp;'01 assessment'!$A128,'01 assessment'!$M$4:$M$1000,"&lt;&gt;")+COUNTIFS('01 assessment'!$A$4:$A$1000,'01 assessment'!$A128,'01 assessment'!$B$4:$B$1000,"&gt;"&amp;'01 assessment'!$B128,'01 assessment'!$M$4:$M$1000,"&lt;&gt;")+COUNTIFS('01 assessment'!$A$4:$A$1000,'01 assessment'!$A128,'01 assessment'!$B$4:$B$1000,'01 assessment'!$B128,'01 assessment'!$M$4:$M$1000,"&lt;"&amp;'01 assessment'!$M128))</f>
        <v/>
      </c>
    </row>
    <row r="129" spans="1:36">
      <c r="A129" s="23">
        <v>106</v>
      </c>
      <c r="B129" s="25" t="str">
        <f t="shared" si="27"/>
        <v/>
      </c>
      <c r="C129" s="23" t="str">
        <f t="shared" si="28"/>
        <v/>
      </c>
      <c r="D129" s="23" t="str">
        <f t="shared" si="29"/>
        <v/>
      </c>
      <c r="E129" s="23" t="str">
        <f t="shared" si="30"/>
        <v/>
      </c>
      <c r="F129" s="23" t="str">
        <f t="shared" si="31"/>
        <v/>
      </c>
      <c r="G129" s="27" t="str">
        <f t="shared" si="32"/>
        <v/>
      </c>
      <c r="H129" s="23" t="str">
        <f t="shared" si="33"/>
        <v/>
      </c>
      <c r="I129" s="23" t="str">
        <f t="shared" si="34"/>
        <v/>
      </c>
      <c r="T129" t="str">
        <f t="shared" si="35"/>
        <v/>
      </c>
      <c r="W129" t="str">
        <f>IFERROR(INDEX('01 assessment'!$A$4:$A$1000,MATCH(ROWS($W$4:W129),$AJ$4:$AJ$1000,0)),"")</f>
        <v/>
      </c>
      <c r="X129" t="str">
        <f>IFERROR(INDEX('01 assessment'!$F$4:$F$1000,MATCH(ROWS($X$4:X129),$AJ$4:$AJ$1000,0)),"")</f>
        <v/>
      </c>
      <c r="Y129" t="str">
        <f>IFERROR(INDEX('01 assessment'!$C$4:$C$1000,MATCH(ROWS($Y$4:Y129),$AJ$4:$AJ$1000,0)),"")</f>
        <v/>
      </c>
      <c r="Z129" t="str">
        <f>IFERROR(INDEX('01 assessment'!$G$4:$G$1000,MATCH(ROWS($Z$4:Z129),$AJ$4:$AJ$1000,0)),"")</f>
        <v/>
      </c>
      <c r="AA129" t="str">
        <f>IFERROR(INDEX('01 assessment'!$H$4:$H$1000,MATCH(ROWS($AA$4:AA129),$AJ$4:$AJ$1000,0)),"")</f>
        <v/>
      </c>
      <c r="AB129" t="str">
        <f>IFERROR(INDEX('01 assessment'!$B$4:$B$1000,MATCH(ROWS($AB$4:AB129),$AJ$4:$AJ$1000,0)),"")</f>
        <v/>
      </c>
      <c r="AC129" t="str">
        <f>IFERROR(INDEX('01 assessment'!$I$4:$I$1000,MATCH(ROWS($AC$4:AC129),$AJ$4:$AJ$1000,0)),"")</f>
        <v/>
      </c>
      <c r="AD129" t="str">
        <f>IFERROR(INDEX('01 assessment'!$M$4:$M$1000,MATCH(ROWS($AD$4:AD129),$AJ$4:$AJ$1000,0)),"")</f>
        <v/>
      </c>
      <c r="AG129" t="str">
        <f>IF('01 assessment'!$M129="","",1+COUNTIFS('01 assessment'!$L$4:$L$1000,'01 assessment'!$L129,'01 assessment'!$J$4:$J$1000,"&gt;"&amp;'01 assessment'!$J129)+COUNTIFS('01 assessment'!$L$4:$L$1000,'01 assessment'!$L129,'01 assessment'!$J$4:$J$1000,'01 assessment'!$J129,'01 assessment'!$M$4:$M$1000,"&lt;"&amp;'01 assessment'!$M129))</f>
        <v/>
      </c>
      <c r="AH129" t="str">
        <f>IF(OR($AG129&lt;&gt;1,'01 assessment'!$M129=""),"",SUMIFS('04 Hazards'!$K$4:$K$1000,'04 Hazards'!$S$4:$S$1000,'01 assessment'!$M129,'04 Hazards'!$R$4:$R$1000,TRUE,'04 Hazards'!$U$4:$U$1000,TRUE))</f>
        <v/>
      </c>
      <c r="AI129" t="str">
        <f>IF(OR($AG129&lt;&gt;1,$AH129&lt;=0),"",1+COUNTIFS($AG$4:$AG$1000,1,$AH$4:$AH$1000,"&gt;"&amp;$AH129)+COUNTIFS($AG$4:$AG$1000,1,$AH$4:$AH$1000,$AH129,'01 assessment'!$A$4:$A$1000,"&lt;"&amp;'01 assessment'!$A129))</f>
        <v/>
      </c>
      <c r="AJ129" t="str">
        <f>IF('01 assessment'!$M129="","",1+COUNTIFS('01 assessment'!$A$4:$A$1000,"&lt;"&amp;'01 assessment'!$A129,'01 assessment'!$M$4:$M$1000,"&lt;&gt;")+COUNTIFS('01 assessment'!$A$4:$A$1000,'01 assessment'!$A129,'01 assessment'!$B$4:$B$1000,"&gt;"&amp;'01 assessment'!$B129,'01 assessment'!$M$4:$M$1000,"&lt;&gt;")+COUNTIFS('01 assessment'!$A$4:$A$1000,'01 assessment'!$A129,'01 assessment'!$B$4:$B$1000,'01 assessment'!$B129,'01 assessment'!$M$4:$M$1000,"&lt;"&amp;'01 assessment'!$M129))</f>
        <v/>
      </c>
    </row>
    <row r="130" spans="1:36">
      <c r="A130" s="23">
        <v>107</v>
      </c>
      <c r="B130" s="25" t="str">
        <f t="shared" si="27"/>
        <v/>
      </c>
      <c r="C130" s="23" t="str">
        <f t="shared" si="28"/>
        <v/>
      </c>
      <c r="D130" s="23" t="str">
        <f t="shared" si="29"/>
        <v/>
      </c>
      <c r="E130" s="23" t="str">
        <f t="shared" si="30"/>
        <v/>
      </c>
      <c r="F130" s="23" t="str">
        <f t="shared" si="31"/>
        <v/>
      </c>
      <c r="G130" s="27" t="str">
        <f t="shared" si="32"/>
        <v/>
      </c>
      <c r="H130" s="23" t="str">
        <f t="shared" si="33"/>
        <v/>
      </c>
      <c r="I130" s="23" t="str">
        <f t="shared" si="34"/>
        <v/>
      </c>
      <c r="T130" t="str">
        <f t="shared" si="35"/>
        <v/>
      </c>
      <c r="W130" t="str">
        <f>IFERROR(INDEX('01 assessment'!$A$4:$A$1000,MATCH(ROWS($W$4:W130),$AJ$4:$AJ$1000,0)),"")</f>
        <v/>
      </c>
      <c r="X130" t="str">
        <f>IFERROR(INDEX('01 assessment'!$F$4:$F$1000,MATCH(ROWS($X$4:X130),$AJ$4:$AJ$1000,0)),"")</f>
        <v/>
      </c>
      <c r="Y130" t="str">
        <f>IFERROR(INDEX('01 assessment'!$C$4:$C$1000,MATCH(ROWS($Y$4:Y130),$AJ$4:$AJ$1000,0)),"")</f>
        <v/>
      </c>
      <c r="Z130" t="str">
        <f>IFERROR(INDEX('01 assessment'!$G$4:$G$1000,MATCH(ROWS($Z$4:Z130),$AJ$4:$AJ$1000,0)),"")</f>
        <v/>
      </c>
      <c r="AA130" t="str">
        <f>IFERROR(INDEX('01 assessment'!$H$4:$H$1000,MATCH(ROWS($AA$4:AA130),$AJ$4:$AJ$1000,0)),"")</f>
        <v/>
      </c>
      <c r="AB130" t="str">
        <f>IFERROR(INDEX('01 assessment'!$B$4:$B$1000,MATCH(ROWS($AB$4:AB130),$AJ$4:$AJ$1000,0)),"")</f>
        <v/>
      </c>
      <c r="AC130" t="str">
        <f>IFERROR(INDEX('01 assessment'!$I$4:$I$1000,MATCH(ROWS($AC$4:AC130),$AJ$4:$AJ$1000,0)),"")</f>
        <v/>
      </c>
      <c r="AD130" t="str">
        <f>IFERROR(INDEX('01 assessment'!$M$4:$M$1000,MATCH(ROWS($AD$4:AD130),$AJ$4:$AJ$1000,0)),"")</f>
        <v/>
      </c>
      <c r="AG130" t="str">
        <f>IF('01 assessment'!$M130="","",1+COUNTIFS('01 assessment'!$L$4:$L$1000,'01 assessment'!$L130,'01 assessment'!$J$4:$J$1000,"&gt;"&amp;'01 assessment'!$J130)+COUNTIFS('01 assessment'!$L$4:$L$1000,'01 assessment'!$L130,'01 assessment'!$J$4:$J$1000,'01 assessment'!$J130,'01 assessment'!$M$4:$M$1000,"&lt;"&amp;'01 assessment'!$M130))</f>
        <v/>
      </c>
      <c r="AH130" t="str">
        <f>IF(OR($AG130&lt;&gt;1,'01 assessment'!$M130=""),"",SUMIFS('04 Hazards'!$K$4:$K$1000,'04 Hazards'!$S$4:$S$1000,'01 assessment'!$M130,'04 Hazards'!$R$4:$R$1000,TRUE,'04 Hazards'!$U$4:$U$1000,TRUE))</f>
        <v/>
      </c>
      <c r="AI130" t="str">
        <f>IF(OR($AG130&lt;&gt;1,$AH130&lt;=0),"",1+COUNTIFS($AG$4:$AG$1000,1,$AH$4:$AH$1000,"&gt;"&amp;$AH130)+COUNTIFS($AG$4:$AG$1000,1,$AH$4:$AH$1000,$AH130,'01 assessment'!$A$4:$A$1000,"&lt;"&amp;'01 assessment'!$A130))</f>
        <v/>
      </c>
      <c r="AJ130" t="str">
        <f>IF('01 assessment'!$M130="","",1+COUNTIFS('01 assessment'!$A$4:$A$1000,"&lt;"&amp;'01 assessment'!$A130,'01 assessment'!$M$4:$M$1000,"&lt;&gt;")+COUNTIFS('01 assessment'!$A$4:$A$1000,'01 assessment'!$A130,'01 assessment'!$B$4:$B$1000,"&gt;"&amp;'01 assessment'!$B130,'01 assessment'!$M$4:$M$1000,"&lt;&gt;")+COUNTIFS('01 assessment'!$A$4:$A$1000,'01 assessment'!$A130,'01 assessment'!$B$4:$B$1000,'01 assessment'!$B130,'01 assessment'!$M$4:$M$1000,"&lt;"&amp;'01 assessment'!$M130))</f>
        <v/>
      </c>
    </row>
    <row r="131" spans="1:36">
      <c r="A131" s="23">
        <v>108</v>
      </c>
      <c r="B131" s="25" t="str">
        <f t="shared" si="27"/>
        <v/>
      </c>
      <c r="C131" s="23" t="str">
        <f t="shared" si="28"/>
        <v/>
      </c>
      <c r="D131" s="23" t="str">
        <f t="shared" si="29"/>
        <v/>
      </c>
      <c r="E131" s="23" t="str">
        <f t="shared" si="30"/>
        <v/>
      </c>
      <c r="F131" s="23" t="str">
        <f t="shared" si="31"/>
        <v/>
      </c>
      <c r="G131" s="27" t="str">
        <f t="shared" si="32"/>
        <v/>
      </c>
      <c r="H131" s="23" t="str">
        <f t="shared" si="33"/>
        <v/>
      </c>
      <c r="I131" s="23" t="str">
        <f t="shared" si="34"/>
        <v/>
      </c>
      <c r="T131" t="str">
        <f t="shared" si="35"/>
        <v/>
      </c>
      <c r="W131" t="str">
        <f>IFERROR(INDEX('01 assessment'!$A$4:$A$1000,MATCH(ROWS($W$4:W131),$AJ$4:$AJ$1000,0)),"")</f>
        <v/>
      </c>
      <c r="X131" t="str">
        <f>IFERROR(INDEX('01 assessment'!$F$4:$F$1000,MATCH(ROWS($X$4:X131),$AJ$4:$AJ$1000,0)),"")</f>
        <v/>
      </c>
      <c r="Y131" t="str">
        <f>IFERROR(INDEX('01 assessment'!$C$4:$C$1000,MATCH(ROWS($Y$4:Y131),$AJ$4:$AJ$1000,0)),"")</f>
        <v/>
      </c>
      <c r="Z131" t="str">
        <f>IFERROR(INDEX('01 assessment'!$G$4:$G$1000,MATCH(ROWS($Z$4:Z131),$AJ$4:$AJ$1000,0)),"")</f>
        <v/>
      </c>
      <c r="AA131" t="str">
        <f>IFERROR(INDEX('01 assessment'!$H$4:$H$1000,MATCH(ROWS($AA$4:AA131),$AJ$4:$AJ$1000,0)),"")</f>
        <v/>
      </c>
      <c r="AB131" t="str">
        <f>IFERROR(INDEX('01 assessment'!$B$4:$B$1000,MATCH(ROWS($AB$4:AB131),$AJ$4:$AJ$1000,0)),"")</f>
        <v/>
      </c>
      <c r="AC131" t="str">
        <f>IFERROR(INDEX('01 assessment'!$I$4:$I$1000,MATCH(ROWS($AC$4:AC131),$AJ$4:$AJ$1000,0)),"")</f>
        <v/>
      </c>
      <c r="AD131" t="str">
        <f>IFERROR(INDEX('01 assessment'!$M$4:$M$1000,MATCH(ROWS($AD$4:AD131),$AJ$4:$AJ$1000,0)),"")</f>
        <v/>
      </c>
      <c r="AG131" t="str">
        <f>IF('01 assessment'!$M131="","",1+COUNTIFS('01 assessment'!$L$4:$L$1000,'01 assessment'!$L131,'01 assessment'!$J$4:$J$1000,"&gt;"&amp;'01 assessment'!$J131)+COUNTIFS('01 assessment'!$L$4:$L$1000,'01 assessment'!$L131,'01 assessment'!$J$4:$J$1000,'01 assessment'!$J131,'01 assessment'!$M$4:$M$1000,"&lt;"&amp;'01 assessment'!$M131))</f>
        <v/>
      </c>
      <c r="AH131" t="str">
        <f>IF(OR($AG131&lt;&gt;1,'01 assessment'!$M131=""),"",SUMIFS('04 Hazards'!$K$4:$K$1000,'04 Hazards'!$S$4:$S$1000,'01 assessment'!$M131,'04 Hazards'!$R$4:$R$1000,TRUE,'04 Hazards'!$U$4:$U$1000,TRUE))</f>
        <v/>
      </c>
      <c r="AI131" t="str">
        <f>IF(OR($AG131&lt;&gt;1,$AH131&lt;=0),"",1+COUNTIFS($AG$4:$AG$1000,1,$AH$4:$AH$1000,"&gt;"&amp;$AH131)+COUNTIFS($AG$4:$AG$1000,1,$AH$4:$AH$1000,$AH131,'01 assessment'!$A$4:$A$1000,"&lt;"&amp;'01 assessment'!$A131))</f>
        <v/>
      </c>
      <c r="AJ131" t="str">
        <f>IF('01 assessment'!$M131="","",1+COUNTIFS('01 assessment'!$A$4:$A$1000,"&lt;"&amp;'01 assessment'!$A131,'01 assessment'!$M$4:$M$1000,"&lt;&gt;")+COUNTIFS('01 assessment'!$A$4:$A$1000,'01 assessment'!$A131,'01 assessment'!$B$4:$B$1000,"&gt;"&amp;'01 assessment'!$B131,'01 assessment'!$M$4:$M$1000,"&lt;&gt;")+COUNTIFS('01 assessment'!$A$4:$A$1000,'01 assessment'!$A131,'01 assessment'!$B$4:$B$1000,'01 assessment'!$B131,'01 assessment'!$M$4:$M$1000,"&lt;"&amp;'01 assessment'!$M131))</f>
        <v/>
      </c>
    </row>
    <row r="132" spans="1:36">
      <c r="A132" s="23">
        <v>109</v>
      </c>
      <c r="B132" s="25" t="str">
        <f t="shared" si="27"/>
        <v/>
      </c>
      <c r="C132" s="23" t="str">
        <f t="shared" si="28"/>
        <v/>
      </c>
      <c r="D132" s="23" t="str">
        <f t="shared" si="29"/>
        <v/>
      </c>
      <c r="E132" s="23" t="str">
        <f t="shared" si="30"/>
        <v/>
      </c>
      <c r="F132" s="23" t="str">
        <f t="shared" si="31"/>
        <v/>
      </c>
      <c r="G132" s="27" t="str">
        <f t="shared" si="32"/>
        <v/>
      </c>
      <c r="H132" s="23" t="str">
        <f t="shared" si="33"/>
        <v/>
      </c>
      <c r="I132" s="23" t="str">
        <f t="shared" si="34"/>
        <v/>
      </c>
      <c r="T132" t="str">
        <f t="shared" si="35"/>
        <v/>
      </c>
      <c r="W132" t="str">
        <f>IFERROR(INDEX('01 assessment'!$A$4:$A$1000,MATCH(ROWS($W$4:W132),$AJ$4:$AJ$1000,0)),"")</f>
        <v/>
      </c>
      <c r="X132" t="str">
        <f>IFERROR(INDEX('01 assessment'!$F$4:$F$1000,MATCH(ROWS($X$4:X132),$AJ$4:$AJ$1000,0)),"")</f>
        <v/>
      </c>
      <c r="Y132" t="str">
        <f>IFERROR(INDEX('01 assessment'!$C$4:$C$1000,MATCH(ROWS($Y$4:Y132),$AJ$4:$AJ$1000,0)),"")</f>
        <v/>
      </c>
      <c r="Z132" t="str">
        <f>IFERROR(INDEX('01 assessment'!$G$4:$G$1000,MATCH(ROWS($Z$4:Z132),$AJ$4:$AJ$1000,0)),"")</f>
        <v/>
      </c>
      <c r="AA132" t="str">
        <f>IFERROR(INDEX('01 assessment'!$H$4:$H$1000,MATCH(ROWS($AA$4:AA132),$AJ$4:$AJ$1000,0)),"")</f>
        <v/>
      </c>
      <c r="AB132" t="str">
        <f>IFERROR(INDEX('01 assessment'!$B$4:$B$1000,MATCH(ROWS($AB$4:AB132),$AJ$4:$AJ$1000,0)),"")</f>
        <v/>
      </c>
      <c r="AC132" t="str">
        <f>IFERROR(INDEX('01 assessment'!$I$4:$I$1000,MATCH(ROWS($AC$4:AC132),$AJ$4:$AJ$1000,0)),"")</f>
        <v/>
      </c>
      <c r="AD132" t="str">
        <f>IFERROR(INDEX('01 assessment'!$M$4:$M$1000,MATCH(ROWS($AD$4:AD132),$AJ$4:$AJ$1000,0)),"")</f>
        <v/>
      </c>
      <c r="AG132" t="str">
        <f>IF('01 assessment'!$M132="","",1+COUNTIFS('01 assessment'!$L$4:$L$1000,'01 assessment'!$L132,'01 assessment'!$J$4:$J$1000,"&gt;"&amp;'01 assessment'!$J132)+COUNTIFS('01 assessment'!$L$4:$L$1000,'01 assessment'!$L132,'01 assessment'!$J$4:$J$1000,'01 assessment'!$J132,'01 assessment'!$M$4:$M$1000,"&lt;"&amp;'01 assessment'!$M132))</f>
        <v/>
      </c>
      <c r="AH132" t="str">
        <f>IF(OR($AG132&lt;&gt;1,'01 assessment'!$M132=""),"",SUMIFS('04 Hazards'!$K$4:$K$1000,'04 Hazards'!$S$4:$S$1000,'01 assessment'!$M132,'04 Hazards'!$R$4:$R$1000,TRUE,'04 Hazards'!$U$4:$U$1000,TRUE))</f>
        <v/>
      </c>
      <c r="AI132" t="str">
        <f>IF(OR($AG132&lt;&gt;1,$AH132&lt;=0),"",1+COUNTIFS($AG$4:$AG$1000,1,$AH$4:$AH$1000,"&gt;"&amp;$AH132)+COUNTIFS($AG$4:$AG$1000,1,$AH$4:$AH$1000,$AH132,'01 assessment'!$A$4:$A$1000,"&lt;"&amp;'01 assessment'!$A132))</f>
        <v/>
      </c>
      <c r="AJ132" t="str">
        <f>IF('01 assessment'!$M132="","",1+COUNTIFS('01 assessment'!$A$4:$A$1000,"&lt;"&amp;'01 assessment'!$A132,'01 assessment'!$M$4:$M$1000,"&lt;&gt;")+COUNTIFS('01 assessment'!$A$4:$A$1000,'01 assessment'!$A132,'01 assessment'!$B$4:$B$1000,"&gt;"&amp;'01 assessment'!$B132,'01 assessment'!$M$4:$M$1000,"&lt;&gt;")+COUNTIFS('01 assessment'!$A$4:$A$1000,'01 assessment'!$A132,'01 assessment'!$B$4:$B$1000,'01 assessment'!$B132,'01 assessment'!$M$4:$M$1000,"&lt;"&amp;'01 assessment'!$M132))</f>
        <v/>
      </c>
    </row>
    <row r="133" spans="1:36">
      <c r="A133" s="23">
        <v>110</v>
      </c>
      <c r="B133" s="25" t="str">
        <f t="shared" si="27"/>
        <v/>
      </c>
      <c r="C133" s="23" t="str">
        <f t="shared" si="28"/>
        <v/>
      </c>
      <c r="D133" s="23" t="str">
        <f t="shared" si="29"/>
        <v/>
      </c>
      <c r="E133" s="23" t="str">
        <f t="shared" si="30"/>
        <v/>
      </c>
      <c r="F133" s="23" t="str">
        <f t="shared" si="31"/>
        <v/>
      </c>
      <c r="G133" s="27" t="str">
        <f t="shared" si="32"/>
        <v/>
      </c>
      <c r="H133" s="23" t="str">
        <f t="shared" si="33"/>
        <v/>
      </c>
      <c r="I133" s="23" t="str">
        <f t="shared" si="34"/>
        <v/>
      </c>
      <c r="T133" t="str">
        <f t="shared" si="35"/>
        <v/>
      </c>
      <c r="W133" t="str">
        <f>IFERROR(INDEX('01 assessment'!$A$4:$A$1000,MATCH(ROWS($W$4:W133),$AJ$4:$AJ$1000,0)),"")</f>
        <v/>
      </c>
      <c r="X133" t="str">
        <f>IFERROR(INDEX('01 assessment'!$F$4:$F$1000,MATCH(ROWS($X$4:X133),$AJ$4:$AJ$1000,0)),"")</f>
        <v/>
      </c>
      <c r="Y133" t="str">
        <f>IFERROR(INDEX('01 assessment'!$C$4:$C$1000,MATCH(ROWS($Y$4:Y133),$AJ$4:$AJ$1000,0)),"")</f>
        <v/>
      </c>
      <c r="Z133" t="str">
        <f>IFERROR(INDEX('01 assessment'!$G$4:$G$1000,MATCH(ROWS($Z$4:Z133),$AJ$4:$AJ$1000,0)),"")</f>
        <v/>
      </c>
      <c r="AA133" t="str">
        <f>IFERROR(INDEX('01 assessment'!$H$4:$H$1000,MATCH(ROWS($AA$4:AA133),$AJ$4:$AJ$1000,0)),"")</f>
        <v/>
      </c>
      <c r="AB133" t="str">
        <f>IFERROR(INDEX('01 assessment'!$B$4:$B$1000,MATCH(ROWS($AB$4:AB133),$AJ$4:$AJ$1000,0)),"")</f>
        <v/>
      </c>
      <c r="AC133" t="str">
        <f>IFERROR(INDEX('01 assessment'!$I$4:$I$1000,MATCH(ROWS($AC$4:AC133),$AJ$4:$AJ$1000,0)),"")</f>
        <v/>
      </c>
      <c r="AD133" t="str">
        <f>IFERROR(INDEX('01 assessment'!$M$4:$M$1000,MATCH(ROWS($AD$4:AD133),$AJ$4:$AJ$1000,0)),"")</f>
        <v/>
      </c>
      <c r="AG133" t="str">
        <f>IF('01 assessment'!$M133="","",1+COUNTIFS('01 assessment'!$L$4:$L$1000,'01 assessment'!$L133,'01 assessment'!$J$4:$J$1000,"&gt;"&amp;'01 assessment'!$J133)+COUNTIFS('01 assessment'!$L$4:$L$1000,'01 assessment'!$L133,'01 assessment'!$J$4:$J$1000,'01 assessment'!$J133,'01 assessment'!$M$4:$M$1000,"&lt;"&amp;'01 assessment'!$M133))</f>
        <v/>
      </c>
      <c r="AH133" t="str">
        <f>IF(OR($AG133&lt;&gt;1,'01 assessment'!$M133=""),"",SUMIFS('04 Hazards'!$K$4:$K$1000,'04 Hazards'!$S$4:$S$1000,'01 assessment'!$M133,'04 Hazards'!$R$4:$R$1000,TRUE,'04 Hazards'!$U$4:$U$1000,TRUE))</f>
        <v/>
      </c>
      <c r="AI133" t="str">
        <f>IF(OR($AG133&lt;&gt;1,$AH133&lt;=0),"",1+COUNTIFS($AG$4:$AG$1000,1,$AH$4:$AH$1000,"&gt;"&amp;$AH133)+COUNTIFS($AG$4:$AG$1000,1,$AH$4:$AH$1000,$AH133,'01 assessment'!$A$4:$A$1000,"&lt;"&amp;'01 assessment'!$A133))</f>
        <v/>
      </c>
      <c r="AJ133" t="str">
        <f>IF('01 assessment'!$M133="","",1+COUNTIFS('01 assessment'!$A$4:$A$1000,"&lt;"&amp;'01 assessment'!$A133,'01 assessment'!$M$4:$M$1000,"&lt;&gt;")+COUNTIFS('01 assessment'!$A$4:$A$1000,'01 assessment'!$A133,'01 assessment'!$B$4:$B$1000,"&gt;"&amp;'01 assessment'!$B133,'01 assessment'!$M$4:$M$1000,"&lt;&gt;")+COUNTIFS('01 assessment'!$A$4:$A$1000,'01 assessment'!$A133,'01 assessment'!$B$4:$B$1000,'01 assessment'!$B133,'01 assessment'!$M$4:$M$1000,"&lt;"&amp;'01 assessment'!$M133))</f>
        <v/>
      </c>
    </row>
    <row r="134" spans="1:36">
      <c r="A134" s="23">
        <v>111</v>
      </c>
      <c r="B134" s="25" t="str">
        <f t="shared" si="27"/>
        <v/>
      </c>
      <c r="C134" s="23" t="str">
        <f t="shared" si="28"/>
        <v/>
      </c>
      <c r="D134" s="23" t="str">
        <f t="shared" si="29"/>
        <v/>
      </c>
      <c r="E134" s="23" t="str">
        <f t="shared" si="30"/>
        <v/>
      </c>
      <c r="F134" s="23" t="str">
        <f t="shared" si="31"/>
        <v/>
      </c>
      <c r="G134" s="27" t="str">
        <f t="shared" si="32"/>
        <v/>
      </c>
      <c r="H134" s="23" t="str">
        <f t="shared" si="33"/>
        <v/>
      </c>
      <c r="I134" s="23" t="str">
        <f t="shared" si="34"/>
        <v/>
      </c>
      <c r="T134" t="str">
        <f t="shared" si="35"/>
        <v/>
      </c>
      <c r="W134" t="str">
        <f>IFERROR(INDEX('01 assessment'!$A$4:$A$1000,MATCH(ROWS($W$4:W134),$AJ$4:$AJ$1000,0)),"")</f>
        <v/>
      </c>
      <c r="X134" t="str">
        <f>IFERROR(INDEX('01 assessment'!$F$4:$F$1000,MATCH(ROWS($X$4:X134),$AJ$4:$AJ$1000,0)),"")</f>
        <v/>
      </c>
      <c r="Y134" t="str">
        <f>IFERROR(INDEX('01 assessment'!$C$4:$C$1000,MATCH(ROWS($Y$4:Y134),$AJ$4:$AJ$1000,0)),"")</f>
        <v/>
      </c>
      <c r="Z134" t="str">
        <f>IFERROR(INDEX('01 assessment'!$G$4:$G$1000,MATCH(ROWS($Z$4:Z134),$AJ$4:$AJ$1000,0)),"")</f>
        <v/>
      </c>
      <c r="AA134" t="str">
        <f>IFERROR(INDEX('01 assessment'!$H$4:$H$1000,MATCH(ROWS($AA$4:AA134),$AJ$4:$AJ$1000,0)),"")</f>
        <v/>
      </c>
      <c r="AB134" t="str">
        <f>IFERROR(INDEX('01 assessment'!$B$4:$B$1000,MATCH(ROWS($AB$4:AB134),$AJ$4:$AJ$1000,0)),"")</f>
        <v/>
      </c>
      <c r="AC134" t="str">
        <f>IFERROR(INDEX('01 assessment'!$I$4:$I$1000,MATCH(ROWS($AC$4:AC134),$AJ$4:$AJ$1000,0)),"")</f>
        <v/>
      </c>
      <c r="AD134" t="str">
        <f>IFERROR(INDEX('01 assessment'!$M$4:$M$1000,MATCH(ROWS($AD$4:AD134),$AJ$4:$AJ$1000,0)),"")</f>
        <v/>
      </c>
      <c r="AG134" t="str">
        <f>IF('01 assessment'!$M134="","",1+COUNTIFS('01 assessment'!$L$4:$L$1000,'01 assessment'!$L134,'01 assessment'!$J$4:$J$1000,"&gt;"&amp;'01 assessment'!$J134)+COUNTIFS('01 assessment'!$L$4:$L$1000,'01 assessment'!$L134,'01 assessment'!$J$4:$J$1000,'01 assessment'!$J134,'01 assessment'!$M$4:$M$1000,"&lt;"&amp;'01 assessment'!$M134))</f>
        <v/>
      </c>
      <c r="AH134" t="str">
        <f>IF(OR($AG134&lt;&gt;1,'01 assessment'!$M134=""),"",SUMIFS('04 Hazards'!$K$4:$K$1000,'04 Hazards'!$S$4:$S$1000,'01 assessment'!$M134,'04 Hazards'!$R$4:$R$1000,TRUE,'04 Hazards'!$U$4:$U$1000,TRUE))</f>
        <v/>
      </c>
      <c r="AI134" t="str">
        <f>IF(OR($AG134&lt;&gt;1,$AH134&lt;=0),"",1+COUNTIFS($AG$4:$AG$1000,1,$AH$4:$AH$1000,"&gt;"&amp;$AH134)+COUNTIFS($AG$4:$AG$1000,1,$AH$4:$AH$1000,$AH134,'01 assessment'!$A$4:$A$1000,"&lt;"&amp;'01 assessment'!$A134))</f>
        <v/>
      </c>
      <c r="AJ134" t="str">
        <f>IF('01 assessment'!$M134="","",1+COUNTIFS('01 assessment'!$A$4:$A$1000,"&lt;"&amp;'01 assessment'!$A134,'01 assessment'!$M$4:$M$1000,"&lt;&gt;")+COUNTIFS('01 assessment'!$A$4:$A$1000,'01 assessment'!$A134,'01 assessment'!$B$4:$B$1000,"&gt;"&amp;'01 assessment'!$B134,'01 assessment'!$M$4:$M$1000,"&lt;&gt;")+COUNTIFS('01 assessment'!$A$4:$A$1000,'01 assessment'!$A134,'01 assessment'!$B$4:$B$1000,'01 assessment'!$B134,'01 assessment'!$M$4:$M$1000,"&lt;"&amp;'01 assessment'!$M134))</f>
        <v/>
      </c>
    </row>
    <row r="135" spans="1:36">
      <c r="A135" s="23">
        <v>112</v>
      </c>
      <c r="B135" s="25" t="str">
        <f t="shared" si="27"/>
        <v/>
      </c>
      <c r="C135" s="23" t="str">
        <f t="shared" si="28"/>
        <v/>
      </c>
      <c r="D135" s="23" t="str">
        <f t="shared" si="29"/>
        <v/>
      </c>
      <c r="E135" s="23" t="str">
        <f t="shared" si="30"/>
        <v/>
      </c>
      <c r="F135" s="23" t="str">
        <f t="shared" si="31"/>
        <v/>
      </c>
      <c r="G135" s="27" t="str">
        <f t="shared" si="32"/>
        <v/>
      </c>
      <c r="H135" s="23" t="str">
        <f t="shared" si="33"/>
        <v/>
      </c>
      <c r="I135" s="23" t="str">
        <f t="shared" si="34"/>
        <v/>
      </c>
      <c r="T135" t="str">
        <f t="shared" si="35"/>
        <v/>
      </c>
      <c r="W135" t="str">
        <f>IFERROR(INDEX('01 assessment'!$A$4:$A$1000,MATCH(ROWS($W$4:W135),$AJ$4:$AJ$1000,0)),"")</f>
        <v/>
      </c>
      <c r="X135" t="str">
        <f>IFERROR(INDEX('01 assessment'!$F$4:$F$1000,MATCH(ROWS($X$4:X135),$AJ$4:$AJ$1000,0)),"")</f>
        <v/>
      </c>
      <c r="Y135" t="str">
        <f>IFERROR(INDEX('01 assessment'!$C$4:$C$1000,MATCH(ROWS($Y$4:Y135),$AJ$4:$AJ$1000,0)),"")</f>
        <v/>
      </c>
      <c r="Z135" t="str">
        <f>IFERROR(INDEX('01 assessment'!$G$4:$G$1000,MATCH(ROWS($Z$4:Z135),$AJ$4:$AJ$1000,0)),"")</f>
        <v/>
      </c>
      <c r="AA135" t="str">
        <f>IFERROR(INDEX('01 assessment'!$H$4:$H$1000,MATCH(ROWS($AA$4:AA135),$AJ$4:$AJ$1000,0)),"")</f>
        <v/>
      </c>
      <c r="AB135" t="str">
        <f>IFERROR(INDEX('01 assessment'!$B$4:$B$1000,MATCH(ROWS($AB$4:AB135),$AJ$4:$AJ$1000,0)),"")</f>
        <v/>
      </c>
      <c r="AC135" t="str">
        <f>IFERROR(INDEX('01 assessment'!$I$4:$I$1000,MATCH(ROWS($AC$4:AC135),$AJ$4:$AJ$1000,0)),"")</f>
        <v/>
      </c>
      <c r="AD135" t="str">
        <f>IFERROR(INDEX('01 assessment'!$M$4:$M$1000,MATCH(ROWS($AD$4:AD135),$AJ$4:$AJ$1000,0)),"")</f>
        <v/>
      </c>
      <c r="AG135" t="str">
        <f>IF('01 assessment'!$M135="","",1+COUNTIFS('01 assessment'!$L$4:$L$1000,'01 assessment'!$L135,'01 assessment'!$J$4:$J$1000,"&gt;"&amp;'01 assessment'!$J135)+COUNTIFS('01 assessment'!$L$4:$L$1000,'01 assessment'!$L135,'01 assessment'!$J$4:$J$1000,'01 assessment'!$J135,'01 assessment'!$M$4:$M$1000,"&lt;"&amp;'01 assessment'!$M135))</f>
        <v/>
      </c>
      <c r="AH135" t="str">
        <f>IF(OR($AG135&lt;&gt;1,'01 assessment'!$M135=""),"",SUMIFS('04 Hazards'!$K$4:$K$1000,'04 Hazards'!$S$4:$S$1000,'01 assessment'!$M135,'04 Hazards'!$R$4:$R$1000,TRUE,'04 Hazards'!$U$4:$U$1000,TRUE))</f>
        <v/>
      </c>
      <c r="AI135" t="str">
        <f>IF(OR($AG135&lt;&gt;1,$AH135&lt;=0),"",1+COUNTIFS($AG$4:$AG$1000,1,$AH$4:$AH$1000,"&gt;"&amp;$AH135)+COUNTIFS($AG$4:$AG$1000,1,$AH$4:$AH$1000,$AH135,'01 assessment'!$A$4:$A$1000,"&lt;"&amp;'01 assessment'!$A135))</f>
        <v/>
      </c>
      <c r="AJ135" t="str">
        <f>IF('01 assessment'!$M135="","",1+COUNTIFS('01 assessment'!$A$4:$A$1000,"&lt;"&amp;'01 assessment'!$A135,'01 assessment'!$M$4:$M$1000,"&lt;&gt;")+COUNTIFS('01 assessment'!$A$4:$A$1000,'01 assessment'!$A135,'01 assessment'!$B$4:$B$1000,"&gt;"&amp;'01 assessment'!$B135,'01 assessment'!$M$4:$M$1000,"&lt;&gt;")+COUNTIFS('01 assessment'!$A$4:$A$1000,'01 assessment'!$A135,'01 assessment'!$B$4:$B$1000,'01 assessment'!$B135,'01 assessment'!$M$4:$M$1000,"&lt;"&amp;'01 assessment'!$M135))</f>
        <v/>
      </c>
    </row>
    <row r="136" spans="1:36">
      <c r="A136" s="23">
        <v>113</v>
      </c>
      <c r="B136" s="25" t="str">
        <f t="shared" si="27"/>
        <v/>
      </c>
      <c r="C136" s="23" t="str">
        <f t="shared" si="28"/>
        <v/>
      </c>
      <c r="D136" s="23" t="str">
        <f t="shared" si="29"/>
        <v/>
      </c>
      <c r="E136" s="23" t="str">
        <f t="shared" si="30"/>
        <v/>
      </c>
      <c r="F136" s="23" t="str">
        <f t="shared" si="31"/>
        <v/>
      </c>
      <c r="G136" s="27" t="str">
        <f t="shared" si="32"/>
        <v/>
      </c>
      <c r="H136" s="23" t="str">
        <f t="shared" si="33"/>
        <v/>
      </c>
      <c r="I136" s="23" t="str">
        <f t="shared" si="34"/>
        <v/>
      </c>
      <c r="T136" t="str">
        <f t="shared" si="35"/>
        <v/>
      </c>
      <c r="W136" t="str">
        <f>IFERROR(INDEX('01 assessment'!$A$4:$A$1000,MATCH(ROWS($W$4:W136),$AJ$4:$AJ$1000,0)),"")</f>
        <v/>
      </c>
      <c r="X136" t="str">
        <f>IFERROR(INDEX('01 assessment'!$F$4:$F$1000,MATCH(ROWS($X$4:X136),$AJ$4:$AJ$1000,0)),"")</f>
        <v/>
      </c>
      <c r="Y136" t="str">
        <f>IFERROR(INDEX('01 assessment'!$C$4:$C$1000,MATCH(ROWS($Y$4:Y136),$AJ$4:$AJ$1000,0)),"")</f>
        <v/>
      </c>
      <c r="Z136" t="str">
        <f>IFERROR(INDEX('01 assessment'!$G$4:$G$1000,MATCH(ROWS($Z$4:Z136),$AJ$4:$AJ$1000,0)),"")</f>
        <v/>
      </c>
      <c r="AA136" t="str">
        <f>IFERROR(INDEX('01 assessment'!$H$4:$H$1000,MATCH(ROWS($AA$4:AA136),$AJ$4:$AJ$1000,0)),"")</f>
        <v/>
      </c>
      <c r="AB136" t="str">
        <f>IFERROR(INDEX('01 assessment'!$B$4:$B$1000,MATCH(ROWS($AB$4:AB136),$AJ$4:$AJ$1000,0)),"")</f>
        <v/>
      </c>
      <c r="AC136" t="str">
        <f>IFERROR(INDEX('01 assessment'!$I$4:$I$1000,MATCH(ROWS($AC$4:AC136),$AJ$4:$AJ$1000,0)),"")</f>
        <v/>
      </c>
      <c r="AD136" t="str">
        <f>IFERROR(INDEX('01 assessment'!$M$4:$M$1000,MATCH(ROWS($AD$4:AD136),$AJ$4:$AJ$1000,0)),"")</f>
        <v/>
      </c>
      <c r="AG136" t="str">
        <f>IF('01 assessment'!$M136="","",1+COUNTIFS('01 assessment'!$L$4:$L$1000,'01 assessment'!$L136,'01 assessment'!$J$4:$J$1000,"&gt;"&amp;'01 assessment'!$J136)+COUNTIFS('01 assessment'!$L$4:$L$1000,'01 assessment'!$L136,'01 assessment'!$J$4:$J$1000,'01 assessment'!$J136,'01 assessment'!$M$4:$M$1000,"&lt;"&amp;'01 assessment'!$M136))</f>
        <v/>
      </c>
      <c r="AH136" t="str">
        <f>IF(OR($AG136&lt;&gt;1,'01 assessment'!$M136=""),"",SUMIFS('04 Hazards'!$K$4:$K$1000,'04 Hazards'!$S$4:$S$1000,'01 assessment'!$M136,'04 Hazards'!$R$4:$R$1000,TRUE,'04 Hazards'!$U$4:$U$1000,TRUE))</f>
        <v/>
      </c>
      <c r="AI136" t="str">
        <f>IF(OR($AG136&lt;&gt;1,$AH136&lt;=0),"",1+COUNTIFS($AG$4:$AG$1000,1,$AH$4:$AH$1000,"&gt;"&amp;$AH136)+COUNTIFS($AG$4:$AG$1000,1,$AH$4:$AH$1000,$AH136,'01 assessment'!$A$4:$A$1000,"&lt;"&amp;'01 assessment'!$A136))</f>
        <v/>
      </c>
      <c r="AJ136" t="str">
        <f>IF('01 assessment'!$M136="","",1+COUNTIFS('01 assessment'!$A$4:$A$1000,"&lt;"&amp;'01 assessment'!$A136,'01 assessment'!$M$4:$M$1000,"&lt;&gt;")+COUNTIFS('01 assessment'!$A$4:$A$1000,'01 assessment'!$A136,'01 assessment'!$B$4:$B$1000,"&gt;"&amp;'01 assessment'!$B136,'01 assessment'!$M$4:$M$1000,"&lt;&gt;")+COUNTIFS('01 assessment'!$A$4:$A$1000,'01 assessment'!$A136,'01 assessment'!$B$4:$B$1000,'01 assessment'!$B136,'01 assessment'!$M$4:$M$1000,"&lt;"&amp;'01 assessment'!$M136))</f>
        <v/>
      </c>
    </row>
    <row r="137" spans="1:36">
      <c r="A137" s="23">
        <v>114</v>
      </c>
      <c r="B137" s="25" t="str">
        <f t="shared" si="27"/>
        <v/>
      </c>
      <c r="C137" s="23" t="str">
        <f t="shared" si="28"/>
        <v/>
      </c>
      <c r="D137" s="23" t="str">
        <f t="shared" si="29"/>
        <v/>
      </c>
      <c r="E137" s="23" t="str">
        <f t="shared" si="30"/>
        <v/>
      </c>
      <c r="F137" s="23" t="str">
        <f t="shared" si="31"/>
        <v/>
      </c>
      <c r="G137" s="27" t="str">
        <f t="shared" si="32"/>
        <v/>
      </c>
      <c r="H137" s="23" t="str">
        <f t="shared" si="33"/>
        <v/>
      </c>
      <c r="I137" s="23" t="str">
        <f t="shared" si="34"/>
        <v/>
      </c>
      <c r="T137" t="str">
        <f t="shared" si="35"/>
        <v/>
      </c>
      <c r="W137" t="str">
        <f>IFERROR(INDEX('01 assessment'!$A$4:$A$1000,MATCH(ROWS($W$4:W137),$AJ$4:$AJ$1000,0)),"")</f>
        <v/>
      </c>
      <c r="X137" t="str">
        <f>IFERROR(INDEX('01 assessment'!$F$4:$F$1000,MATCH(ROWS($X$4:X137),$AJ$4:$AJ$1000,0)),"")</f>
        <v/>
      </c>
      <c r="Y137" t="str">
        <f>IFERROR(INDEX('01 assessment'!$C$4:$C$1000,MATCH(ROWS($Y$4:Y137),$AJ$4:$AJ$1000,0)),"")</f>
        <v/>
      </c>
      <c r="Z137" t="str">
        <f>IFERROR(INDEX('01 assessment'!$G$4:$G$1000,MATCH(ROWS($Z$4:Z137),$AJ$4:$AJ$1000,0)),"")</f>
        <v/>
      </c>
      <c r="AA137" t="str">
        <f>IFERROR(INDEX('01 assessment'!$H$4:$H$1000,MATCH(ROWS($AA$4:AA137),$AJ$4:$AJ$1000,0)),"")</f>
        <v/>
      </c>
      <c r="AB137" t="str">
        <f>IFERROR(INDEX('01 assessment'!$B$4:$B$1000,MATCH(ROWS($AB$4:AB137),$AJ$4:$AJ$1000,0)),"")</f>
        <v/>
      </c>
      <c r="AC137" t="str">
        <f>IFERROR(INDEX('01 assessment'!$I$4:$I$1000,MATCH(ROWS($AC$4:AC137),$AJ$4:$AJ$1000,0)),"")</f>
        <v/>
      </c>
      <c r="AD137" t="str">
        <f>IFERROR(INDEX('01 assessment'!$M$4:$M$1000,MATCH(ROWS($AD$4:AD137),$AJ$4:$AJ$1000,0)),"")</f>
        <v/>
      </c>
      <c r="AG137" t="str">
        <f>IF('01 assessment'!$M137="","",1+COUNTIFS('01 assessment'!$L$4:$L$1000,'01 assessment'!$L137,'01 assessment'!$J$4:$J$1000,"&gt;"&amp;'01 assessment'!$J137)+COUNTIFS('01 assessment'!$L$4:$L$1000,'01 assessment'!$L137,'01 assessment'!$J$4:$J$1000,'01 assessment'!$J137,'01 assessment'!$M$4:$M$1000,"&lt;"&amp;'01 assessment'!$M137))</f>
        <v/>
      </c>
      <c r="AH137" t="str">
        <f>IF(OR($AG137&lt;&gt;1,'01 assessment'!$M137=""),"",SUMIFS('04 Hazards'!$K$4:$K$1000,'04 Hazards'!$S$4:$S$1000,'01 assessment'!$M137,'04 Hazards'!$R$4:$R$1000,TRUE,'04 Hazards'!$U$4:$U$1000,TRUE))</f>
        <v/>
      </c>
      <c r="AI137" t="str">
        <f>IF(OR($AG137&lt;&gt;1,$AH137&lt;=0),"",1+COUNTIFS($AG$4:$AG$1000,1,$AH$4:$AH$1000,"&gt;"&amp;$AH137)+COUNTIFS($AG$4:$AG$1000,1,$AH$4:$AH$1000,$AH137,'01 assessment'!$A$4:$A$1000,"&lt;"&amp;'01 assessment'!$A137))</f>
        <v/>
      </c>
      <c r="AJ137" t="str">
        <f>IF('01 assessment'!$M137="","",1+COUNTIFS('01 assessment'!$A$4:$A$1000,"&lt;"&amp;'01 assessment'!$A137,'01 assessment'!$M$4:$M$1000,"&lt;&gt;")+COUNTIFS('01 assessment'!$A$4:$A$1000,'01 assessment'!$A137,'01 assessment'!$B$4:$B$1000,"&gt;"&amp;'01 assessment'!$B137,'01 assessment'!$M$4:$M$1000,"&lt;&gt;")+COUNTIFS('01 assessment'!$A$4:$A$1000,'01 assessment'!$A137,'01 assessment'!$B$4:$B$1000,'01 assessment'!$B137,'01 assessment'!$M$4:$M$1000,"&lt;"&amp;'01 assessment'!$M137))</f>
        <v/>
      </c>
    </row>
    <row r="138" spans="1:36">
      <c r="A138" s="23">
        <v>115</v>
      </c>
      <c r="B138" s="25" t="str">
        <f t="shared" si="27"/>
        <v/>
      </c>
      <c r="C138" s="23" t="str">
        <f t="shared" si="28"/>
        <v/>
      </c>
      <c r="D138" s="23" t="str">
        <f t="shared" si="29"/>
        <v/>
      </c>
      <c r="E138" s="23" t="str">
        <f t="shared" si="30"/>
        <v/>
      </c>
      <c r="F138" s="23" t="str">
        <f t="shared" si="31"/>
        <v/>
      </c>
      <c r="G138" s="27" t="str">
        <f t="shared" si="32"/>
        <v/>
      </c>
      <c r="H138" s="23" t="str">
        <f t="shared" si="33"/>
        <v/>
      </c>
      <c r="I138" s="23" t="str">
        <f t="shared" si="34"/>
        <v/>
      </c>
      <c r="T138" t="str">
        <f t="shared" si="35"/>
        <v/>
      </c>
      <c r="W138" t="str">
        <f>IFERROR(INDEX('01 assessment'!$A$4:$A$1000,MATCH(ROWS($W$4:W138),$AJ$4:$AJ$1000,0)),"")</f>
        <v/>
      </c>
      <c r="X138" t="str">
        <f>IFERROR(INDEX('01 assessment'!$F$4:$F$1000,MATCH(ROWS($X$4:X138),$AJ$4:$AJ$1000,0)),"")</f>
        <v/>
      </c>
      <c r="Y138" t="str">
        <f>IFERROR(INDEX('01 assessment'!$C$4:$C$1000,MATCH(ROWS($Y$4:Y138),$AJ$4:$AJ$1000,0)),"")</f>
        <v/>
      </c>
      <c r="Z138" t="str">
        <f>IFERROR(INDEX('01 assessment'!$G$4:$G$1000,MATCH(ROWS($Z$4:Z138),$AJ$4:$AJ$1000,0)),"")</f>
        <v/>
      </c>
      <c r="AA138" t="str">
        <f>IFERROR(INDEX('01 assessment'!$H$4:$H$1000,MATCH(ROWS($AA$4:AA138),$AJ$4:$AJ$1000,0)),"")</f>
        <v/>
      </c>
      <c r="AB138" t="str">
        <f>IFERROR(INDEX('01 assessment'!$B$4:$B$1000,MATCH(ROWS($AB$4:AB138),$AJ$4:$AJ$1000,0)),"")</f>
        <v/>
      </c>
      <c r="AC138" t="str">
        <f>IFERROR(INDEX('01 assessment'!$I$4:$I$1000,MATCH(ROWS($AC$4:AC138),$AJ$4:$AJ$1000,0)),"")</f>
        <v/>
      </c>
      <c r="AD138" t="str">
        <f>IFERROR(INDEX('01 assessment'!$M$4:$M$1000,MATCH(ROWS($AD$4:AD138),$AJ$4:$AJ$1000,0)),"")</f>
        <v/>
      </c>
      <c r="AG138" t="str">
        <f>IF('01 assessment'!$M138="","",1+COUNTIFS('01 assessment'!$L$4:$L$1000,'01 assessment'!$L138,'01 assessment'!$J$4:$J$1000,"&gt;"&amp;'01 assessment'!$J138)+COUNTIFS('01 assessment'!$L$4:$L$1000,'01 assessment'!$L138,'01 assessment'!$J$4:$J$1000,'01 assessment'!$J138,'01 assessment'!$M$4:$M$1000,"&lt;"&amp;'01 assessment'!$M138))</f>
        <v/>
      </c>
      <c r="AH138" t="str">
        <f>IF(OR($AG138&lt;&gt;1,'01 assessment'!$M138=""),"",SUMIFS('04 Hazards'!$K$4:$K$1000,'04 Hazards'!$S$4:$S$1000,'01 assessment'!$M138,'04 Hazards'!$R$4:$R$1000,TRUE,'04 Hazards'!$U$4:$U$1000,TRUE))</f>
        <v/>
      </c>
      <c r="AI138" t="str">
        <f>IF(OR($AG138&lt;&gt;1,$AH138&lt;=0),"",1+COUNTIFS($AG$4:$AG$1000,1,$AH$4:$AH$1000,"&gt;"&amp;$AH138)+COUNTIFS($AG$4:$AG$1000,1,$AH$4:$AH$1000,$AH138,'01 assessment'!$A$4:$A$1000,"&lt;"&amp;'01 assessment'!$A138))</f>
        <v/>
      </c>
      <c r="AJ138" t="str">
        <f>IF('01 assessment'!$M138="","",1+COUNTIFS('01 assessment'!$A$4:$A$1000,"&lt;"&amp;'01 assessment'!$A138,'01 assessment'!$M$4:$M$1000,"&lt;&gt;")+COUNTIFS('01 assessment'!$A$4:$A$1000,'01 assessment'!$A138,'01 assessment'!$B$4:$B$1000,"&gt;"&amp;'01 assessment'!$B138,'01 assessment'!$M$4:$M$1000,"&lt;&gt;")+COUNTIFS('01 assessment'!$A$4:$A$1000,'01 assessment'!$A138,'01 assessment'!$B$4:$B$1000,'01 assessment'!$B138,'01 assessment'!$M$4:$M$1000,"&lt;"&amp;'01 assessment'!$M138))</f>
        <v/>
      </c>
    </row>
    <row r="139" spans="1:36">
      <c r="A139" s="23">
        <v>116</v>
      </c>
      <c r="B139" s="25" t="str">
        <f t="shared" si="27"/>
        <v/>
      </c>
      <c r="C139" s="23" t="str">
        <f t="shared" si="28"/>
        <v/>
      </c>
      <c r="D139" s="23" t="str">
        <f t="shared" si="29"/>
        <v/>
      </c>
      <c r="E139" s="23" t="str">
        <f t="shared" si="30"/>
        <v/>
      </c>
      <c r="F139" s="23" t="str">
        <f t="shared" si="31"/>
        <v/>
      </c>
      <c r="G139" s="27" t="str">
        <f t="shared" si="32"/>
        <v/>
      </c>
      <c r="H139" s="23" t="str">
        <f t="shared" si="33"/>
        <v/>
      </c>
      <c r="I139" s="23" t="str">
        <f t="shared" si="34"/>
        <v/>
      </c>
      <c r="T139" t="str">
        <f t="shared" si="35"/>
        <v/>
      </c>
      <c r="W139" t="str">
        <f>IFERROR(INDEX('01 assessment'!$A$4:$A$1000,MATCH(ROWS($W$4:W139),$AJ$4:$AJ$1000,0)),"")</f>
        <v/>
      </c>
      <c r="X139" t="str">
        <f>IFERROR(INDEX('01 assessment'!$F$4:$F$1000,MATCH(ROWS($X$4:X139),$AJ$4:$AJ$1000,0)),"")</f>
        <v/>
      </c>
      <c r="Y139" t="str">
        <f>IFERROR(INDEX('01 assessment'!$C$4:$C$1000,MATCH(ROWS($Y$4:Y139),$AJ$4:$AJ$1000,0)),"")</f>
        <v/>
      </c>
      <c r="Z139" t="str">
        <f>IFERROR(INDEX('01 assessment'!$G$4:$G$1000,MATCH(ROWS($Z$4:Z139),$AJ$4:$AJ$1000,0)),"")</f>
        <v/>
      </c>
      <c r="AA139" t="str">
        <f>IFERROR(INDEX('01 assessment'!$H$4:$H$1000,MATCH(ROWS($AA$4:AA139),$AJ$4:$AJ$1000,0)),"")</f>
        <v/>
      </c>
      <c r="AB139" t="str">
        <f>IFERROR(INDEX('01 assessment'!$B$4:$B$1000,MATCH(ROWS($AB$4:AB139),$AJ$4:$AJ$1000,0)),"")</f>
        <v/>
      </c>
      <c r="AC139" t="str">
        <f>IFERROR(INDEX('01 assessment'!$I$4:$I$1000,MATCH(ROWS($AC$4:AC139),$AJ$4:$AJ$1000,0)),"")</f>
        <v/>
      </c>
      <c r="AD139" t="str">
        <f>IFERROR(INDEX('01 assessment'!$M$4:$M$1000,MATCH(ROWS($AD$4:AD139),$AJ$4:$AJ$1000,0)),"")</f>
        <v/>
      </c>
      <c r="AG139" t="str">
        <f>IF('01 assessment'!$M139="","",1+COUNTIFS('01 assessment'!$L$4:$L$1000,'01 assessment'!$L139,'01 assessment'!$J$4:$J$1000,"&gt;"&amp;'01 assessment'!$J139)+COUNTIFS('01 assessment'!$L$4:$L$1000,'01 assessment'!$L139,'01 assessment'!$J$4:$J$1000,'01 assessment'!$J139,'01 assessment'!$M$4:$M$1000,"&lt;"&amp;'01 assessment'!$M139))</f>
        <v/>
      </c>
      <c r="AH139" t="str">
        <f>IF(OR($AG139&lt;&gt;1,'01 assessment'!$M139=""),"",SUMIFS('04 Hazards'!$K$4:$K$1000,'04 Hazards'!$S$4:$S$1000,'01 assessment'!$M139,'04 Hazards'!$R$4:$R$1000,TRUE,'04 Hazards'!$U$4:$U$1000,TRUE))</f>
        <v/>
      </c>
      <c r="AI139" t="str">
        <f>IF(OR($AG139&lt;&gt;1,$AH139&lt;=0),"",1+COUNTIFS($AG$4:$AG$1000,1,$AH$4:$AH$1000,"&gt;"&amp;$AH139)+COUNTIFS($AG$4:$AG$1000,1,$AH$4:$AH$1000,$AH139,'01 assessment'!$A$4:$A$1000,"&lt;"&amp;'01 assessment'!$A139))</f>
        <v/>
      </c>
      <c r="AJ139" t="str">
        <f>IF('01 assessment'!$M139="","",1+COUNTIFS('01 assessment'!$A$4:$A$1000,"&lt;"&amp;'01 assessment'!$A139,'01 assessment'!$M$4:$M$1000,"&lt;&gt;")+COUNTIFS('01 assessment'!$A$4:$A$1000,'01 assessment'!$A139,'01 assessment'!$B$4:$B$1000,"&gt;"&amp;'01 assessment'!$B139,'01 assessment'!$M$4:$M$1000,"&lt;&gt;")+COUNTIFS('01 assessment'!$A$4:$A$1000,'01 assessment'!$A139,'01 assessment'!$B$4:$B$1000,'01 assessment'!$B139,'01 assessment'!$M$4:$M$1000,"&lt;"&amp;'01 assessment'!$M139))</f>
        <v/>
      </c>
    </row>
    <row r="140" spans="1:36">
      <c r="A140" s="23">
        <v>117</v>
      </c>
      <c r="B140" s="25" t="str">
        <f t="shared" si="27"/>
        <v/>
      </c>
      <c r="C140" s="23" t="str">
        <f t="shared" si="28"/>
        <v/>
      </c>
      <c r="D140" s="23" t="str">
        <f t="shared" si="29"/>
        <v/>
      </c>
      <c r="E140" s="23" t="str">
        <f t="shared" si="30"/>
        <v/>
      </c>
      <c r="F140" s="23" t="str">
        <f t="shared" si="31"/>
        <v/>
      </c>
      <c r="G140" s="27" t="str">
        <f t="shared" si="32"/>
        <v/>
      </c>
      <c r="H140" s="23" t="str">
        <f t="shared" si="33"/>
        <v/>
      </c>
      <c r="I140" s="23" t="str">
        <f t="shared" si="34"/>
        <v/>
      </c>
      <c r="T140" t="str">
        <f t="shared" si="35"/>
        <v/>
      </c>
      <c r="W140" t="str">
        <f>IFERROR(INDEX('01 assessment'!$A$4:$A$1000,MATCH(ROWS($W$4:W140),$AJ$4:$AJ$1000,0)),"")</f>
        <v/>
      </c>
      <c r="X140" t="str">
        <f>IFERROR(INDEX('01 assessment'!$F$4:$F$1000,MATCH(ROWS($X$4:X140),$AJ$4:$AJ$1000,0)),"")</f>
        <v/>
      </c>
      <c r="Y140" t="str">
        <f>IFERROR(INDEX('01 assessment'!$C$4:$C$1000,MATCH(ROWS($Y$4:Y140),$AJ$4:$AJ$1000,0)),"")</f>
        <v/>
      </c>
      <c r="Z140" t="str">
        <f>IFERROR(INDEX('01 assessment'!$G$4:$G$1000,MATCH(ROWS($Z$4:Z140),$AJ$4:$AJ$1000,0)),"")</f>
        <v/>
      </c>
      <c r="AA140" t="str">
        <f>IFERROR(INDEX('01 assessment'!$H$4:$H$1000,MATCH(ROWS($AA$4:AA140),$AJ$4:$AJ$1000,0)),"")</f>
        <v/>
      </c>
      <c r="AB140" t="str">
        <f>IFERROR(INDEX('01 assessment'!$B$4:$B$1000,MATCH(ROWS($AB$4:AB140),$AJ$4:$AJ$1000,0)),"")</f>
        <v/>
      </c>
      <c r="AC140" t="str">
        <f>IFERROR(INDEX('01 assessment'!$I$4:$I$1000,MATCH(ROWS($AC$4:AC140),$AJ$4:$AJ$1000,0)),"")</f>
        <v/>
      </c>
      <c r="AD140" t="str">
        <f>IFERROR(INDEX('01 assessment'!$M$4:$M$1000,MATCH(ROWS($AD$4:AD140),$AJ$4:$AJ$1000,0)),"")</f>
        <v/>
      </c>
      <c r="AG140" t="str">
        <f>IF('01 assessment'!$M140="","",1+COUNTIFS('01 assessment'!$L$4:$L$1000,'01 assessment'!$L140,'01 assessment'!$J$4:$J$1000,"&gt;"&amp;'01 assessment'!$J140)+COUNTIFS('01 assessment'!$L$4:$L$1000,'01 assessment'!$L140,'01 assessment'!$J$4:$J$1000,'01 assessment'!$J140,'01 assessment'!$M$4:$M$1000,"&lt;"&amp;'01 assessment'!$M140))</f>
        <v/>
      </c>
      <c r="AH140" t="str">
        <f>IF(OR($AG140&lt;&gt;1,'01 assessment'!$M140=""),"",SUMIFS('04 Hazards'!$K$4:$K$1000,'04 Hazards'!$S$4:$S$1000,'01 assessment'!$M140,'04 Hazards'!$R$4:$R$1000,TRUE,'04 Hazards'!$U$4:$U$1000,TRUE))</f>
        <v/>
      </c>
      <c r="AI140" t="str">
        <f>IF(OR($AG140&lt;&gt;1,$AH140&lt;=0),"",1+COUNTIFS($AG$4:$AG$1000,1,$AH$4:$AH$1000,"&gt;"&amp;$AH140)+COUNTIFS($AG$4:$AG$1000,1,$AH$4:$AH$1000,$AH140,'01 assessment'!$A$4:$A$1000,"&lt;"&amp;'01 assessment'!$A140))</f>
        <v/>
      </c>
      <c r="AJ140" t="str">
        <f>IF('01 assessment'!$M140="","",1+COUNTIFS('01 assessment'!$A$4:$A$1000,"&lt;"&amp;'01 assessment'!$A140,'01 assessment'!$M$4:$M$1000,"&lt;&gt;")+COUNTIFS('01 assessment'!$A$4:$A$1000,'01 assessment'!$A140,'01 assessment'!$B$4:$B$1000,"&gt;"&amp;'01 assessment'!$B140,'01 assessment'!$M$4:$M$1000,"&lt;&gt;")+COUNTIFS('01 assessment'!$A$4:$A$1000,'01 assessment'!$A140,'01 assessment'!$B$4:$B$1000,'01 assessment'!$B140,'01 assessment'!$M$4:$M$1000,"&lt;"&amp;'01 assessment'!$M140))</f>
        <v/>
      </c>
    </row>
    <row r="141" spans="1:36">
      <c r="A141" s="23">
        <v>118</v>
      </c>
      <c r="B141" s="25" t="str">
        <f t="shared" si="27"/>
        <v/>
      </c>
      <c r="C141" s="23" t="str">
        <f t="shared" si="28"/>
        <v/>
      </c>
      <c r="D141" s="23" t="str">
        <f t="shared" si="29"/>
        <v/>
      </c>
      <c r="E141" s="23" t="str">
        <f t="shared" si="30"/>
        <v/>
      </c>
      <c r="F141" s="23" t="str">
        <f t="shared" si="31"/>
        <v/>
      </c>
      <c r="G141" s="27" t="str">
        <f t="shared" si="32"/>
        <v/>
      </c>
      <c r="H141" s="23" t="str">
        <f t="shared" si="33"/>
        <v/>
      </c>
      <c r="I141" s="23" t="str">
        <f t="shared" si="34"/>
        <v/>
      </c>
      <c r="T141" t="str">
        <f t="shared" si="35"/>
        <v/>
      </c>
      <c r="W141" t="str">
        <f>IFERROR(INDEX('01 assessment'!$A$4:$A$1000,MATCH(ROWS($W$4:W141),$AJ$4:$AJ$1000,0)),"")</f>
        <v/>
      </c>
      <c r="X141" t="str">
        <f>IFERROR(INDEX('01 assessment'!$F$4:$F$1000,MATCH(ROWS($X$4:X141),$AJ$4:$AJ$1000,0)),"")</f>
        <v/>
      </c>
      <c r="Y141" t="str">
        <f>IFERROR(INDEX('01 assessment'!$C$4:$C$1000,MATCH(ROWS($Y$4:Y141),$AJ$4:$AJ$1000,0)),"")</f>
        <v/>
      </c>
      <c r="Z141" t="str">
        <f>IFERROR(INDEX('01 assessment'!$G$4:$G$1000,MATCH(ROWS($Z$4:Z141),$AJ$4:$AJ$1000,0)),"")</f>
        <v/>
      </c>
      <c r="AA141" t="str">
        <f>IFERROR(INDEX('01 assessment'!$H$4:$H$1000,MATCH(ROWS($AA$4:AA141),$AJ$4:$AJ$1000,0)),"")</f>
        <v/>
      </c>
      <c r="AB141" t="str">
        <f>IFERROR(INDEX('01 assessment'!$B$4:$B$1000,MATCH(ROWS($AB$4:AB141),$AJ$4:$AJ$1000,0)),"")</f>
        <v/>
      </c>
      <c r="AC141" t="str">
        <f>IFERROR(INDEX('01 assessment'!$I$4:$I$1000,MATCH(ROWS($AC$4:AC141),$AJ$4:$AJ$1000,0)),"")</f>
        <v/>
      </c>
      <c r="AD141" t="str">
        <f>IFERROR(INDEX('01 assessment'!$M$4:$M$1000,MATCH(ROWS($AD$4:AD141),$AJ$4:$AJ$1000,0)),"")</f>
        <v/>
      </c>
      <c r="AG141" t="str">
        <f>IF('01 assessment'!$M141="","",1+COUNTIFS('01 assessment'!$L$4:$L$1000,'01 assessment'!$L141,'01 assessment'!$J$4:$J$1000,"&gt;"&amp;'01 assessment'!$J141)+COUNTIFS('01 assessment'!$L$4:$L$1000,'01 assessment'!$L141,'01 assessment'!$J$4:$J$1000,'01 assessment'!$J141,'01 assessment'!$M$4:$M$1000,"&lt;"&amp;'01 assessment'!$M141))</f>
        <v/>
      </c>
      <c r="AH141" t="str">
        <f>IF(OR($AG141&lt;&gt;1,'01 assessment'!$M141=""),"",SUMIFS('04 Hazards'!$K$4:$K$1000,'04 Hazards'!$S$4:$S$1000,'01 assessment'!$M141,'04 Hazards'!$R$4:$R$1000,TRUE,'04 Hazards'!$U$4:$U$1000,TRUE))</f>
        <v/>
      </c>
      <c r="AI141" t="str">
        <f>IF(OR($AG141&lt;&gt;1,$AH141&lt;=0),"",1+COUNTIFS($AG$4:$AG$1000,1,$AH$4:$AH$1000,"&gt;"&amp;$AH141)+COUNTIFS($AG$4:$AG$1000,1,$AH$4:$AH$1000,$AH141,'01 assessment'!$A$4:$A$1000,"&lt;"&amp;'01 assessment'!$A141))</f>
        <v/>
      </c>
      <c r="AJ141" t="str">
        <f>IF('01 assessment'!$M141="","",1+COUNTIFS('01 assessment'!$A$4:$A$1000,"&lt;"&amp;'01 assessment'!$A141,'01 assessment'!$M$4:$M$1000,"&lt;&gt;")+COUNTIFS('01 assessment'!$A$4:$A$1000,'01 assessment'!$A141,'01 assessment'!$B$4:$B$1000,"&gt;"&amp;'01 assessment'!$B141,'01 assessment'!$M$4:$M$1000,"&lt;&gt;")+COUNTIFS('01 assessment'!$A$4:$A$1000,'01 assessment'!$A141,'01 assessment'!$B$4:$B$1000,'01 assessment'!$B141,'01 assessment'!$M$4:$M$1000,"&lt;"&amp;'01 assessment'!$M141))</f>
        <v/>
      </c>
    </row>
    <row r="142" spans="1:36">
      <c r="A142" s="23">
        <v>119</v>
      </c>
      <c r="B142" s="25" t="str">
        <f t="shared" si="27"/>
        <v/>
      </c>
      <c r="C142" s="23" t="str">
        <f t="shared" si="28"/>
        <v/>
      </c>
      <c r="D142" s="23" t="str">
        <f t="shared" si="29"/>
        <v/>
      </c>
      <c r="E142" s="23" t="str">
        <f t="shared" si="30"/>
        <v/>
      </c>
      <c r="F142" s="23" t="str">
        <f t="shared" si="31"/>
        <v/>
      </c>
      <c r="G142" s="27" t="str">
        <f t="shared" si="32"/>
        <v/>
      </c>
      <c r="H142" s="23" t="str">
        <f t="shared" si="33"/>
        <v/>
      </c>
      <c r="I142" s="23" t="str">
        <f t="shared" si="34"/>
        <v/>
      </c>
      <c r="T142" t="str">
        <f t="shared" si="35"/>
        <v/>
      </c>
      <c r="W142" t="str">
        <f>IFERROR(INDEX('01 assessment'!$A$4:$A$1000,MATCH(ROWS($W$4:W142),$AJ$4:$AJ$1000,0)),"")</f>
        <v/>
      </c>
      <c r="X142" t="str">
        <f>IFERROR(INDEX('01 assessment'!$F$4:$F$1000,MATCH(ROWS($X$4:X142),$AJ$4:$AJ$1000,0)),"")</f>
        <v/>
      </c>
      <c r="Y142" t="str">
        <f>IFERROR(INDEX('01 assessment'!$C$4:$C$1000,MATCH(ROWS($Y$4:Y142),$AJ$4:$AJ$1000,0)),"")</f>
        <v/>
      </c>
      <c r="Z142" t="str">
        <f>IFERROR(INDEX('01 assessment'!$G$4:$G$1000,MATCH(ROWS($Z$4:Z142),$AJ$4:$AJ$1000,0)),"")</f>
        <v/>
      </c>
      <c r="AA142" t="str">
        <f>IFERROR(INDEX('01 assessment'!$H$4:$H$1000,MATCH(ROWS($AA$4:AA142),$AJ$4:$AJ$1000,0)),"")</f>
        <v/>
      </c>
      <c r="AB142" t="str">
        <f>IFERROR(INDEX('01 assessment'!$B$4:$B$1000,MATCH(ROWS($AB$4:AB142),$AJ$4:$AJ$1000,0)),"")</f>
        <v/>
      </c>
      <c r="AC142" t="str">
        <f>IFERROR(INDEX('01 assessment'!$I$4:$I$1000,MATCH(ROWS($AC$4:AC142),$AJ$4:$AJ$1000,0)),"")</f>
        <v/>
      </c>
      <c r="AD142" t="str">
        <f>IFERROR(INDEX('01 assessment'!$M$4:$M$1000,MATCH(ROWS($AD$4:AD142),$AJ$4:$AJ$1000,0)),"")</f>
        <v/>
      </c>
      <c r="AG142" t="str">
        <f>IF('01 assessment'!$M142="","",1+COUNTIFS('01 assessment'!$L$4:$L$1000,'01 assessment'!$L142,'01 assessment'!$J$4:$J$1000,"&gt;"&amp;'01 assessment'!$J142)+COUNTIFS('01 assessment'!$L$4:$L$1000,'01 assessment'!$L142,'01 assessment'!$J$4:$J$1000,'01 assessment'!$J142,'01 assessment'!$M$4:$M$1000,"&lt;"&amp;'01 assessment'!$M142))</f>
        <v/>
      </c>
      <c r="AH142" t="str">
        <f>IF(OR($AG142&lt;&gt;1,'01 assessment'!$M142=""),"",SUMIFS('04 Hazards'!$K$4:$K$1000,'04 Hazards'!$S$4:$S$1000,'01 assessment'!$M142,'04 Hazards'!$R$4:$R$1000,TRUE,'04 Hazards'!$U$4:$U$1000,TRUE))</f>
        <v/>
      </c>
      <c r="AI142" t="str">
        <f>IF(OR($AG142&lt;&gt;1,$AH142&lt;=0),"",1+COUNTIFS($AG$4:$AG$1000,1,$AH$4:$AH$1000,"&gt;"&amp;$AH142)+COUNTIFS($AG$4:$AG$1000,1,$AH$4:$AH$1000,$AH142,'01 assessment'!$A$4:$A$1000,"&lt;"&amp;'01 assessment'!$A142))</f>
        <v/>
      </c>
      <c r="AJ142" t="str">
        <f>IF('01 assessment'!$M142="","",1+COUNTIFS('01 assessment'!$A$4:$A$1000,"&lt;"&amp;'01 assessment'!$A142,'01 assessment'!$M$4:$M$1000,"&lt;&gt;")+COUNTIFS('01 assessment'!$A$4:$A$1000,'01 assessment'!$A142,'01 assessment'!$B$4:$B$1000,"&gt;"&amp;'01 assessment'!$B142,'01 assessment'!$M$4:$M$1000,"&lt;&gt;")+COUNTIFS('01 assessment'!$A$4:$A$1000,'01 assessment'!$A142,'01 assessment'!$B$4:$B$1000,'01 assessment'!$B142,'01 assessment'!$M$4:$M$1000,"&lt;"&amp;'01 assessment'!$M142))</f>
        <v/>
      </c>
    </row>
    <row r="143" spans="1:36">
      <c r="A143" s="23">
        <v>120</v>
      </c>
      <c r="B143" s="25" t="str">
        <f t="shared" si="27"/>
        <v/>
      </c>
      <c r="C143" s="23" t="str">
        <f t="shared" si="28"/>
        <v/>
      </c>
      <c r="D143" s="23" t="str">
        <f t="shared" si="29"/>
        <v/>
      </c>
      <c r="E143" s="23" t="str">
        <f t="shared" si="30"/>
        <v/>
      </c>
      <c r="F143" s="23" t="str">
        <f t="shared" si="31"/>
        <v/>
      </c>
      <c r="G143" s="27" t="str">
        <f t="shared" si="32"/>
        <v/>
      </c>
      <c r="H143" s="23" t="str">
        <f t="shared" si="33"/>
        <v/>
      </c>
      <c r="I143" s="23" t="str">
        <f t="shared" si="34"/>
        <v/>
      </c>
      <c r="T143" t="str">
        <f t="shared" si="35"/>
        <v/>
      </c>
      <c r="W143" t="str">
        <f>IFERROR(INDEX('01 assessment'!$A$4:$A$1000,MATCH(ROWS($W$4:W143),$AJ$4:$AJ$1000,0)),"")</f>
        <v/>
      </c>
      <c r="X143" t="str">
        <f>IFERROR(INDEX('01 assessment'!$F$4:$F$1000,MATCH(ROWS($X$4:X143),$AJ$4:$AJ$1000,0)),"")</f>
        <v/>
      </c>
      <c r="Y143" t="str">
        <f>IFERROR(INDEX('01 assessment'!$C$4:$C$1000,MATCH(ROWS($Y$4:Y143),$AJ$4:$AJ$1000,0)),"")</f>
        <v/>
      </c>
      <c r="Z143" t="str">
        <f>IFERROR(INDEX('01 assessment'!$G$4:$G$1000,MATCH(ROWS($Z$4:Z143),$AJ$4:$AJ$1000,0)),"")</f>
        <v/>
      </c>
      <c r="AA143" t="str">
        <f>IFERROR(INDEX('01 assessment'!$H$4:$H$1000,MATCH(ROWS($AA$4:AA143),$AJ$4:$AJ$1000,0)),"")</f>
        <v/>
      </c>
      <c r="AB143" t="str">
        <f>IFERROR(INDEX('01 assessment'!$B$4:$B$1000,MATCH(ROWS($AB$4:AB143),$AJ$4:$AJ$1000,0)),"")</f>
        <v/>
      </c>
      <c r="AC143" t="str">
        <f>IFERROR(INDEX('01 assessment'!$I$4:$I$1000,MATCH(ROWS($AC$4:AC143),$AJ$4:$AJ$1000,0)),"")</f>
        <v/>
      </c>
      <c r="AD143" t="str">
        <f>IFERROR(INDEX('01 assessment'!$M$4:$M$1000,MATCH(ROWS($AD$4:AD143),$AJ$4:$AJ$1000,0)),"")</f>
        <v/>
      </c>
      <c r="AG143" t="str">
        <f>IF('01 assessment'!$M143="","",1+COUNTIFS('01 assessment'!$L$4:$L$1000,'01 assessment'!$L143,'01 assessment'!$J$4:$J$1000,"&gt;"&amp;'01 assessment'!$J143)+COUNTIFS('01 assessment'!$L$4:$L$1000,'01 assessment'!$L143,'01 assessment'!$J$4:$J$1000,'01 assessment'!$J143,'01 assessment'!$M$4:$M$1000,"&lt;"&amp;'01 assessment'!$M143))</f>
        <v/>
      </c>
      <c r="AH143" t="str">
        <f>IF(OR($AG143&lt;&gt;1,'01 assessment'!$M143=""),"",SUMIFS('04 Hazards'!$K$4:$K$1000,'04 Hazards'!$S$4:$S$1000,'01 assessment'!$M143,'04 Hazards'!$R$4:$R$1000,TRUE,'04 Hazards'!$U$4:$U$1000,TRUE))</f>
        <v/>
      </c>
      <c r="AI143" t="str">
        <f>IF(OR($AG143&lt;&gt;1,$AH143&lt;=0),"",1+COUNTIFS($AG$4:$AG$1000,1,$AH$4:$AH$1000,"&gt;"&amp;$AH143)+COUNTIFS($AG$4:$AG$1000,1,$AH$4:$AH$1000,$AH143,'01 assessment'!$A$4:$A$1000,"&lt;"&amp;'01 assessment'!$A143))</f>
        <v/>
      </c>
      <c r="AJ143" t="str">
        <f>IF('01 assessment'!$M143="","",1+COUNTIFS('01 assessment'!$A$4:$A$1000,"&lt;"&amp;'01 assessment'!$A143,'01 assessment'!$M$4:$M$1000,"&lt;&gt;")+COUNTIFS('01 assessment'!$A$4:$A$1000,'01 assessment'!$A143,'01 assessment'!$B$4:$B$1000,"&gt;"&amp;'01 assessment'!$B143,'01 assessment'!$M$4:$M$1000,"&lt;&gt;")+COUNTIFS('01 assessment'!$A$4:$A$1000,'01 assessment'!$A143,'01 assessment'!$B$4:$B$1000,'01 assessment'!$B143,'01 assessment'!$M$4:$M$1000,"&lt;"&amp;'01 assessment'!$M143))</f>
        <v/>
      </c>
    </row>
    <row r="144" spans="1:36">
      <c r="A144" s="23">
        <v>121</v>
      </c>
      <c r="B144" s="25" t="str">
        <f t="shared" si="27"/>
        <v/>
      </c>
      <c r="C144" s="23" t="str">
        <f t="shared" si="28"/>
        <v/>
      </c>
      <c r="D144" s="23" t="str">
        <f t="shared" si="29"/>
        <v/>
      </c>
      <c r="E144" s="23" t="str">
        <f t="shared" si="30"/>
        <v/>
      </c>
      <c r="F144" s="23" t="str">
        <f t="shared" si="31"/>
        <v/>
      </c>
      <c r="G144" s="27" t="str">
        <f t="shared" si="32"/>
        <v/>
      </c>
      <c r="H144" s="23" t="str">
        <f t="shared" si="33"/>
        <v/>
      </c>
      <c r="I144" s="23" t="str">
        <f t="shared" si="34"/>
        <v/>
      </c>
      <c r="T144" t="str">
        <f t="shared" si="35"/>
        <v/>
      </c>
      <c r="W144" t="str">
        <f>IFERROR(INDEX('01 assessment'!$A$4:$A$1000,MATCH(ROWS($W$4:W144),$AJ$4:$AJ$1000,0)),"")</f>
        <v/>
      </c>
      <c r="X144" t="str">
        <f>IFERROR(INDEX('01 assessment'!$F$4:$F$1000,MATCH(ROWS($X$4:X144),$AJ$4:$AJ$1000,0)),"")</f>
        <v/>
      </c>
      <c r="Y144" t="str">
        <f>IFERROR(INDEX('01 assessment'!$C$4:$C$1000,MATCH(ROWS($Y$4:Y144),$AJ$4:$AJ$1000,0)),"")</f>
        <v/>
      </c>
      <c r="Z144" t="str">
        <f>IFERROR(INDEX('01 assessment'!$G$4:$G$1000,MATCH(ROWS($Z$4:Z144),$AJ$4:$AJ$1000,0)),"")</f>
        <v/>
      </c>
      <c r="AA144" t="str">
        <f>IFERROR(INDEX('01 assessment'!$H$4:$H$1000,MATCH(ROWS($AA$4:AA144),$AJ$4:$AJ$1000,0)),"")</f>
        <v/>
      </c>
      <c r="AB144" t="str">
        <f>IFERROR(INDEX('01 assessment'!$B$4:$B$1000,MATCH(ROWS($AB$4:AB144),$AJ$4:$AJ$1000,0)),"")</f>
        <v/>
      </c>
      <c r="AC144" t="str">
        <f>IFERROR(INDEX('01 assessment'!$I$4:$I$1000,MATCH(ROWS($AC$4:AC144),$AJ$4:$AJ$1000,0)),"")</f>
        <v/>
      </c>
      <c r="AD144" t="str">
        <f>IFERROR(INDEX('01 assessment'!$M$4:$M$1000,MATCH(ROWS($AD$4:AD144),$AJ$4:$AJ$1000,0)),"")</f>
        <v/>
      </c>
      <c r="AG144" t="str">
        <f>IF('01 assessment'!$M144="","",1+COUNTIFS('01 assessment'!$L$4:$L$1000,'01 assessment'!$L144,'01 assessment'!$J$4:$J$1000,"&gt;"&amp;'01 assessment'!$J144)+COUNTIFS('01 assessment'!$L$4:$L$1000,'01 assessment'!$L144,'01 assessment'!$J$4:$J$1000,'01 assessment'!$J144,'01 assessment'!$M$4:$M$1000,"&lt;"&amp;'01 assessment'!$M144))</f>
        <v/>
      </c>
      <c r="AH144" t="str">
        <f>IF(OR($AG144&lt;&gt;1,'01 assessment'!$M144=""),"",SUMIFS('04 Hazards'!$K$4:$K$1000,'04 Hazards'!$S$4:$S$1000,'01 assessment'!$M144,'04 Hazards'!$R$4:$R$1000,TRUE,'04 Hazards'!$U$4:$U$1000,TRUE))</f>
        <v/>
      </c>
      <c r="AI144" t="str">
        <f>IF(OR($AG144&lt;&gt;1,$AH144&lt;=0),"",1+COUNTIFS($AG$4:$AG$1000,1,$AH$4:$AH$1000,"&gt;"&amp;$AH144)+COUNTIFS($AG$4:$AG$1000,1,$AH$4:$AH$1000,$AH144,'01 assessment'!$A$4:$A$1000,"&lt;"&amp;'01 assessment'!$A144))</f>
        <v/>
      </c>
      <c r="AJ144" t="str">
        <f>IF('01 assessment'!$M144="","",1+COUNTIFS('01 assessment'!$A$4:$A$1000,"&lt;"&amp;'01 assessment'!$A144,'01 assessment'!$M$4:$M$1000,"&lt;&gt;")+COUNTIFS('01 assessment'!$A$4:$A$1000,'01 assessment'!$A144,'01 assessment'!$B$4:$B$1000,"&gt;"&amp;'01 assessment'!$B144,'01 assessment'!$M$4:$M$1000,"&lt;&gt;")+COUNTIFS('01 assessment'!$A$4:$A$1000,'01 assessment'!$A144,'01 assessment'!$B$4:$B$1000,'01 assessment'!$B144,'01 assessment'!$M$4:$M$1000,"&lt;"&amp;'01 assessment'!$M144))</f>
        <v/>
      </c>
    </row>
    <row r="145" spans="1:36">
      <c r="A145" s="23">
        <v>122</v>
      </c>
      <c r="B145" s="25" t="str">
        <f t="shared" si="27"/>
        <v/>
      </c>
      <c r="C145" s="23" t="str">
        <f t="shared" si="28"/>
        <v/>
      </c>
      <c r="D145" s="23" t="str">
        <f t="shared" si="29"/>
        <v/>
      </c>
      <c r="E145" s="23" t="str">
        <f t="shared" si="30"/>
        <v/>
      </c>
      <c r="F145" s="23" t="str">
        <f t="shared" si="31"/>
        <v/>
      </c>
      <c r="G145" s="27" t="str">
        <f t="shared" si="32"/>
        <v/>
      </c>
      <c r="H145" s="23" t="str">
        <f t="shared" si="33"/>
        <v/>
      </c>
      <c r="I145" s="23" t="str">
        <f t="shared" si="34"/>
        <v/>
      </c>
      <c r="T145" t="str">
        <f t="shared" si="35"/>
        <v/>
      </c>
      <c r="W145" t="str">
        <f>IFERROR(INDEX('01 assessment'!$A$4:$A$1000,MATCH(ROWS($W$4:W145),$AJ$4:$AJ$1000,0)),"")</f>
        <v/>
      </c>
      <c r="X145" t="str">
        <f>IFERROR(INDEX('01 assessment'!$F$4:$F$1000,MATCH(ROWS($X$4:X145),$AJ$4:$AJ$1000,0)),"")</f>
        <v/>
      </c>
      <c r="Y145" t="str">
        <f>IFERROR(INDEX('01 assessment'!$C$4:$C$1000,MATCH(ROWS($Y$4:Y145),$AJ$4:$AJ$1000,0)),"")</f>
        <v/>
      </c>
      <c r="Z145" t="str">
        <f>IFERROR(INDEX('01 assessment'!$G$4:$G$1000,MATCH(ROWS($Z$4:Z145),$AJ$4:$AJ$1000,0)),"")</f>
        <v/>
      </c>
      <c r="AA145" t="str">
        <f>IFERROR(INDEX('01 assessment'!$H$4:$H$1000,MATCH(ROWS($AA$4:AA145),$AJ$4:$AJ$1000,0)),"")</f>
        <v/>
      </c>
      <c r="AB145" t="str">
        <f>IFERROR(INDEX('01 assessment'!$B$4:$B$1000,MATCH(ROWS($AB$4:AB145),$AJ$4:$AJ$1000,0)),"")</f>
        <v/>
      </c>
      <c r="AC145" t="str">
        <f>IFERROR(INDEX('01 assessment'!$I$4:$I$1000,MATCH(ROWS($AC$4:AC145),$AJ$4:$AJ$1000,0)),"")</f>
        <v/>
      </c>
      <c r="AD145" t="str">
        <f>IFERROR(INDEX('01 assessment'!$M$4:$M$1000,MATCH(ROWS($AD$4:AD145),$AJ$4:$AJ$1000,0)),"")</f>
        <v/>
      </c>
      <c r="AG145" t="str">
        <f>IF('01 assessment'!$M145="","",1+COUNTIFS('01 assessment'!$L$4:$L$1000,'01 assessment'!$L145,'01 assessment'!$J$4:$J$1000,"&gt;"&amp;'01 assessment'!$J145)+COUNTIFS('01 assessment'!$L$4:$L$1000,'01 assessment'!$L145,'01 assessment'!$J$4:$J$1000,'01 assessment'!$J145,'01 assessment'!$M$4:$M$1000,"&lt;"&amp;'01 assessment'!$M145))</f>
        <v/>
      </c>
      <c r="AH145" t="str">
        <f>IF(OR($AG145&lt;&gt;1,'01 assessment'!$M145=""),"",SUMIFS('04 Hazards'!$K$4:$K$1000,'04 Hazards'!$S$4:$S$1000,'01 assessment'!$M145,'04 Hazards'!$R$4:$R$1000,TRUE,'04 Hazards'!$U$4:$U$1000,TRUE))</f>
        <v/>
      </c>
      <c r="AI145" t="str">
        <f>IF(OR($AG145&lt;&gt;1,$AH145&lt;=0),"",1+COUNTIFS($AG$4:$AG$1000,1,$AH$4:$AH$1000,"&gt;"&amp;$AH145)+COUNTIFS($AG$4:$AG$1000,1,$AH$4:$AH$1000,$AH145,'01 assessment'!$A$4:$A$1000,"&lt;"&amp;'01 assessment'!$A145))</f>
        <v/>
      </c>
      <c r="AJ145" t="str">
        <f>IF('01 assessment'!$M145="","",1+COUNTIFS('01 assessment'!$A$4:$A$1000,"&lt;"&amp;'01 assessment'!$A145,'01 assessment'!$M$4:$M$1000,"&lt;&gt;")+COUNTIFS('01 assessment'!$A$4:$A$1000,'01 assessment'!$A145,'01 assessment'!$B$4:$B$1000,"&gt;"&amp;'01 assessment'!$B145,'01 assessment'!$M$4:$M$1000,"&lt;&gt;")+COUNTIFS('01 assessment'!$A$4:$A$1000,'01 assessment'!$A145,'01 assessment'!$B$4:$B$1000,'01 assessment'!$B145,'01 assessment'!$M$4:$M$1000,"&lt;"&amp;'01 assessment'!$M145))</f>
        <v/>
      </c>
    </row>
    <row r="146" spans="1:36">
      <c r="A146" s="23">
        <v>123</v>
      </c>
      <c r="B146" s="25" t="str">
        <f t="shared" si="27"/>
        <v/>
      </c>
      <c r="C146" s="23" t="str">
        <f t="shared" si="28"/>
        <v/>
      </c>
      <c r="D146" s="23" t="str">
        <f t="shared" si="29"/>
        <v/>
      </c>
      <c r="E146" s="23" t="str">
        <f t="shared" si="30"/>
        <v/>
      </c>
      <c r="F146" s="23" t="str">
        <f t="shared" si="31"/>
        <v/>
      </c>
      <c r="G146" s="27" t="str">
        <f t="shared" si="32"/>
        <v/>
      </c>
      <c r="H146" s="23" t="str">
        <f t="shared" si="33"/>
        <v/>
      </c>
      <c r="I146" s="23" t="str">
        <f t="shared" si="34"/>
        <v/>
      </c>
      <c r="T146" t="str">
        <f t="shared" si="35"/>
        <v/>
      </c>
      <c r="W146" t="str">
        <f>IFERROR(INDEX('01 assessment'!$A$4:$A$1000,MATCH(ROWS($W$4:W146),$AJ$4:$AJ$1000,0)),"")</f>
        <v/>
      </c>
      <c r="X146" t="str">
        <f>IFERROR(INDEX('01 assessment'!$F$4:$F$1000,MATCH(ROWS($X$4:X146),$AJ$4:$AJ$1000,0)),"")</f>
        <v/>
      </c>
      <c r="Y146" t="str">
        <f>IFERROR(INDEX('01 assessment'!$C$4:$C$1000,MATCH(ROWS($Y$4:Y146),$AJ$4:$AJ$1000,0)),"")</f>
        <v/>
      </c>
      <c r="Z146" t="str">
        <f>IFERROR(INDEX('01 assessment'!$G$4:$G$1000,MATCH(ROWS($Z$4:Z146),$AJ$4:$AJ$1000,0)),"")</f>
        <v/>
      </c>
      <c r="AA146" t="str">
        <f>IFERROR(INDEX('01 assessment'!$H$4:$H$1000,MATCH(ROWS($AA$4:AA146),$AJ$4:$AJ$1000,0)),"")</f>
        <v/>
      </c>
      <c r="AB146" t="str">
        <f>IFERROR(INDEX('01 assessment'!$B$4:$B$1000,MATCH(ROWS($AB$4:AB146),$AJ$4:$AJ$1000,0)),"")</f>
        <v/>
      </c>
      <c r="AC146" t="str">
        <f>IFERROR(INDEX('01 assessment'!$I$4:$I$1000,MATCH(ROWS($AC$4:AC146),$AJ$4:$AJ$1000,0)),"")</f>
        <v/>
      </c>
      <c r="AD146" t="str">
        <f>IFERROR(INDEX('01 assessment'!$M$4:$M$1000,MATCH(ROWS($AD$4:AD146),$AJ$4:$AJ$1000,0)),"")</f>
        <v/>
      </c>
      <c r="AG146" t="str">
        <f>IF('01 assessment'!$M146="","",1+COUNTIFS('01 assessment'!$L$4:$L$1000,'01 assessment'!$L146,'01 assessment'!$J$4:$J$1000,"&gt;"&amp;'01 assessment'!$J146)+COUNTIFS('01 assessment'!$L$4:$L$1000,'01 assessment'!$L146,'01 assessment'!$J$4:$J$1000,'01 assessment'!$J146,'01 assessment'!$M$4:$M$1000,"&lt;"&amp;'01 assessment'!$M146))</f>
        <v/>
      </c>
      <c r="AH146" t="str">
        <f>IF(OR($AG146&lt;&gt;1,'01 assessment'!$M146=""),"",SUMIFS('04 Hazards'!$K$4:$K$1000,'04 Hazards'!$S$4:$S$1000,'01 assessment'!$M146,'04 Hazards'!$R$4:$R$1000,TRUE,'04 Hazards'!$U$4:$U$1000,TRUE))</f>
        <v/>
      </c>
      <c r="AI146" t="str">
        <f>IF(OR($AG146&lt;&gt;1,$AH146&lt;=0),"",1+COUNTIFS($AG$4:$AG$1000,1,$AH$4:$AH$1000,"&gt;"&amp;$AH146)+COUNTIFS($AG$4:$AG$1000,1,$AH$4:$AH$1000,$AH146,'01 assessment'!$A$4:$A$1000,"&lt;"&amp;'01 assessment'!$A146))</f>
        <v/>
      </c>
      <c r="AJ146" t="str">
        <f>IF('01 assessment'!$M146="","",1+COUNTIFS('01 assessment'!$A$4:$A$1000,"&lt;"&amp;'01 assessment'!$A146,'01 assessment'!$M$4:$M$1000,"&lt;&gt;")+COUNTIFS('01 assessment'!$A$4:$A$1000,'01 assessment'!$A146,'01 assessment'!$B$4:$B$1000,"&gt;"&amp;'01 assessment'!$B146,'01 assessment'!$M$4:$M$1000,"&lt;&gt;")+COUNTIFS('01 assessment'!$A$4:$A$1000,'01 assessment'!$A146,'01 assessment'!$B$4:$B$1000,'01 assessment'!$B146,'01 assessment'!$M$4:$M$1000,"&lt;"&amp;'01 assessment'!$M146))</f>
        <v/>
      </c>
    </row>
    <row r="147" spans="1:36">
      <c r="A147" s="23">
        <v>124</v>
      </c>
      <c r="B147" s="25" t="str">
        <f t="shared" si="27"/>
        <v/>
      </c>
      <c r="C147" s="23" t="str">
        <f t="shared" si="28"/>
        <v/>
      </c>
      <c r="D147" s="23" t="str">
        <f t="shared" si="29"/>
        <v/>
      </c>
      <c r="E147" s="23" t="str">
        <f t="shared" si="30"/>
        <v/>
      </c>
      <c r="F147" s="23" t="str">
        <f t="shared" si="31"/>
        <v/>
      </c>
      <c r="G147" s="27" t="str">
        <f t="shared" si="32"/>
        <v/>
      </c>
      <c r="H147" s="23" t="str">
        <f t="shared" si="33"/>
        <v/>
      </c>
      <c r="I147" s="23" t="str">
        <f t="shared" si="34"/>
        <v/>
      </c>
      <c r="T147" t="str">
        <f t="shared" si="35"/>
        <v/>
      </c>
      <c r="W147" t="str">
        <f>IFERROR(INDEX('01 assessment'!$A$4:$A$1000,MATCH(ROWS($W$4:W147),$AJ$4:$AJ$1000,0)),"")</f>
        <v/>
      </c>
      <c r="X147" t="str">
        <f>IFERROR(INDEX('01 assessment'!$F$4:$F$1000,MATCH(ROWS($X$4:X147),$AJ$4:$AJ$1000,0)),"")</f>
        <v/>
      </c>
      <c r="Y147" t="str">
        <f>IFERROR(INDEX('01 assessment'!$C$4:$C$1000,MATCH(ROWS($Y$4:Y147),$AJ$4:$AJ$1000,0)),"")</f>
        <v/>
      </c>
      <c r="Z147" t="str">
        <f>IFERROR(INDEX('01 assessment'!$G$4:$G$1000,MATCH(ROWS($Z$4:Z147),$AJ$4:$AJ$1000,0)),"")</f>
        <v/>
      </c>
      <c r="AA147" t="str">
        <f>IFERROR(INDEX('01 assessment'!$H$4:$H$1000,MATCH(ROWS($AA$4:AA147),$AJ$4:$AJ$1000,0)),"")</f>
        <v/>
      </c>
      <c r="AB147" t="str">
        <f>IFERROR(INDEX('01 assessment'!$B$4:$B$1000,MATCH(ROWS($AB$4:AB147),$AJ$4:$AJ$1000,0)),"")</f>
        <v/>
      </c>
      <c r="AC147" t="str">
        <f>IFERROR(INDEX('01 assessment'!$I$4:$I$1000,MATCH(ROWS($AC$4:AC147),$AJ$4:$AJ$1000,0)),"")</f>
        <v/>
      </c>
      <c r="AD147" t="str">
        <f>IFERROR(INDEX('01 assessment'!$M$4:$M$1000,MATCH(ROWS($AD$4:AD147),$AJ$4:$AJ$1000,0)),"")</f>
        <v/>
      </c>
      <c r="AG147" t="str">
        <f>IF('01 assessment'!$M147="","",1+COUNTIFS('01 assessment'!$L$4:$L$1000,'01 assessment'!$L147,'01 assessment'!$J$4:$J$1000,"&gt;"&amp;'01 assessment'!$J147)+COUNTIFS('01 assessment'!$L$4:$L$1000,'01 assessment'!$L147,'01 assessment'!$J$4:$J$1000,'01 assessment'!$J147,'01 assessment'!$M$4:$M$1000,"&lt;"&amp;'01 assessment'!$M147))</f>
        <v/>
      </c>
      <c r="AH147" t="str">
        <f>IF(OR($AG147&lt;&gt;1,'01 assessment'!$M147=""),"",SUMIFS('04 Hazards'!$K$4:$K$1000,'04 Hazards'!$S$4:$S$1000,'01 assessment'!$M147,'04 Hazards'!$R$4:$R$1000,TRUE,'04 Hazards'!$U$4:$U$1000,TRUE))</f>
        <v/>
      </c>
      <c r="AI147" t="str">
        <f>IF(OR($AG147&lt;&gt;1,$AH147&lt;=0),"",1+COUNTIFS($AG$4:$AG$1000,1,$AH$4:$AH$1000,"&gt;"&amp;$AH147)+COUNTIFS($AG$4:$AG$1000,1,$AH$4:$AH$1000,$AH147,'01 assessment'!$A$4:$A$1000,"&lt;"&amp;'01 assessment'!$A147))</f>
        <v/>
      </c>
      <c r="AJ147" t="str">
        <f>IF('01 assessment'!$M147="","",1+COUNTIFS('01 assessment'!$A$4:$A$1000,"&lt;"&amp;'01 assessment'!$A147,'01 assessment'!$M$4:$M$1000,"&lt;&gt;")+COUNTIFS('01 assessment'!$A$4:$A$1000,'01 assessment'!$A147,'01 assessment'!$B$4:$B$1000,"&gt;"&amp;'01 assessment'!$B147,'01 assessment'!$M$4:$M$1000,"&lt;&gt;")+COUNTIFS('01 assessment'!$A$4:$A$1000,'01 assessment'!$A147,'01 assessment'!$B$4:$B$1000,'01 assessment'!$B147,'01 assessment'!$M$4:$M$1000,"&lt;"&amp;'01 assessment'!$M147))</f>
        <v/>
      </c>
    </row>
    <row r="148" spans="1:36">
      <c r="A148" s="23">
        <v>125</v>
      </c>
      <c r="B148" s="25" t="str">
        <f t="shared" si="27"/>
        <v/>
      </c>
      <c r="C148" s="23" t="str">
        <f t="shared" si="28"/>
        <v/>
      </c>
      <c r="D148" s="23" t="str">
        <f t="shared" si="29"/>
        <v/>
      </c>
      <c r="E148" s="23" t="str">
        <f t="shared" si="30"/>
        <v/>
      </c>
      <c r="F148" s="23" t="str">
        <f t="shared" si="31"/>
        <v/>
      </c>
      <c r="G148" s="27" t="str">
        <f t="shared" si="32"/>
        <v/>
      </c>
      <c r="H148" s="23" t="str">
        <f t="shared" si="33"/>
        <v/>
      </c>
      <c r="I148" s="23" t="str">
        <f t="shared" si="34"/>
        <v/>
      </c>
      <c r="T148" t="str">
        <f t="shared" si="35"/>
        <v/>
      </c>
      <c r="W148" t="str">
        <f>IFERROR(INDEX('01 assessment'!$A$4:$A$1000,MATCH(ROWS($W$4:W148),$AJ$4:$AJ$1000,0)),"")</f>
        <v/>
      </c>
      <c r="X148" t="str">
        <f>IFERROR(INDEX('01 assessment'!$F$4:$F$1000,MATCH(ROWS($X$4:X148),$AJ$4:$AJ$1000,0)),"")</f>
        <v/>
      </c>
      <c r="Y148" t="str">
        <f>IFERROR(INDEX('01 assessment'!$C$4:$C$1000,MATCH(ROWS($Y$4:Y148),$AJ$4:$AJ$1000,0)),"")</f>
        <v/>
      </c>
      <c r="Z148" t="str">
        <f>IFERROR(INDEX('01 assessment'!$G$4:$G$1000,MATCH(ROWS($Z$4:Z148),$AJ$4:$AJ$1000,0)),"")</f>
        <v/>
      </c>
      <c r="AA148" t="str">
        <f>IFERROR(INDEX('01 assessment'!$H$4:$H$1000,MATCH(ROWS($AA$4:AA148),$AJ$4:$AJ$1000,0)),"")</f>
        <v/>
      </c>
      <c r="AB148" t="str">
        <f>IFERROR(INDEX('01 assessment'!$B$4:$B$1000,MATCH(ROWS($AB$4:AB148),$AJ$4:$AJ$1000,0)),"")</f>
        <v/>
      </c>
      <c r="AC148" t="str">
        <f>IFERROR(INDEX('01 assessment'!$I$4:$I$1000,MATCH(ROWS($AC$4:AC148),$AJ$4:$AJ$1000,0)),"")</f>
        <v/>
      </c>
      <c r="AD148" t="str">
        <f>IFERROR(INDEX('01 assessment'!$M$4:$M$1000,MATCH(ROWS($AD$4:AD148),$AJ$4:$AJ$1000,0)),"")</f>
        <v/>
      </c>
      <c r="AG148" t="str">
        <f>IF('01 assessment'!$M148="","",1+COUNTIFS('01 assessment'!$L$4:$L$1000,'01 assessment'!$L148,'01 assessment'!$J$4:$J$1000,"&gt;"&amp;'01 assessment'!$J148)+COUNTIFS('01 assessment'!$L$4:$L$1000,'01 assessment'!$L148,'01 assessment'!$J$4:$J$1000,'01 assessment'!$J148,'01 assessment'!$M$4:$M$1000,"&lt;"&amp;'01 assessment'!$M148))</f>
        <v/>
      </c>
      <c r="AH148" t="str">
        <f>IF(OR($AG148&lt;&gt;1,'01 assessment'!$M148=""),"",SUMIFS('04 Hazards'!$K$4:$K$1000,'04 Hazards'!$S$4:$S$1000,'01 assessment'!$M148,'04 Hazards'!$R$4:$R$1000,TRUE,'04 Hazards'!$U$4:$U$1000,TRUE))</f>
        <v/>
      </c>
      <c r="AI148" t="str">
        <f>IF(OR($AG148&lt;&gt;1,$AH148&lt;=0),"",1+COUNTIFS($AG$4:$AG$1000,1,$AH$4:$AH$1000,"&gt;"&amp;$AH148)+COUNTIFS($AG$4:$AG$1000,1,$AH$4:$AH$1000,$AH148,'01 assessment'!$A$4:$A$1000,"&lt;"&amp;'01 assessment'!$A148))</f>
        <v/>
      </c>
      <c r="AJ148" t="str">
        <f>IF('01 assessment'!$M148="","",1+COUNTIFS('01 assessment'!$A$4:$A$1000,"&lt;"&amp;'01 assessment'!$A148,'01 assessment'!$M$4:$M$1000,"&lt;&gt;")+COUNTIFS('01 assessment'!$A$4:$A$1000,'01 assessment'!$A148,'01 assessment'!$B$4:$B$1000,"&gt;"&amp;'01 assessment'!$B148,'01 assessment'!$M$4:$M$1000,"&lt;&gt;")+COUNTIFS('01 assessment'!$A$4:$A$1000,'01 assessment'!$A148,'01 assessment'!$B$4:$B$1000,'01 assessment'!$B148,'01 assessment'!$M$4:$M$1000,"&lt;"&amp;'01 assessment'!$M148))</f>
        <v/>
      </c>
    </row>
    <row r="149" spans="1:36">
      <c r="A149" s="23">
        <v>126</v>
      </c>
      <c r="B149" s="25" t="str">
        <f t="shared" si="27"/>
        <v/>
      </c>
      <c r="C149" s="23" t="str">
        <f t="shared" si="28"/>
        <v/>
      </c>
      <c r="D149" s="23" t="str">
        <f t="shared" si="29"/>
        <v/>
      </c>
      <c r="E149" s="23" t="str">
        <f t="shared" si="30"/>
        <v/>
      </c>
      <c r="F149" s="23" t="str">
        <f t="shared" si="31"/>
        <v/>
      </c>
      <c r="G149" s="27" t="str">
        <f t="shared" si="32"/>
        <v/>
      </c>
      <c r="H149" s="23" t="str">
        <f t="shared" si="33"/>
        <v/>
      </c>
      <c r="I149" s="23" t="str">
        <f t="shared" si="34"/>
        <v/>
      </c>
      <c r="T149" t="str">
        <f t="shared" si="35"/>
        <v/>
      </c>
      <c r="W149" t="str">
        <f>IFERROR(INDEX('01 assessment'!$A$4:$A$1000,MATCH(ROWS($W$4:W149),$AJ$4:$AJ$1000,0)),"")</f>
        <v/>
      </c>
      <c r="X149" t="str">
        <f>IFERROR(INDEX('01 assessment'!$F$4:$F$1000,MATCH(ROWS($X$4:X149),$AJ$4:$AJ$1000,0)),"")</f>
        <v/>
      </c>
      <c r="Y149" t="str">
        <f>IFERROR(INDEX('01 assessment'!$C$4:$C$1000,MATCH(ROWS($Y$4:Y149),$AJ$4:$AJ$1000,0)),"")</f>
        <v/>
      </c>
      <c r="Z149" t="str">
        <f>IFERROR(INDEX('01 assessment'!$G$4:$G$1000,MATCH(ROWS($Z$4:Z149),$AJ$4:$AJ$1000,0)),"")</f>
        <v/>
      </c>
      <c r="AA149" t="str">
        <f>IFERROR(INDEX('01 assessment'!$H$4:$H$1000,MATCH(ROWS($AA$4:AA149),$AJ$4:$AJ$1000,0)),"")</f>
        <v/>
      </c>
      <c r="AB149" t="str">
        <f>IFERROR(INDEX('01 assessment'!$B$4:$B$1000,MATCH(ROWS($AB$4:AB149),$AJ$4:$AJ$1000,0)),"")</f>
        <v/>
      </c>
      <c r="AC149" t="str">
        <f>IFERROR(INDEX('01 assessment'!$I$4:$I$1000,MATCH(ROWS($AC$4:AC149),$AJ$4:$AJ$1000,0)),"")</f>
        <v/>
      </c>
      <c r="AD149" t="str">
        <f>IFERROR(INDEX('01 assessment'!$M$4:$M$1000,MATCH(ROWS($AD$4:AD149),$AJ$4:$AJ$1000,0)),"")</f>
        <v/>
      </c>
      <c r="AG149" t="str">
        <f>IF('01 assessment'!$M149="","",1+COUNTIFS('01 assessment'!$L$4:$L$1000,'01 assessment'!$L149,'01 assessment'!$J$4:$J$1000,"&gt;"&amp;'01 assessment'!$J149)+COUNTIFS('01 assessment'!$L$4:$L$1000,'01 assessment'!$L149,'01 assessment'!$J$4:$J$1000,'01 assessment'!$J149,'01 assessment'!$M$4:$M$1000,"&lt;"&amp;'01 assessment'!$M149))</f>
        <v/>
      </c>
      <c r="AH149" t="str">
        <f>IF(OR($AG149&lt;&gt;1,'01 assessment'!$M149=""),"",SUMIFS('04 Hazards'!$K$4:$K$1000,'04 Hazards'!$S$4:$S$1000,'01 assessment'!$M149,'04 Hazards'!$R$4:$R$1000,TRUE,'04 Hazards'!$U$4:$U$1000,TRUE))</f>
        <v/>
      </c>
      <c r="AI149" t="str">
        <f>IF(OR($AG149&lt;&gt;1,$AH149&lt;=0),"",1+COUNTIFS($AG$4:$AG$1000,1,$AH$4:$AH$1000,"&gt;"&amp;$AH149)+COUNTIFS($AG$4:$AG$1000,1,$AH$4:$AH$1000,$AH149,'01 assessment'!$A$4:$A$1000,"&lt;"&amp;'01 assessment'!$A149))</f>
        <v/>
      </c>
      <c r="AJ149" t="str">
        <f>IF('01 assessment'!$M149="","",1+COUNTIFS('01 assessment'!$A$4:$A$1000,"&lt;"&amp;'01 assessment'!$A149,'01 assessment'!$M$4:$M$1000,"&lt;&gt;")+COUNTIFS('01 assessment'!$A$4:$A$1000,'01 assessment'!$A149,'01 assessment'!$B$4:$B$1000,"&gt;"&amp;'01 assessment'!$B149,'01 assessment'!$M$4:$M$1000,"&lt;&gt;")+COUNTIFS('01 assessment'!$A$4:$A$1000,'01 assessment'!$A149,'01 assessment'!$B$4:$B$1000,'01 assessment'!$B149,'01 assessment'!$M$4:$M$1000,"&lt;"&amp;'01 assessment'!$M149))</f>
        <v/>
      </c>
    </row>
    <row r="150" spans="1:36">
      <c r="A150" s="23">
        <v>127</v>
      </c>
      <c r="B150" s="25" t="str">
        <f t="shared" si="27"/>
        <v/>
      </c>
      <c r="C150" s="23" t="str">
        <f t="shared" si="28"/>
        <v/>
      </c>
      <c r="D150" s="23" t="str">
        <f t="shared" si="29"/>
        <v/>
      </c>
      <c r="E150" s="23" t="str">
        <f t="shared" si="30"/>
        <v/>
      </c>
      <c r="F150" s="23" t="str">
        <f t="shared" si="31"/>
        <v/>
      </c>
      <c r="G150" s="27" t="str">
        <f t="shared" si="32"/>
        <v/>
      </c>
      <c r="H150" s="23" t="str">
        <f t="shared" si="33"/>
        <v/>
      </c>
      <c r="I150" s="23" t="str">
        <f t="shared" si="34"/>
        <v/>
      </c>
      <c r="T150" t="str">
        <f t="shared" si="35"/>
        <v/>
      </c>
      <c r="W150" t="str">
        <f>IFERROR(INDEX('01 assessment'!$A$4:$A$1000,MATCH(ROWS($W$4:W150),$AJ$4:$AJ$1000,0)),"")</f>
        <v/>
      </c>
      <c r="X150" t="str">
        <f>IFERROR(INDEX('01 assessment'!$F$4:$F$1000,MATCH(ROWS($X$4:X150),$AJ$4:$AJ$1000,0)),"")</f>
        <v/>
      </c>
      <c r="Y150" t="str">
        <f>IFERROR(INDEX('01 assessment'!$C$4:$C$1000,MATCH(ROWS($Y$4:Y150),$AJ$4:$AJ$1000,0)),"")</f>
        <v/>
      </c>
      <c r="Z150" t="str">
        <f>IFERROR(INDEX('01 assessment'!$G$4:$G$1000,MATCH(ROWS($Z$4:Z150),$AJ$4:$AJ$1000,0)),"")</f>
        <v/>
      </c>
      <c r="AA150" t="str">
        <f>IFERROR(INDEX('01 assessment'!$H$4:$H$1000,MATCH(ROWS($AA$4:AA150),$AJ$4:$AJ$1000,0)),"")</f>
        <v/>
      </c>
      <c r="AB150" t="str">
        <f>IFERROR(INDEX('01 assessment'!$B$4:$B$1000,MATCH(ROWS($AB$4:AB150),$AJ$4:$AJ$1000,0)),"")</f>
        <v/>
      </c>
      <c r="AC150" t="str">
        <f>IFERROR(INDEX('01 assessment'!$I$4:$I$1000,MATCH(ROWS($AC$4:AC150),$AJ$4:$AJ$1000,0)),"")</f>
        <v/>
      </c>
      <c r="AD150" t="str">
        <f>IFERROR(INDEX('01 assessment'!$M$4:$M$1000,MATCH(ROWS($AD$4:AD150),$AJ$4:$AJ$1000,0)),"")</f>
        <v/>
      </c>
      <c r="AG150" t="str">
        <f>IF('01 assessment'!$M150="","",1+COUNTIFS('01 assessment'!$L$4:$L$1000,'01 assessment'!$L150,'01 assessment'!$J$4:$J$1000,"&gt;"&amp;'01 assessment'!$J150)+COUNTIFS('01 assessment'!$L$4:$L$1000,'01 assessment'!$L150,'01 assessment'!$J$4:$J$1000,'01 assessment'!$J150,'01 assessment'!$M$4:$M$1000,"&lt;"&amp;'01 assessment'!$M150))</f>
        <v/>
      </c>
      <c r="AH150" t="str">
        <f>IF(OR($AG150&lt;&gt;1,'01 assessment'!$M150=""),"",SUMIFS('04 Hazards'!$K$4:$K$1000,'04 Hazards'!$S$4:$S$1000,'01 assessment'!$M150,'04 Hazards'!$R$4:$R$1000,TRUE,'04 Hazards'!$U$4:$U$1000,TRUE))</f>
        <v/>
      </c>
      <c r="AI150" t="str">
        <f>IF(OR($AG150&lt;&gt;1,$AH150&lt;=0),"",1+COUNTIFS($AG$4:$AG$1000,1,$AH$4:$AH$1000,"&gt;"&amp;$AH150)+COUNTIFS($AG$4:$AG$1000,1,$AH$4:$AH$1000,$AH150,'01 assessment'!$A$4:$A$1000,"&lt;"&amp;'01 assessment'!$A150))</f>
        <v/>
      </c>
      <c r="AJ150" t="str">
        <f>IF('01 assessment'!$M150="","",1+COUNTIFS('01 assessment'!$A$4:$A$1000,"&lt;"&amp;'01 assessment'!$A150,'01 assessment'!$M$4:$M$1000,"&lt;&gt;")+COUNTIFS('01 assessment'!$A$4:$A$1000,'01 assessment'!$A150,'01 assessment'!$B$4:$B$1000,"&gt;"&amp;'01 assessment'!$B150,'01 assessment'!$M$4:$M$1000,"&lt;&gt;")+COUNTIFS('01 assessment'!$A$4:$A$1000,'01 assessment'!$A150,'01 assessment'!$B$4:$B$1000,'01 assessment'!$B150,'01 assessment'!$M$4:$M$1000,"&lt;"&amp;'01 assessment'!$M150))</f>
        <v/>
      </c>
    </row>
    <row r="151" spans="1:36">
      <c r="A151" s="23">
        <v>128</v>
      </c>
      <c r="B151" s="25" t="str">
        <f t="shared" si="27"/>
        <v/>
      </c>
      <c r="C151" s="23" t="str">
        <f t="shared" si="28"/>
        <v/>
      </c>
      <c r="D151" s="23" t="str">
        <f t="shared" si="29"/>
        <v/>
      </c>
      <c r="E151" s="23" t="str">
        <f t="shared" si="30"/>
        <v/>
      </c>
      <c r="F151" s="23" t="str">
        <f t="shared" si="31"/>
        <v/>
      </c>
      <c r="G151" s="27" t="str">
        <f t="shared" si="32"/>
        <v/>
      </c>
      <c r="H151" s="23" t="str">
        <f t="shared" si="33"/>
        <v/>
      </c>
      <c r="I151" s="23" t="str">
        <f t="shared" si="34"/>
        <v/>
      </c>
      <c r="T151" t="str">
        <f t="shared" si="35"/>
        <v/>
      </c>
      <c r="W151" t="str">
        <f>IFERROR(INDEX('01 assessment'!$A$4:$A$1000,MATCH(ROWS($W$4:W151),$AJ$4:$AJ$1000,0)),"")</f>
        <v/>
      </c>
      <c r="X151" t="str">
        <f>IFERROR(INDEX('01 assessment'!$F$4:$F$1000,MATCH(ROWS($X$4:X151),$AJ$4:$AJ$1000,0)),"")</f>
        <v/>
      </c>
      <c r="Y151" t="str">
        <f>IFERROR(INDEX('01 assessment'!$C$4:$C$1000,MATCH(ROWS($Y$4:Y151),$AJ$4:$AJ$1000,0)),"")</f>
        <v/>
      </c>
      <c r="Z151" t="str">
        <f>IFERROR(INDEX('01 assessment'!$G$4:$G$1000,MATCH(ROWS($Z$4:Z151),$AJ$4:$AJ$1000,0)),"")</f>
        <v/>
      </c>
      <c r="AA151" t="str">
        <f>IFERROR(INDEX('01 assessment'!$H$4:$H$1000,MATCH(ROWS($AA$4:AA151),$AJ$4:$AJ$1000,0)),"")</f>
        <v/>
      </c>
      <c r="AB151" t="str">
        <f>IFERROR(INDEX('01 assessment'!$B$4:$B$1000,MATCH(ROWS($AB$4:AB151),$AJ$4:$AJ$1000,0)),"")</f>
        <v/>
      </c>
      <c r="AC151" t="str">
        <f>IFERROR(INDEX('01 assessment'!$I$4:$I$1000,MATCH(ROWS($AC$4:AC151),$AJ$4:$AJ$1000,0)),"")</f>
        <v/>
      </c>
      <c r="AD151" t="str">
        <f>IFERROR(INDEX('01 assessment'!$M$4:$M$1000,MATCH(ROWS($AD$4:AD151),$AJ$4:$AJ$1000,0)),"")</f>
        <v/>
      </c>
      <c r="AG151" t="str">
        <f>IF('01 assessment'!$M151="","",1+COUNTIFS('01 assessment'!$L$4:$L$1000,'01 assessment'!$L151,'01 assessment'!$J$4:$J$1000,"&gt;"&amp;'01 assessment'!$J151)+COUNTIFS('01 assessment'!$L$4:$L$1000,'01 assessment'!$L151,'01 assessment'!$J$4:$J$1000,'01 assessment'!$J151,'01 assessment'!$M$4:$M$1000,"&lt;"&amp;'01 assessment'!$M151))</f>
        <v/>
      </c>
      <c r="AH151" t="str">
        <f>IF(OR($AG151&lt;&gt;1,'01 assessment'!$M151=""),"",SUMIFS('04 Hazards'!$K$4:$K$1000,'04 Hazards'!$S$4:$S$1000,'01 assessment'!$M151,'04 Hazards'!$R$4:$R$1000,TRUE,'04 Hazards'!$U$4:$U$1000,TRUE))</f>
        <v/>
      </c>
      <c r="AI151" t="str">
        <f>IF(OR($AG151&lt;&gt;1,$AH151&lt;=0),"",1+COUNTIFS($AG$4:$AG$1000,1,$AH$4:$AH$1000,"&gt;"&amp;$AH151)+COUNTIFS($AG$4:$AG$1000,1,$AH$4:$AH$1000,$AH151,'01 assessment'!$A$4:$A$1000,"&lt;"&amp;'01 assessment'!$A151))</f>
        <v/>
      </c>
      <c r="AJ151" t="str">
        <f>IF('01 assessment'!$M151="","",1+COUNTIFS('01 assessment'!$A$4:$A$1000,"&lt;"&amp;'01 assessment'!$A151,'01 assessment'!$M$4:$M$1000,"&lt;&gt;")+COUNTIFS('01 assessment'!$A$4:$A$1000,'01 assessment'!$A151,'01 assessment'!$B$4:$B$1000,"&gt;"&amp;'01 assessment'!$B151,'01 assessment'!$M$4:$M$1000,"&lt;&gt;")+COUNTIFS('01 assessment'!$A$4:$A$1000,'01 assessment'!$A151,'01 assessment'!$B$4:$B$1000,'01 assessment'!$B151,'01 assessment'!$M$4:$M$1000,"&lt;"&amp;'01 assessment'!$M151))</f>
        <v/>
      </c>
    </row>
    <row r="152" spans="1:36">
      <c r="A152" s="23">
        <v>129</v>
      </c>
      <c r="B152" s="25" t="str">
        <f t="shared" ref="B152:B173" si="36">IFERROR(INDEX($W$4:$AD$153,$A152,1),"")</f>
        <v/>
      </c>
      <c r="C152" s="23" t="str">
        <f t="shared" ref="C152:C173" si="37">IFERROR(INDEX($W$4:$AD$153,$A152,2),"")</f>
        <v/>
      </c>
      <c r="D152" s="23" t="str">
        <f t="shared" ref="D152:D173" si="38">IFERROR(INDEX($W$4:$AD$153,$A152,3),"")</f>
        <v/>
      </c>
      <c r="E152" s="23" t="str">
        <f t="shared" ref="E152:E173" si="39">IFERROR(INDEX($W$4:$AD$153,$A152,4),"")</f>
        <v/>
      </c>
      <c r="F152" s="23" t="str">
        <f t="shared" ref="F152:F173" si="40">IFERROR(INDEX($W$4:$AD$153,$A152,5),"")</f>
        <v/>
      </c>
      <c r="G152" s="27" t="str">
        <f t="shared" ref="G152:G173" si="41">IFERROR(INDEX($W$4:$AD$153,$A152,6),"")</f>
        <v/>
      </c>
      <c r="H152" s="23" t="str">
        <f t="shared" ref="H152:H173" si="42">IFERROR(INDEX($W$4:$AD$153,$A152,7),"")</f>
        <v/>
      </c>
      <c r="I152" s="23" t="str">
        <f t="shared" ref="I152:I173" si="43">IF(E152="","",IF(E152&gt;=6,"Immediate corrective action",IF(E152&gt;=3,"Document improvement plan","Maintain controls")))</f>
        <v/>
      </c>
      <c r="T152" t="str">
        <f t="shared" ref="T152:T173" si="44">IFERROR(INDEX($W$4:$AD$153,$A152,8),"")</f>
        <v/>
      </c>
      <c r="W152" t="str">
        <f>IFERROR(INDEX('01 assessment'!$A$4:$A$1000,MATCH(ROWS($W$4:W152),$AJ$4:$AJ$1000,0)),"")</f>
        <v/>
      </c>
      <c r="X152" t="str">
        <f>IFERROR(INDEX('01 assessment'!$F$4:$F$1000,MATCH(ROWS($X$4:X152),$AJ$4:$AJ$1000,0)),"")</f>
        <v/>
      </c>
      <c r="Y152" t="str">
        <f>IFERROR(INDEX('01 assessment'!$C$4:$C$1000,MATCH(ROWS($Y$4:Y152),$AJ$4:$AJ$1000,0)),"")</f>
        <v/>
      </c>
      <c r="Z152" t="str">
        <f>IFERROR(INDEX('01 assessment'!$G$4:$G$1000,MATCH(ROWS($Z$4:Z152),$AJ$4:$AJ$1000,0)),"")</f>
        <v/>
      </c>
      <c r="AA152" t="str">
        <f>IFERROR(INDEX('01 assessment'!$H$4:$H$1000,MATCH(ROWS($AA$4:AA152),$AJ$4:$AJ$1000,0)),"")</f>
        <v/>
      </c>
      <c r="AB152" t="str">
        <f>IFERROR(INDEX('01 assessment'!$B$4:$B$1000,MATCH(ROWS($AB$4:AB152),$AJ$4:$AJ$1000,0)),"")</f>
        <v/>
      </c>
      <c r="AC152" t="str">
        <f>IFERROR(INDEX('01 assessment'!$I$4:$I$1000,MATCH(ROWS($AC$4:AC152),$AJ$4:$AJ$1000,0)),"")</f>
        <v/>
      </c>
      <c r="AD152" t="str">
        <f>IFERROR(INDEX('01 assessment'!$M$4:$M$1000,MATCH(ROWS($AD$4:AD152),$AJ$4:$AJ$1000,0)),"")</f>
        <v/>
      </c>
      <c r="AG152" t="str">
        <f>IF('01 assessment'!$M152="","",1+COUNTIFS('01 assessment'!$L$4:$L$1000,'01 assessment'!$L152,'01 assessment'!$J$4:$J$1000,"&gt;"&amp;'01 assessment'!$J152)+COUNTIFS('01 assessment'!$L$4:$L$1000,'01 assessment'!$L152,'01 assessment'!$J$4:$J$1000,'01 assessment'!$J152,'01 assessment'!$M$4:$M$1000,"&lt;"&amp;'01 assessment'!$M152))</f>
        <v/>
      </c>
      <c r="AH152" t="str">
        <f>IF(OR($AG152&lt;&gt;1,'01 assessment'!$M152=""),"",SUMIFS('04 Hazards'!$K$4:$K$1000,'04 Hazards'!$S$4:$S$1000,'01 assessment'!$M152,'04 Hazards'!$R$4:$R$1000,TRUE,'04 Hazards'!$U$4:$U$1000,TRUE))</f>
        <v/>
      </c>
      <c r="AI152" t="str">
        <f>IF(OR($AG152&lt;&gt;1,$AH152&lt;=0),"",1+COUNTIFS($AG$4:$AG$1000,1,$AH$4:$AH$1000,"&gt;"&amp;$AH152)+COUNTIFS($AG$4:$AG$1000,1,$AH$4:$AH$1000,$AH152,'01 assessment'!$A$4:$A$1000,"&lt;"&amp;'01 assessment'!$A152))</f>
        <v/>
      </c>
      <c r="AJ152" t="str">
        <f>IF('01 assessment'!$M152="","",1+COUNTIFS('01 assessment'!$A$4:$A$1000,"&lt;"&amp;'01 assessment'!$A152,'01 assessment'!$M$4:$M$1000,"&lt;&gt;")+COUNTIFS('01 assessment'!$A$4:$A$1000,'01 assessment'!$A152,'01 assessment'!$B$4:$B$1000,"&gt;"&amp;'01 assessment'!$B152,'01 assessment'!$M$4:$M$1000,"&lt;&gt;")+COUNTIFS('01 assessment'!$A$4:$A$1000,'01 assessment'!$A152,'01 assessment'!$B$4:$B$1000,'01 assessment'!$B152,'01 assessment'!$M$4:$M$1000,"&lt;"&amp;'01 assessment'!$M152))</f>
        <v/>
      </c>
    </row>
    <row r="153" spans="1:36">
      <c r="A153" s="23">
        <v>130</v>
      </c>
      <c r="B153" s="25" t="str">
        <f t="shared" si="36"/>
        <v/>
      </c>
      <c r="C153" s="23" t="str">
        <f t="shared" si="37"/>
        <v/>
      </c>
      <c r="D153" s="23" t="str">
        <f t="shared" si="38"/>
        <v/>
      </c>
      <c r="E153" s="23" t="str">
        <f t="shared" si="39"/>
        <v/>
      </c>
      <c r="F153" s="23" t="str">
        <f t="shared" si="40"/>
        <v/>
      </c>
      <c r="G153" s="27" t="str">
        <f t="shared" si="41"/>
        <v/>
      </c>
      <c r="H153" s="23" t="str">
        <f t="shared" si="42"/>
        <v/>
      </c>
      <c r="I153" s="23" t="str">
        <f t="shared" si="43"/>
        <v/>
      </c>
      <c r="T153" t="str">
        <f t="shared" si="44"/>
        <v/>
      </c>
      <c r="W153" t="str">
        <f>IFERROR(INDEX('01 assessment'!$A$4:$A$1000,MATCH(ROWS($W$4:W153),$AJ$4:$AJ$1000,0)),"")</f>
        <v/>
      </c>
      <c r="X153" t="str">
        <f>IFERROR(INDEX('01 assessment'!$F$4:$F$1000,MATCH(ROWS($X$4:X153),$AJ$4:$AJ$1000,0)),"")</f>
        <v/>
      </c>
      <c r="Y153" t="str">
        <f>IFERROR(INDEX('01 assessment'!$C$4:$C$1000,MATCH(ROWS($Y$4:Y153),$AJ$4:$AJ$1000,0)),"")</f>
        <v/>
      </c>
      <c r="Z153" t="str">
        <f>IFERROR(INDEX('01 assessment'!$G$4:$G$1000,MATCH(ROWS($Z$4:Z153),$AJ$4:$AJ$1000,0)),"")</f>
        <v/>
      </c>
      <c r="AA153" t="str">
        <f>IFERROR(INDEX('01 assessment'!$H$4:$H$1000,MATCH(ROWS($AA$4:AA153),$AJ$4:$AJ$1000,0)),"")</f>
        <v/>
      </c>
      <c r="AB153" t="str">
        <f>IFERROR(INDEX('01 assessment'!$B$4:$B$1000,MATCH(ROWS($AB$4:AB153),$AJ$4:$AJ$1000,0)),"")</f>
        <v/>
      </c>
      <c r="AC153" t="str">
        <f>IFERROR(INDEX('01 assessment'!$I$4:$I$1000,MATCH(ROWS($AC$4:AC153),$AJ$4:$AJ$1000,0)),"")</f>
        <v/>
      </c>
      <c r="AD153" t="str">
        <f>IFERROR(INDEX('01 assessment'!$M$4:$M$1000,MATCH(ROWS($AD$4:AD153),$AJ$4:$AJ$1000,0)),"")</f>
        <v/>
      </c>
      <c r="AG153" t="str">
        <f>IF('01 assessment'!$M153="","",1+COUNTIFS('01 assessment'!$L$4:$L$1000,'01 assessment'!$L153,'01 assessment'!$J$4:$J$1000,"&gt;"&amp;'01 assessment'!$J153)+COUNTIFS('01 assessment'!$L$4:$L$1000,'01 assessment'!$L153,'01 assessment'!$J$4:$J$1000,'01 assessment'!$J153,'01 assessment'!$M$4:$M$1000,"&lt;"&amp;'01 assessment'!$M153))</f>
        <v/>
      </c>
      <c r="AH153" t="str">
        <f>IF(OR($AG153&lt;&gt;1,'01 assessment'!$M153=""),"",SUMIFS('04 Hazards'!$K$4:$K$1000,'04 Hazards'!$S$4:$S$1000,'01 assessment'!$M153,'04 Hazards'!$R$4:$R$1000,TRUE,'04 Hazards'!$U$4:$U$1000,TRUE))</f>
        <v/>
      </c>
      <c r="AI153" t="str">
        <f>IF(OR($AG153&lt;&gt;1,$AH153&lt;=0),"",1+COUNTIFS($AG$4:$AG$1000,1,$AH$4:$AH$1000,"&gt;"&amp;$AH153)+COUNTIFS($AG$4:$AG$1000,1,$AH$4:$AH$1000,$AH153,'01 assessment'!$A$4:$A$1000,"&lt;"&amp;'01 assessment'!$A153))</f>
        <v/>
      </c>
      <c r="AJ153" t="str">
        <f>IF('01 assessment'!$M153="","",1+COUNTIFS('01 assessment'!$A$4:$A$1000,"&lt;"&amp;'01 assessment'!$A153,'01 assessment'!$M$4:$M$1000,"&lt;&gt;")+COUNTIFS('01 assessment'!$A$4:$A$1000,'01 assessment'!$A153,'01 assessment'!$B$4:$B$1000,"&gt;"&amp;'01 assessment'!$B153,'01 assessment'!$M$4:$M$1000,"&lt;&gt;")+COUNTIFS('01 assessment'!$A$4:$A$1000,'01 assessment'!$A153,'01 assessment'!$B$4:$B$1000,'01 assessment'!$B153,'01 assessment'!$M$4:$M$1000,"&lt;"&amp;'01 assessment'!$M153))</f>
        <v/>
      </c>
    </row>
    <row r="154" spans="1:36">
      <c r="A154" s="23">
        <v>131</v>
      </c>
      <c r="B154" s="25" t="str">
        <f t="shared" si="36"/>
        <v/>
      </c>
      <c r="C154" s="23" t="str">
        <f t="shared" si="37"/>
        <v/>
      </c>
      <c r="D154" s="23" t="str">
        <f t="shared" si="38"/>
        <v/>
      </c>
      <c r="E154" s="23" t="str">
        <f t="shared" si="39"/>
        <v/>
      </c>
      <c r="F154" s="23" t="str">
        <f t="shared" si="40"/>
        <v/>
      </c>
      <c r="G154" s="27" t="str">
        <f t="shared" si="41"/>
        <v/>
      </c>
      <c r="H154" s="23" t="str">
        <f t="shared" si="42"/>
        <v/>
      </c>
      <c r="I154" s="23" t="str">
        <f t="shared" si="43"/>
        <v/>
      </c>
      <c r="T154" t="str">
        <f t="shared" si="44"/>
        <v/>
      </c>
    </row>
    <row r="155" spans="1:36">
      <c r="A155" s="23">
        <v>132</v>
      </c>
      <c r="B155" s="25" t="str">
        <f t="shared" si="36"/>
        <v/>
      </c>
      <c r="C155" s="23" t="str">
        <f t="shared" si="37"/>
        <v/>
      </c>
      <c r="D155" s="23" t="str">
        <f t="shared" si="38"/>
        <v/>
      </c>
      <c r="E155" s="23" t="str">
        <f t="shared" si="39"/>
        <v/>
      </c>
      <c r="F155" s="23" t="str">
        <f t="shared" si="40"/>
        <v/>
      </c>
      <c r="G155" s="27" t="str">
        <f t="shared" si="41"/>
        <v/>
      </c>
      <c r="H155" s="23" t="str">
        <f t="shared" si="42"/>
        <v/>
      </c>
      <c r="I155" s="23" t="str">
        <f t="shared" si="43"/>
        <v/>
      </c>
      <c r="T155" t="str">
        <f t="shared" si="44"/>
        <v/>
      </c>
    </row>
    <row r="156" spans="1:36">
      <c r="A156" s="23">
        <v>133</v>
      </c>
      <c r="B156" s="25" t="str">
        <f t="shared" si="36"/>
        <v/>
      </c>
      <c r="C156" s="23" t="str">
        <f t="shared" si="37"/>
        <v/>
      </c>
      <c r="D156" s="23" t="str">
        <f t="shared" si="38"/>
        <v/>
      </c>
      <c r="E156" s="23" t="str">
        <f t="shared" si="39"/>
        <v/>
      </c>
      <c r="F156" s="23" t="str">
        <f t="shared" si="40"/>
        <v/>
      </c>
      <c r="G156" s="27" t="str">
        <f t="shared" si="41"/>
        <v/>
      </c>
      <c r="H156" s="23" t="str">
        <f t="shared" si="42"/>
        <v/>
      </c>
      <c r="I156" s="23" t="str">
        <f t="shared" si="43"/>
        <v/>
      </c>
      <c r="T156" t="str">
        <f t="shared" si="44"/>
        <v/>
      </c>
    </row>
    <row r="157" spans="1:36">
      <c r="A157" s="23">
        <v>134</v>
      </c>
      <c r="B157" s="25" t="str">
        <f t="shared" si="36"/>
        <v/>
      </c>
      <c r="C157" s="23" t="str">
        <f t="shared" si="37"/>
        <v/>
      </c>
      <c r="D157" s="23" t="str">
        <f t="shared" si="38"/>
        <v/>
      </c>
      <c r="E157" s="23" t="str">
        <f t="shared" si="39"/>
        <v/>
      </c>
      <c r="F157" s="23" t="str">
        <f t="shared" si="40"/>
        <v/>
      </c>
      <c r="G157" s="27" t="str">
        <f t="shared" si="41"/>
        <v/>
      </c>
      <c r="H157" s="23" t="str">
        <f t="shared" si="42"/>
        <v/>
      </c>
      <c r="I157" s="23" t="str">
        <f t="shared" si="43"/>
        <v/>
      </c>
      <c r="T157" t="str">
        <f t="shared" si="44"/>
        <v/>
      </c>
    </row>
    <row r="158" spans="1:36">
      <c r="A158" s="23">
        <v>135</v>
      </c>
      <c r="B158" s="25" t="str">
        <f t="shared" si="36"/>
        <v/>
      </c>
      <c r="C158" s="23" t="str">
        <f t="shared" si="37"/>
        <v/>
      </c>
      <c r="D158" s="23" t="str">
        <f t="shared" si="38"/>
        <v/>
      </c>
      <c r="E158" s="23" t="str">
        <f t="shared" si="39"/>
        <v/>
      </c>
      <c r="F158" s="23" t="str">
        <f t="shared" si="40"/>
        <v/>
      </c>
      <c r="G158" s="27" t="str">
        <f t="shared" si="41"/>
        <v/>
      </c>
      <c r="H158" s="23" t="str">
        <f t="shared" si="42"/>
        <v/>
      </c>
      <c r="I158" s="23" t="str">
        <f t="shared" si="43"/>
        <v/>
      </c>
      <c r="T158" t="str">
        <f t="shared" si="44"/>
        <v/>
      </c>
    </row>
    <row r="159" spans="1:36">
      <c r="A159" s="23">
        <v>136</v>
      </c>
      <c r="B159" s="25" t="str">
        <f t="shared" si="36"/>
        <v/>
      </c>
      <c r="C159" s="23" t="str">
        <f t="shared" si="37"/>
        <v/>
      </c>
      <c r="D159" s="23" t="str">
        <f t="shared" si="38"/>
        <v/>
      </c>
      <c r="E159" s="23" t="str">
        <f t="shared" si="39"/>
        <v/>
      </c>
      <c r="F159" s="23" t="str">
        <f t="shared" si="40"/>
        <v/>
      </c>
      <c r="G159" s="27" t="str">
        <f t="shared" si="41"/>
        <v/>
      </c>
      <c r="H159" s="23" t="str">
        <f t="shared" si="42"/>
        <v/>
      </c>
      <c r="I159" s="23" t="str">
        <f t="shared" si="43"/>
        <v/>
      </c>
      <c r="T159" t="str">
        <f t="shared" si="44"/>
        <v/>
      </c>
    </row>
    <row r="160" spans="1:36">
      <c r="A160" s="23">
        <v>137</v>
      </c>
      <c r="B160" s="25" t="str">
        <f t="shared" si="36"/>
        <v/>
      </c>
      <c r="C160" s="23" t="str">
        <f t="shared" si="37"/>
        <v/>
      </c>
      <c r="D160" s="23" t="str">
        <f t="shared" si="38"/>
        <v/>
      </c>
      <c r="E160" s="23" t="str">
        <f t="shared" si="39"/>
        <v/>
      </c>
      <c r="F160" s="23" t="str">
        <f t="shared" si="40"/>
        <v/>
      </c>
      <c r="G160" s="27" t="str">
        <f t="shared" si="41"/>
        <v/>
      </c>
      <c r="H160" s="23" t="str">
        <f t="shared" si="42"/>
        <v/>
      </c>
      <c r="I160" s="23" t="str">
        <f t="shared" si="43"/>
        <v/>
      </c>
      <c r="T160" t="str">
        <f t="shared" si="44"/>
        <v/>
      </c>
    </row>
    <row r="161" spans="1:20">
      <c r="A161" s="23">
        <v>138</v>
      </c>
      <c r="B161" s="25" t="str">
        <f t="shared" si="36"/>
        <v/>
      </c>
      <c r="C161" s="23" t="str">
        <f t="shared" si="37"/>
        <v/>
      </c>
      <c r="D161" s="23" t="str">
        <f t="shared" si="38"/>
        <v/>
      </c>
      <c r="E161" s="23" t="str">
        <f t="shared" si="39"/>
        <v/>
      </c>
      <c r="F161" s="23" t="str">
        <f t="shared" si="40"/>
        <v/>
      </c>
      <c r="G161" s="27" t="str">
        <f t="shared" si="41"/>
        <v/>
      </c>
      <c r="H161" s="23" t="str">
        <f t="shared" si="42"/>
        <v/>
      </c>
      <c r="I161" s="23" t="str">
        <f t="shared" si="43"/>
        <v/>
      </c>
      <c r="T161" t="str">
        <f t="shared" si="44"/>
        <v/>
      </c>
    </row>
    <row r="162" spans="1:20">
      <c r="A162" s="23">
        <v>139</v>
      </c>
      <c r="B162" s="25" t="str">
        <f t="shared" si="36"/>
        <v/>
      </c>
      <c r="C162" s="23" t="str">
        <f t="shared" si="37"/>
        <v/>
      </c>
      <c r="D162" s="23" t="str">
        <f t="shared" si="38"/>
        <v/>
      </c>
      <c r="E162" s="23" t="str">
        <f t="shared" si="39"/>
        <v/>
      </c>
      <c r="F162" s="23" t="str">
        <f t="shared" si="40"/>
        <v/>
      </c>
      <c r="G162" s="27" t="str">
        <f t="shared" si="41"/>
        <v/>
      </c>
      <c r="H162" s="23" t="str">
        <f t="shared" si="42"/>
        <v/>
      </c>
      <c r="I162" s="23" t="str">
        <f t="shared" si="43"/>
        <v/>
      </c>
      <c r="T162" t="str">
        <f t="shared" si="44"/>
        <v/>
      </c>
    </row>
    <row r="163" spans="1:20">
      <c r="A163" s="23">
        <v>140</v>
      </c>
      <c r="B163" s="25" t="str">
        <f t="shared" si="36"/>
        <v/>
      </c>
      <c r="C163" s="23" t="str">
        <f t="shared" si="37"/>
        <v/>
      </c>
      <c r="D163" s="23" t="str">
        <f t="shared" si="38"/>
        <v/>
      </c>
      <c r="E163" s="23" t="str">
        <f t="shared" si="39"/>
        <v/>
      </c>
      <c r="F163" s="23" t="str">
        <f t="shared" si="40"/>
        <v/>
      </c>
      <c r="G163" s="27" t="str">
        <f t="shared" si="41"/>
        <v/>
      </c>
      <c r="H163" s="23" t="str">
        <f t="shared" si="42"/>
        <v/>
      </c>
      <c r="I163" s="23" t="str">
        <f t="shared" si="43"/>
        <v/>
      </c>
      <c r="T163" t="str">
        <f t="shared" si="44"/>
        <v/>
      </c>
    </row>
    <row r="164" spans="1:20">
      <c r="A164" s="23">
        <v>141</v>
      </c>
      <c r="B164" s="25" t="str">
        <f t="shared" si="36"/>
        <v/>
      </c>
      <c r="C164" s="23" t="str">
        <f t="shared" si="37"/>
        <v/>
      </c>
      <c r="D164" s="23" t="str">
        <f t="shared" si="38"/>
        <v/>
      </c>
      <c r="E164" s="23" t="str">
        <f t="shared" si="39"/>
        <v/>
      </c>
      <c r="F164" s="23" t="str">
        <f t="shared" si="40"/>
        <v/>
      </c>
      <c r="G164" s="27" t="str">
        <f t="shared" si="41"/>
        <v/>
      </c>
      <c r="H164" s="23" t="str">
        <f t="shared" si="42"/>
        <v/>
      </c>
      <c r="I164" s="23" t="str">
        <f t="shared" si="43"/>
        <v/>
      </c>
      <c r="T164" t="str">
        <f t="shared" si="44"/>
        <v/>
      </c>
    </row>
    <row r="165" spans="1:20">
      <c r="A165" s="23">
        <v>142</v>
      </c>
      <c r="B165" s="25" t="str">
        <f t="shared" si="36"/>
        <v/>
      </c>
      <c r="C165" s="23" t="str">
        <f t="shared" si="37"/>
        <v/>
      </c>
      <c r="D165" s="23" t="str">
        <f t="shared" si="38"/>
        <v/>
      </c>
      <c r="E165" s="23" t="str">
        <f t="shared" si="39"/>
        <v/>
      </c>
      <c r="F165" s="23" t="str">
        <f t="shared" si="40"/>
        <v/>
      </c>
      <c r="G165" s="27" t="str">
        <f t="shared" si="41"/>
        <v/>
      </c>
      <c r="H165" s="23" t="str">
        <f t="shared" si="42"/>
        <v/>
      </c>
      <c r="I165" s="23" t="str">
        <f t="shared" si="43"/>
        <v/>
      </c>
      <c r="T165" t="str">
        <f t="shared" si="44"/>
        <v/>
      </c>
    </row>
    <row r="166" spans="1:20">
      <c r="A166" s="23">
        <v>143</v>
      </c>
      <c r="B166" s="25" t="str">
        <f t="shared" si="36"/>
        <v/>
      </c>
      <c r="C166" s="23" t="str">
        <f t="shared" si="37"/>
        <v/>
      </c>
      <c r="D166" s="23" t="str">
        <f t="shared" si="38"/>
        <v/>
      </c>
      <c r="E166" s="23" t="str">
        <f t="shared" si="39"/>
        <v/>
      </c>
      <c r="F166" s="23" t="str">
        <f t="shared" si="40"/>
        <v/>
      </c>
      <c r="G166" s="27" t="str">
        <f t="shared" si="41"/>
        <v/>
      </c>
      <c r="H166" s="23" t="str">
        <f t="shared" si="42"/>
        <v/>
      </c>
      <c r="I166" s="23" t="str">
        <f t="shared" si="43"/>
        <v/>
      </c>
      <c r="T166" t="str">
        <f t="shared" si="44"/>
        <v/>
      </c>
    </row>
    <row r="167" spans="1:20">
      <c r="A167" s="23">
        <v>144</v>
      </c>
      <c r="B167" s="25" t="str">
        <f t="shared" si="36"/>
        <v/>
      </c>
      <c r="C167" s="23" t="str">
        <f t="shared" si="37"/>
        <v/>
      </c>
      <c r="D167" s="23" t="str">
        <f t="shared" si="38"/>
        <v/>
      </c>
      <c r="E167" s="23" t="str">
        <f t="shared" si="39"/>
        <v/>
      </c>
      <c r="F167" s="23" t="str">
        <f t="shared" si="40"/>
        <v/>
      </c>
      <c r="G167" s="27" t="str">
        <f t="shared" si="41"/>
        <v/>
      </c>
      <c r="H167" s="23" t="str">
        <f t="shared" si="42"/>
        <v/>
      </c>
      <c r="I167" s="23" t="str">
        <f t="shared" si="43"/>
        <v/>
      </c>
      <c r="T167" t="str">
        <f t="shared" si="44"/>
        <v/>
      </c>
    </row>
    <row r="168" spans="1:20">
      <c r="A168" s="23">
        <v>145</v>
      </c>
      <c r="B168" s="25" t="str">
        <f t="shared" si="36"/>
        <v/>
      </c>
      <c r="C168" s="23" t="str">
        <f t="shared" si="37"/>
        <v/>
      </c>
      <c r="D168" s="23" t="str">
        <f t="shared" si="38"/>
        <v/>
      </c>
      <c r="E168" s="23" t="str">
        <f t="shared" si="39"/>
        <v/>
      </c>
      <c r="F168" s="23" t="str">
        <f t="shared" si="40"/>
        <v/>
      </c>
      <c r="G168" s="27" t="str">
        <f t="shared" si="41"/>
        <v/>
      </c>
      <c r="H168" s="23" t="str">
        <f t="shared" si="42"/>
        <v/>
      </c>
      <c r="I168" s="23" t="str">
        <f t="shared" si="43"/>
        <v/>
      </c>
      <c r="T168" t="str">
        <f t="shared" si="44"/>
        <v/>
      </c>
    </row>
    <row r="169" spans="1:20">
      <c r="A169" s="23">
        <v>146</v>
      </c>
      <c r="B169" s="25" t="str">
        <f t="shared" si="36"/>
        <v/>
      </c>
      <c r="C169" s="23" t="str">
        <f t="shared" si="37"/>
        <v/>
      </c>
      <c r="D169" s="23" t="str">
        <f t="shared" si="38"/>
        <v/>
      </c>
      <c r="E169" s="23" t="str">
        <f t="shared" si="39"/>
        <v/>
      </c>
      <c r="F169" s="23" t="str">
        <f t="shared" si="40"/>
        <v/>
      </c>
      <c r="G169" s="27" t="str">
        <f t="shared" si="41"/>
        <v/>
      </c>
      <c r="H169" s="23" t="str">
        <f t="shared" si="42"/>
        <v/>
      </c>
      <c r="I169" s="23" t="str">
        <f t="shared" si="43"/>
        <v/>
      </c>
      <c r="T169" t="str">
        <f t="shared" si="44"/>
        <v/>
      </c>
    </row>
    <row r="170" spans="1:20">
      <c r="A170" s="23">
        <v>147</v>
      </c>
      <c r="B170" s="25" t="str">
        <f t="shared" si="36"/>
        <v/>
      </c>
      <c r="C170" s="23" t="str">
        <f t="shared" si="37"/>
        <v/>
      </c>
      <c r="D170" s="23" t="str">
        <f t="shared" si="38"/>
        <v/>
      </c>
      <c r="E170" s="23" t="str">
        <f t="shared" si="39"/>
        <v/>
      </c>
      <c r="F170" s="23" t="str">
        <f t="shared" si="40"/>
        <v/>
      </c>
      <c r="G170" s="27" t="str">
        <f t="shared" si="41"/>
        <v/>
      </c>
      <c r="H170" s="23" t="str">
        <f t="shared" si="42"/>
        <v/>
      </c>
      <c r="I170" s="23" t="str">
        <f t="shared" si="43"/>
        <v/>
      </c>
      <c r="T170" t="str">
        <f t="shared" si="44"/>
        <v/>
      </c>
    </row>
    <row r="171" spans="1:20">
      <c r="A171" s="23">
        <v>148</v>
      </c>
      <c r="B171" s="25" t="str">
        <f t="shared" si="36"/>
        <v/>
      </c>
      <c r="C171" s="23" t="str">
        <f t="shared" si="37"/>
        <v/>
      </c>
      <c r="D171" s="23" t="str">
        <f t="shared" si="38"/>
        <v/>
      </c>
      <c r="E171" s="23" t="str">
        <f t="shared" si="39"/>
        <v/>
      </c>
      <c r="F171" s="23" t="str">
        <f t="shared" si="40"/>
        <v/>
      </c>
      <c r="G171" s="27" t="str">
        <f t="shared" si="41"/>
        <v/>
      </c>
      <c r="H171" s="23" t="str">
        <f t="shared" si="42"/>
        <v/>
      </c>
      <c r="I171" s="23" t="str">
        <f t="shared" si="43"/>
        <v/>
      </c>
      <c r="T171" t="str">
        <f t="shared" si="44"/>
        <v/>
      </c>
    </row>
    <row r="172" spans="1:20">
      <c r="A172" s="23">
        <v>149</v>
      </c>
      <c r="B172" s="25" t="str">
        <f t="shared" si="36"/>
        <v/>
      </c>
      <c r="C172" s="23" t="str">
        <f t="shared" si="37"/>
        <v/>
      </c>
      <c r="D172" s="23" t="str">
        <f t="shared" si="38"/>
        <v/>
      </c>
      <c r="E172" s="23" t="str">
        <f t="shared" si="39"/>
        <v/>
      </c>
      <c r="F172" s="23" t="str">
        <f t="shared" si="40"/>
        <v/>
      </c>
      <c r="G172" s="27" t="str">
        <f t="shared" si="41"/>
        <v/>
      </c>
      <c r="H172" s="23" t="str">
        <f t="shared" si="42"/>
        <v/>
      </c>
      <c r="I172" s="23" t="str">
        <f t="shared" si="43"/>
        <v/>
      </c>
      <c r="T172" t="str">
        <f t="shared" si="44"/>
        <v/>
      </c>
    </row>
    <row r="173" spans="1:20">
      <c r="A173" s="23">
        <v>150</v>
      </c>
      <c r="B173" s="25" t="str">
        <f t="shared" si="36"/>
        <v/>
      </c>
      <c r="C173" s="23" t="str">
        <f t="shared" si="37"/>
        <v/>
      </c>
      <c r="D173" s="23" t="str">
        <f t="shared" si="38"/>
        <v/>
      </c>
      <c r="E173" s="23" t="str">
        <f t="shared" si="39"/>
        <v/>
      </c>
      <c r="F173" s="23" t="str">
        <f t="shared" si="40"/>
        <v/>
      </c>
      <c r="G173" s="27" t="str">
        <f t="shared" si="41"/>
        <v/>
      </c>
      <c r="H173" s="23" t="str">
        <f t="shared" si="42"/>
        <v/>
      </c>
      <c r="I173" s="23" t="str">
        <f t="shared" si="43"/>
        <v/>
      </c>
      <c r="T173" t="str">
        <f t="shared" si="44"/>
        <v/>
      </c>
    </row>
  </sheetData>
  <mergeCells count="11">
    <mergeCell ref="A22:I22"/>
    <mergeCell ref="A1:L1"/>
    <mergeCell ref="A2:L2"/>
    <mergeCell ref="A4:C4"/>
    <mergeCell ref="A5:C6"/>
    <mergeCell ref="D4:F4"/>
    <mergeCell ref="D5:F6"/>
    <mergeCell ref="G4:I4"/>
    <mergeCell ref="G5:I6"/>
    <mergeCell ref="J4:L4"/>
    <mergeCell ref="J5:L6"/>
  </mergeCells>
  <conditionalFormatting sqref="F24:F173">
    <cfRule type="expression" dxfId="2" priority="1">
      <formula>$F24="LOW"</formula>
    </cfRule>
    <cfRule type="expression" dxfId="1" priority="2">
      <formula>$F24="MEDIUM"</formula>
    </cfRule>
    <cfRule type="expression" dxfId="0" priority="3">
      <formula>$F24="HIGH"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 assessment</vt:lpstr>
      <vt:lpstr>02 OH system</vt:lpstr>
      <vt:lpstr>03 work process</vt:lpstr>
      <vt:lpstr>04 Hazards</vt:lpstr>
      <vt:lpstr>Attachments</vt:lpstr>
      <vt:lpstr>AdminLog</vt:lpstr>
      <vt:lpstr>Settings</vt:lpstr>
      <vt:lpstr>Admin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นพ. เทวัช ห่านศรีวิจิตร</cp:lastModifiedBy>
  <dcterms:modified xsi:type="dcterms:W3CDTF">2026-08-26T18:14:04Z</dcterms:modified>
</cp:coreProperties>
</file>