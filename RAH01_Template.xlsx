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8133b83ee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assessment" sheetId="1" r:id="Rf0c3961defd2446d"/>
    <x:sheet xmlns:r="http://schemas.openxmlformats.org/officeDocument/2006/relationships" name="02 OH system" sheetId="2" r:id="Re4065eb71043468f"/>
    <x:sheet xmlns:r="http://schemas.openxmlformats.org/officeDocument/2006/relationships" name="03 work process" sheetId="3" r:id="R910faf915d8e4b19"/>
    <x:sheet xmlns:r="http://schemas.openxmlformats.org/officeDocument/2006/relationships" name="04 Hazards" sheetId="4" r:id="Reada1ca490c04a71"/>
    <x:sheet xmlns:r="http://schemas.openxmlformats.org/officeDocument/2006/relationships" name="Attachments" sheetId="5" r:id="R8dde89202bc540f1"/>
    <x:sheet xmlns:r="http://schemas.openxmlformats.org/officeDocument/2006/relationships" name="AdminLog" sheetId="6" r:id="R17a18d7575e34b8e"/>
    <x:sheet xmlns:r="http://schemas.openxmlformats.org/officeDocument/2006/relationships" name="Settings" sheetId="7" r:id="R78b298f22e3b4557"/>
    <x:sheet xmlns:r="http://schemas.openxmlformats.org/officeDocument/2006/relationships" name="Admin Dashboard" sheetId="8" r:id="Ra77ca79c60c645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0"/>
    <x:numFmt numFmtId="203" formatCode="[=1]&quot;Active&quot;;[=0]&quot;Inactive&quot;;General"/>
  </x:numFmts>
  <x:fonts count="12">
    <x:font>
      <x:sz val="11"/>
      <x:name val="Carlito"/>
    </x:font>
    <x:font>
      <x:b/>
      <x:sz val="15"/>
      <x:color rgb="FFFFFFFF"/>
      <x:name val="Aptos"/>
    </x:font>
    <x:font>
      <x:i/>
      <x:sz val="10"/>
      <x:color rgb="FF52656D"/>
      <x:name val="Aptos"/>
    </x:font>
    <x:font>
      <x:sz val="10"/>
      <x:color rgb="FF24343A"/>
      <x:name val="Aptos"/>
    </x:font>
    <x:font>
      <x:b/>
      <x:sz val="10"/>
      <x:color rgb="FFFFFFFF"/>
      <x:name val="Aptos"/>
    </x:font>
    <x:font>
      <x:b/>
      <x:sz val="10"/>
      <x:color rgb="FF103B4C"/>
      <x:name val="Aptos"/>
    </x:font>
    <x:font>
      <x:b/>
      <x:sz val="14"/>
      <x:color rgb="FFFFFFFF"/>
      <x:name val="Aptos Display"/>
    </x:font>
    <x:font>
      <x:b/>
      <x:sz val="10"/>
      <x:color rgb="FF24343A"/>
      <x:name val="Aptos"/>
    </x:font>
    <x:font>
      <x:b/>
      <x:sz val="11"/>
      <x:color rgb="FF24343A"/>
      <x:name val="Aptos"/>
    </x:font>
    <x:font>
      <x:b/>
      <x:sz val="17"/>
      <x:color rgb="FFFFFFFF"/>
      <x:name val="Aptos Display"/>
    </x:font>
    <x:font>
      <x:b/>
      <x:sz val="22"/>
      <x:color rgb="FF103B4C"/>
      <x:name val="Aptos Display"/>
    </x:font>
    <x:font>
      <x:b/>
      <x:sz val="12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03B4C"/>
      </x:patternFill>
    </x:fill>
    <x:fill>
      <x:patternFill patternType="solid">
        <x:fgColor rgb="FFEAF2F4"/>
      </x:patternFill>
    </x:fill>
    <x:fill>
      <x:patternFill patternType="solid">
        <x:fgColor rgb="FF1E6F7A"/>
      </x:patternFill>
    </x:fill>
    <x:fill>
      <x:patternFill patternType="solid">
        <x:fgColor rgb="FFFFF8D6"/>
      </x:patternFill>
    </x:fill>
    <x:fill>
      <x:patternFill patternType="solid">
        <x:fgColor rgb="FFE8F2FA"/>
      </x:patternFill>
    </x:fill>
    <x:fill>
      <x:patternFill patternType="solid">
        <x:fgColor rgb="FFEEF3F6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1E6F7A"/>
      </x:left>
      <x:top style="thin">
        <x:color rgb="FF1E6F7A"/>
      </x:top>
      <x:bottom style="thin">
        <x:color rgb="FF1E6F7A"/>
      </x:bottom>
    </x:border>
    <x:border>
      <x:top style="thin">
        <x:color rgb="FF1E6F7A"/>
      </x:top>
      <x:bottom style="thin">
        <x:color rgb="FF1E6F7A"/>
      </x:bottom>
    </x:border>
    <x:border>
      <x:right style="thin">
        <x:color rgb="FF1E6F7A"/>
      </x:right>
      <x:top style="thin">
        <x:color rgb="FF1E6F7A"/>
      </x:top>
      <x:bottom style="thin">
        <x:color rgb="FF1E6F7A"/>
      </x:bottom>
    </x:border>
    <x:border>
      <x:left style="thin">
        <x:color rgb="FFCFDDE1"/>
      </x:left>
      <x:top style="thin">
        <x:color rgb="FFCFDDE1"/>
      </x:top>
    </x:border>
    <x:border>
      <x:top style="thin">
        <x:color rgb="FFCFDDE1"/>
      </x:top>
    </x:border>
    <x:border>
      <x:right style="thin">
        <x:color rgb="FFCFDDE1"/>
      </x:right>
      <x:top style="thin">
        <x:color rgb="FFCFDDE1"/>
      </x:top>
    </x:border>
    <x:border>
      <x:left style="thin">
        <x:color rgb="FFCFDDE1"/>
      </x:left>
      <x:bottom style="thin">
        <x:color rgb="FFCFDDE1"/>
      </x:bottom>
    </x:border>
    <x:border>
      <x:bottom style="thin">
        <x:color rgb="FFCFDDE1"/>
      </x:bottom>
    </x:border>
    <x:border>
      <x:right style="thin">
        <x:color rgb="FFCFDDE1"/>
      </x:right>
      <x:bottom style="thin">
        <x:color rgb="FFCFDDE1"/>
      </x:bottom>
    </x:border>
    <x:border>
      <x:top style="thin">
        <x:color rgb="FFCFDDE1"/>
      </x:top>
      <x:bottom style="thin">
        <x:color rgb="FFCFDDE1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5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7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0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201" fontId="3" fillId="6" borderId="0" xfId="0" applyNumberFormat="1" applyFont="1" applyFill="1" applyBorder="1" applyAlignment="1">
      <x:alignment vertical="top" wrapText="1"/>
    </x:xf>
    <x:xf numFmtId="202" fontId="3" fillId="5" borderId="0" xfId="0" applyNumberFormat="1" applyFont="1" applyFill="1" applyBorder="1" applyAlignment="1">
      <x:alignment vertical="top" wrapText="1"/>
    </x:xf>
    <x:xf numFmtId="202" fontId="3" fillId="6" borderId="0" xfId="0" applyNumberFormat="1" applyFont="1" applyFill="1" applyBorder="1" applyAlignment="1">
      <x:alignment vertical="top" wrapText="1"/>
    </x:xf>
    <x:xf numFmtId="200" fontId="3" fillId="6" borderId="0" xfId="0" applyNumberFormat="1" applyFont="1" applyFill="1" applyBorder="1" applyAlignment="1">
      <x:alignment vertical="top" wrapText="1"/>
    </x:xf>
    <x:xf numFmtId="201" fontId="3" fillId="5" borderId="0" xfId="0" applyNumberFormat="1" applyFont="1" applyFill="1" applyBorder="1" applyAlignment="1">
      <x:alignment vertical="top" wrapText="1"/>
    </x:xf>
    <x:xf numFmtId="203" fontId="3" fillId="5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4" xfId="0" applyNumberFormat="1" applyFont="1" applyFill="1" applyBorder="1"/>
    <x:xf numFmtId="0" fontId="10" fillId="8" borderId="5" xfId="0" applyNumberFormat="1" applyFont="1" applyFill="1" applyBorder="1"/>
    <x:xf numFmtId="0" fontId="10" fillId="8" borderId="6" xfId="0" applyNumberFormat="1" applyFont="1" applyFill="1" applyBorder="1"/>
    <x:xf numFmtId="0" fontId="10" fillId="8" borderId="7" xfId="0" applyNumberFormat="1" applyFont="1" applyFill="1" applyBorder="1"/>
    <x:xf numFmtId="0" fontId="10" fillId="8" borderId="8" xfId="0" applyNumberFormat="1" applyFont="1" applyFill="1" applyBorder="1"/>
    <x:xf numFmtId="0" fontId="10" fillId="8" borderId="9" xfId="0" applyNumberFormat="1" applyFont="1" applyFill="1" applyBorder="1"/>
    <x:xf numFmtId="0" fontId="10" fillId="8" borderId="4" xfId="0" applyNumberFormat="1" applyFont="1" applyFill="1" applyBorder="1" applyAlignment="1">
      <x:alignment horizontal="center"/>
    </x:xf>
    <x:xf numFmtId="0" fontId="10" fillId="8" borderId="5" xfId="0" applyNumberFormat="1" applyFont="1" applyFill="1" applyBorder="1" applyAlignment="1">
      <x:alignment horizontal="center"/>
    </x:xf>
    <x:xf numFmtId="0" fontId="10" fillId="8" borderId="6" xfId="0" applyNumberFormat="1" applyFont="1" applyFill="1" applyBorder="1" applyAlignment="1">
      <x:alignment horizontal="center"/>
    </x:xf>
    <x:xf numFmtId="0" fontId="10" fillId="8" borderId="7" xfId="0" applyNumberFormat="1" applyFont="1" applyFill="1" applyBorder="1" applyAlignment="1">
      <x:alignment horizontal="center"/>
    </x:xf>
    <x:xf numFmtId="0" fontId="10" fillId="8" borderId="8" xfId="0" applyNumberFormat="1" applyFont="1" applyFill="1" applyBorder="1" applyAlignment="1">
      <x:alignment horizontal="center"/>
    </x:xf>
    <x:xf numFmtId="0" fontId="10" fillId="8" borderId="9" xfId="0" applyNumberFormat="1" applyFont="1" applyFill="1" applyBorder="1" applyAlignment="1">
      <x:alignment horizontal="center"/>
    </x:xf>
    <x:xf numFmtId="0" fontId="10" fillId="8" borderId="4" xfId="0" applyNumberFormat="1" applyFont="1" applyFill="1" applyBorder="1" applyAlignment="1">
      <x:alignment horizontal="center" vertical="center"/>
    </x:xf>
    <x:xf numFmtId="0" fontId="10" fillId="8" borderId="5" xfId="0" applyNumberFormat="1" applyFont="1" applyFill="1" applyBorder="1" applyAlignment="1">
      <x:alignment horizontal="center" vertical="center"/>
    </x:xf>
    <x:xf numFmtId="0" fontId="10" fillId="8" borderId="6" xfId="0" applyNumberFormat="1" applyFont="1" applyFill="1" applyBorder="1" applyAlignment="1">
      <x:alignment horizontal="center" vertical="center"/>
    </x:xf>
    <x:xf numFmtId="0" fontId="10" fillId="8" borderId="7" xfId="0" applyNumberFormat="1" applyFont="1" applyFill="1" applyBorder="1" applyAlignment="1">
      <x:alignment horizontal="center" vertical="center"/>
    </x:xf>
    <x:xf numFmtId="0" fontId="10" fillId="8" borderId="8" xfId="0" applyNumberFormat="1" applyFont="1" applyFill="1" applyBorder="1" applyAlignment="1">
      <x:alignment horizontal="center" vertical="center"/>
    </x:xf>
    <x:xf numFmtId="0" fontId="10" fillId="8" borderId="9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/>
    <x:xf numFmtId="0" fontId="3" fillId="0" borderId="10" xfId="0" applyNumberFormat="1" applyFont="1" applyFill="1" applyBorder="1"/>
    <x:xf numFmtId="0" fontId="3" fillId="0" borderId="8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200" fontId="3" fillId="0" borderId="8" xfId="0" applyNumberFormat="1" applyFont="1" applyFill="1" applyBorder="1" applyAlignment="1">
      <x:alignment vertical="center" wrapText="1"/>
    </x:xf>
    <x:xf numFmtId="200" fontId="3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52656D"/>
      </x:font>
      <x:fill>
        <x:patternFill patternType="solid">
          <x:bgColor rgb="FFEEF3F6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4adfc2aa54cc7" /><Relationship Type="http://schemas.openxmlformats.org/officeDocument/2006/relationships/theme" Target="/xl/theme/theme1.xml" Id="Rad26889957ef417a" /><Relationship Type="http://schemas.microsoft.com/office/2022/11/relationships/FeaturePropertyBag" Target="/xl/featurePropertyBag/featurePropertyBag.xml" Id="Rb577e4b83ad4404e" /><Relationship Type="http://schemas.openxmlformats.org/officeDocument/2006/relationships/sharedStrings" Target="/xl/sharedStrings.xml" Id="R184b1a7ab42c4153" /><Relationship Type="http://schemas.openxmlformats.org/officeDocument/2006/relationships/worksheet" Target="/xl/worksheets/sheet1.xml" Id="Rf0c3961defd2446d" /><Relationship Type="http://schemas.openxmlformats.org/officeDocument/2006/relationships/worksheet" Target="/xl/worksheets/sheet2.xml" Id="Re4065eb71043468f" /><Relationship Type="http://schemas.openxmlformats.org/officeDocument/2006/relationships/worksheet" Target="/xl/worksheets/sheet3.xml" Id="R910faf915d8e4b19" /><Relationship Type="http://schemas.openxmlformats.org/officeDocument/2006/relationships/worksheet" Target="/xl/worksheets/sheet4.xml" Id="Reada1ca490c04a71" /><Relationship Type="http://schemas.openxmlformats.org/officeDocument/2006/relationships/worksheet" Target="/xl/worksheets/sheet5.xml" Id="R8dde89202bc540f1" /><Relationship Type="http://schemas.openxmlformats.org/officeDocument/2006/relationships/worksheet" Target="/xl/worksheets/sheet6.xml" Id="R17a18d7575e34b8e" /><Relationship Type="http://schemas.openxmlformats.org/officeDocument/2006/relationships/worksheet" Target="/xl/worksheets/sheet7.xml" Id="R78b298f22e3b4557" /><Relationship Type="http://schemas.openxmlformats.org/officeDocument/2006/relationships/worksheet" Target="/xl/worksheets/sheet8.xml" Id="Ra77ca79c60c645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fe34fbf6ca2468a" /><Relationship Type="http://schemas.openxmlformats.org/officeDocument/2006/relationships/chart" Target="/xl/drawings/charts/chart2.xml" Id="R60ef9c3e2a9e41f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Highest assessment risk scores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Peak risk score</c:v>
          </c:tx>
          <c:spPr>
            <a:solidFill xmlns:a="http://schemas.openxmlformats.org/drawingml/2006/main">
              <a:srgbClr val="1E6F7A"/>
            </a:solidFill>
          </c:spPr>
          <c:cat>
            <c:strRef>
              <c:f>'Admin Dashboard'!$Q$4:$Q$7</c:f>
              <c:strCache>
                <c:ptCount val="0"/>
              </c:strCache>
            </c:strRef>
          </c:cat>
          <c:val>
            <c:numRef>
              <c:f>'Admin Dashboard'!$R$4:$R$7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  <c:majorUnit val="1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Present hazards by category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Present hazards</c:v>
          </c:tx>
          <c:cat>
            <c:strRef>
              <c:f>'Admin Dashboard'!$N$4:$N$11</c:f>
              <c:strCache>
                <c:ptCount val="0"/>
              </c:strCache>
            </c:strRef>
          </c:cat>
          <c:val>
            <c:numRef>
              <c:f>'Admin Dashboard'!$O$4:$O$11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fe34fbf6ca2468a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ef9c3e2a9e41fa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Assessments" displayName="tblAssessments" ref="A3:O73" headerRowCount="1" totalsRowCount="0" totalsRowShown="0">
  <x:autoFilter ref="A3:O73"/>
  <x:tableColumns count="15">
    <x:tableColumn id="1" name="department_name"/>
    <x:tableColumn id="2" name="assessment_date"/>
    <x:tableColumn id="3" name="status"/>
    <x:tableColumn id="4" name="evaluator_name"/>
    <x:tableColumn id="5" name="additional_evaluators"/>
    <x:tableColumn id="6" name="total_staff_count"/>
    <x:tableColumn id="7" name="overall_risk_score"/>
    <x:tableColumn id="8" name="overall_risk_level"/>
    <x:tableColumn id="9" name="report_number"/>
    <x:tableColumn id="10" name="submitted_at"/>
    <x:tableColumn id="11" name="department_code"/>
    <x:tableColumn id="12" name="department_id"/>
    <x:tableColumn id="13" name="assessment_id"/>
    <x:tableColumn id="14" name="schema_version"/>
    <x:tableColumn id="15" name="form_ver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Checklist" displayName="tblChecklist" ref="A3:J703" headerRowCount="1" totalsRowCount="0" totalsRowShown="0">
  <x:autoFilter ref="A3:J703"/>
  <x:tableColumns count="10">
    <x:tableColumn id="1" name="department_name"/>
    <x:tableColumn id="2" name="assessment_date"/>
    <x:tableColumn id="3" name="report_number"/>
    <x:tableColumn id="4" name="item_order"/>
    <x:tableColumn id="5" name="item_label_en"/>
    <x:tableColumn id="6" name="status"/>
    <x:tableColumn id="7" name="not_applicable_reason"/>
    <x:tableColumn id="8" name="item_key"/>
    <x:tableColumn id="9" name="assessment_id"/>
    <x:tableColumn id="10" name="checklist_response_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WorkSteps" displayName="tblWorkSteps" ref="A3:J210" headerRowCount="1" totalsRowCount="0" totalsRowShown="0">
  <x:autoFilter ref="A3:J210"/>
  <x:tableColumns count="10">
    <x:tableColumn id="1" name="department_name"/>
    <x:tableColumn id="2" name="assessment_date"/>
    <x:tableColumn id="3" name="report_number"/>
    <x:tableColumn id="4" name="step_order"/>
    <x:tableColumn id="5" name="work_step"/>
    <x:tableColumn id="6" name="primary_hazards"/>
    <x:tableColumn id="7" name="work_duration"/>
    <x:tableColumn id="8" name="staff_involved_count"/>
    <x:tableColumn id="9" name="assessment_id"/>
    <x:tableColumn id="10" name="work_step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Hazards" displayName="tblHazards" ref="A3:U488" headerRowCount="1" totalsRowCount="0" totalsRowShown="0">
  <x:autoFilter ref="A3:U488"/>
  <x:tableColumns count="21">
    <x:tableColumn id="1" name="department_name"/>
    <x:tableColumn id="2" name="assessment_date"/>
    <x:tableColumn id="3" name="report_number"/>
    <x:tableColumn id="4" name="hazard_order"/>
    <x:tableColumn id="5" name="category_label_en"/>
    <x:tableColumn id="6" name="hazard_label_en"/>
    <x:tableColumn id="7" name="exposed_staff_count"/>
    <x:tableColumn id="8" name="exposed_client_count"/>
    <x:tableColumn id="9" name="exposure_score_a"/>
    <x:tableColumn id="10" name="severity_score_b"/>
    <x:tableColumn id="11" name="risk_score_c"/>
    <x:tableColumn id="12" name="risk_level"/>
    <x:tableColumn id="13" name="existing_controls"/>
    <x:tableColumn id="14" name="recommendation"/>
    <x:tableColumn id="15" name="has_attachment"/>
    <x:tableColumn id="16" name="category_code"/>
    <x:tableColumn id="17" name="hazard_key"/>
    <x:tableColumn id="18" name="custom_title"/>
    <x:tableColumn id="19" name="has_risk"/>
    <x:tableColumn id="20" name="assessment_id"/>
    <x:tableColumn id="21" name="hazard_evaluation_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Attachments" displayName="tblAttachments" ref="A3:M89" headerRowCount="1" totalsRowCount="0" totalsRowShown="0">
  <x:autoFilter ref="A3:M89"/>
  <x:tableColumns count="13">
    <x:tableColumn id="1" name="department_name"/>
    <x:tableColumn id="2" name="assessment_date"/>
    <x:tableColumn id="3" name="report_number"/>
    <x:tableColumn id="4" name="file_name"/>
    <x:tableColumn id="5" name="mime_type"/>
    <x:tableColumn id="6" name="size_bytes"/>
    <x:tableColumn id="7" name="uploaded_at"/>
    <x:tableColumn id="8" name="drive_url"/>
    <x:tableColumn id="9" name="last_modified"/>
    <x:tableColumn id="10" name="drive_file_id"/>
    <x:tableColumn id="11" name="assessment_id"/>
    <x:tableColumn id="12" name="hazard_evaluation_id"/>
    <x:tableColumn id="13" name="attachment_i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AdminLog" displayName="tblAdminLog" ref="A3:I171" headerRowCount="1" totalsRowCount="0" totalsRowShown="0">
  <x:autoFilter ref="A3:I171"/>
  <x:tableColumns count="9">
    <x:tableColumn id="1" name="department_name"/>
    <x:tableColumn id="2" name="assessment_date"/>
    <x:tableColumn id="3" name="report_number"/>
    <x:tableColumn id="4" name="event_at"/>
    <x:tableColumn id="5" name="event_type"/>
    <x:tableColumn id="6" name="actor"/>
    <x:tableColumn id="7" name="admin_note"/>
    <x:tableColumn id="8" name="assessment_id"/>
    <x:tableColumn id="9" name="log_i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Departments" displayName="tblDepartments" ref="A3:E153" headerRowCount="1" totalsRowCount="0" totalsRowShown="0">
  <x:autoFilter ref="A3:E153"/>
  <x:tableColumns count="5">
    <x:tableColumn id="1" name="department_name"/>
    <x:tableColumn id="2" name="department_code"/>
    <x:tableColumn id="3" name="active"/>
    <x:tableColumn id="4" name="sort_order"/>
    <x:tableColumn id="5" name="department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298562f671e47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57745ba53e49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a716497173445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43d44b768754a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ac548a711154d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498c7202bd34ec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5c6e4dfafebd43f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63712d52339a4e6a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28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  <x:col min="9" max="9" width="19" hidden="0" customWidth="1"/>
    <x:col min="10" max="10" width="20" hidden="0" customWidth="1"/>
    <x:col min="11" max="11" width="18" hidden="0" customWidth="1"/>
    <x:col min="12" max="12" width="18" hidden="0" customWidth="1"/>
    <x:col min="13" max="13" width="20" hidden="0" customWidth="1"/>
    <x:col min="14" max="14" width="23" hidden="0" customWidth="1"/>
    <x:col min="15" max="15" width="16" hidden="0" customWidth="1"/>
  </x:cols>
  <x:sheetData>
    <x:row r="1" ht="28" customHeight="1">
      <x:c r="A1" s="3" t="str">
        <x:v>RAH.01 Assessments / การประเมินความเสี่ยง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32" customHeight="1">
      <x:c r="A2" s="7" t="str">
        <x:v>Department-first review: immutable submitted name and date lead each row; technical IDs remain at the far right.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</x:row>
    <x:row r="3" ht="34" customHeight="1">
      <x:c r="A3" s="20" t="str">
        <x:v>department_name</x:v>
      </x:c>
      <x:c r="B3" s="21" t="str">
        <x:v>assessment_date</x:v>
      </x:c>
      <x:c r="C3" s="21" t="str">
        <x:v>status</x:v>
      </x:c>
      <x:c r="D3" s="21" t="str">
        <x:v>evaluator_name</x:v>
      </x:c>
      <x:c r="E3" s="21" t="str">
        <x:v>additional_evaluators</x:v>
      </x:c>
      <x:c r="F3" s="21" t="str">
        <x:v>total_staff_count</x:v>
      </x:c>
      <x:c r="G3" s="21" t="str">
        <x:v>overall_risk_score</x:v>
      </x:c>
      <x:c r="H3" s="21" t="str">
        <x:v>overall_risk_level</x:v>
      </x:c>
      <x:c r="I3" s="21" t="str">
        <x:v>report_number</x:v>
      </x:c>
      <x:c r="J3" s="21" t="str">
        <x:v>submitted_at</x:v>
      </x:c>
      <x:c r="K3" s="21" t="str">
        <x:v>department_code</x:v>
      </x:c>
      <x:c r="L3" s="21" t="str">
        <x:v>department_id</x:v>
      </x:c>
      <x:c r="M3" s="21" t="str">
        <x:v>assessment_id</x:v>
      </x:c>
      <x:c r="N3" s="21" t="str">
        <x:v>schema_version</x:v>
      </x:c>
      <x:c r="O3" s="22" t="str">
        <x:v>form_version</x:v>
      </x:c>
    </x:row>
    <x:row r="4">
      <x:c r="A4" s="28" t="str">
        <x:v>Accident &amp; Emergency</x:v>
      </x:c>
      <x:c r="B4" s="33" t="n">
        <x:v>46026</x:v>
      </x:c>
      <x:c r="C4" s="25" t="str">
        <x:v>SUBMITTED</x:v>
      </x:c>
      <x:c r="D4" s="25" t="str">
        <x:v>Occupational-health evaluator — Accident &amp; Emergency</x:v>
      </x:c>
      <x:c r="E4" s="25" t="str"/>
      <x:c r="F4" s="35" t="n">
        <x:v>13</x:v>
      </x:c>
      <x:c r="G4" s="36" t="n">
        <x:f>IF(M4="","",IF(COUNTIFS(tblHazards[assessment_id],M4,tblHazards[has_risk],1)=0,"",MAXIFS(tblHazards[risk_score_c],tblHazards[assessment_id],M4,tblHazards[has_risk],1)))</x:f>
        <x:v>9</x:v>
      </x:c>
      <x:c r="H4" s="26" t="str">
        <x:f>IF(G4="","",IF(G4&lt;=2,"LOW",IF(G4&lt;=4,"MEDIUM","HIGH")))</x:f>
        <x:v>HIGH</x:v>
      </x:c>
      <x:c r="I4" s="26" t="str">
        <x:v>RAH01-2026-001</x:v>
      </x:c>
      <x:c r="J4" s="34" t="n">
        <x:v>46027.08819444444</x:v>
      </x:c>
      <x:c r="K4" s="27" t="str">
        <x:v>01</x:v>
      </x:c>
      <x:c r="L4" s="27" t="str">
        <x:v>DPT-001</x:v>
      </x:c>
      <x:c r="M4" s="27" t="str">
        <x:v>ASM-2026-001</x:v>
      </x:c>
      <x:c r="N4" s="27" t="str">
        <x:v>rah01-submission.v1</x:v>
      </x:c>
      <x:c r="O4" s="27" t="str">
        <x:v>1.1.0</x:v>
      </x:c>
    </x:row>
    <x:row r="5">
      <x:c r="A5" s="28" t="str">
        <x:v>Anaesthesia</x:v>
      </x:c>
      <x:c r="B5" s="33" t="n">
        <x:v>46060</x:v>
      </x:c>
      <x:c r="C5" s="25" t="str">
        <x:v>IN_REVIEW</x:v>
      </x:c>
      <x:c r="D5" s="25" t="str">
        <x:v>Occupational-health evaluator — Anaesthesia</x:v>
      </x:c>
      <x:c r="E5" s="25" t="str"/>
      <x:c r="F5" s="35" t="n">
        <x:v>20</x:v>
      </x:c>
      <x:c r="G5" s="36" t="n">
        <x:f>IF(M5="","",IF(COUNTIFS(tblHazards[assessment_id],M5,tblHazards[has_risk],1)=0,"",MAXIFS(tblHazards[risk_score_c],tblHazards[assessment_id],M5,tblHazards[has_risk],1)))</x:f>
        <x:v>9</x:v>
      </x:c>
      <x:c r="H5" s="26" t="str">
        <x:f>IF(G5="","",IF(G5&lt;=2,"LOW",IF(G5&lt;=4,"MEDIUM","HIGH")))</x:f>
        <x:v>HIGH</x:v>
      </x:c>
      <x:c r="I5" s="26" t="str">
        <x:v>RAH01-2026-002</x:v>
      </x:c>
      <x:c r="J5" s="34" t="n">
        <x:v>46061.134722222225</x:v>
      </x:c>
      <x:c r="K5" s="27" t="str">
        <x:v>02</x:v>
      </x:c>
      <x:c r="L5" s="27" t="str">
        <x:v>DPT-002</x:v>
      </x:c>
      <x:c r="M5" s="27" t="str">
        <x:v>ASM-2026-002</x:v>
      </x:c>
      <x:c r="N5" s="27" t="str">
        <x:v>rah01-submission.v1</x:v>
      </x:c>
      <x:c r="O5" s="27" t="str">
        <x:v>1.1.0</x:v>
      </x:c>
    </x:row>
    <x:row r="6">
      <x:c r="A6" s="28" t="str">
        <x:v>Cardiology</x:v>
      </x:c>
      <x:c r="B6" s="33" t="n">
        <x:v>46091</x:v>
      </x:c>
      <x:c r="C6" s="25" t="str">
        <x:v>CLOSED</x:v>
      </x:c>
      <x:c r="D6" s="25" t="str">
        <x:v>Occupational-health evaluator — Cardiology</x:v>
      </x:c>
      <x:c r="E6" s="25" t="str">
        <x:v>Department supervisor</x:v>
      </x:c>
      <x:c r="F6" s="35" t="n">
        <x:v>27</x:v>
      </x:c>
      <x:c r="G6" s="36" t="n">
        <x:f>IF(M6="","",IF(COUNTIFS(tblHazards[assessment_id],M6,tblHazards[has_risk],1)=0,"",MAXIFS(tblHazards[risk_score_c],tblHazards[assessment_id],M6,tblHazards[has_risk],1)))</x:f>
        <x:v>9</x:v>
      </x:c>
      <x:c r="H6" s="26" t="str">
        <x:f>IF(G6="","",IF(G6&lt;=2,"LOW",IF(G6&lt;=4,"MEDIUM","HIGH")))</x:f>
        <x:v>HIGH</x:v>
      </x:c>
      <x:c r="I6" s="26" t="str">
        <x:v>RAH01-2026-003</x:v>
      </x:c>
      <x:c r="J6" s="34" t="n">
        <x:v>46092.18125</x:v>
      </x:c>
      <x:c r="K6" s="27" t="str">
        <x:v>03</x:v>
      </x:c>
      <x:c r="L6" s="27" t="str">
        <x:v>DPT-003</x:v>
      </x:c>
      <x:c r="M6" s="27" t="str">
        <x:v>ASM-2026-003</x:v>
      </x:c>
      <x:c r="N6" s="27" t="str">
        <x:v>rah01-submission.v1</x:v>
      </x:c>
      <x:c r="O6" s="27" t="str">
        <x:v>1.1.0</x:v>
      </x:c>
    </x:row>
    <x:row r="7">
      <x:c r="A7" s="28" t="str">
        <x:v>Cardiothoracic Surgery</x:v>
      </x:c>
      <x:c r="B7" s="33" t="n">
        <x:v>46125</x:v>
      </x:c>
      <x:c r="C7" s="25" t="str">
        <x:v>CLOSED</x:v>
      </x:c>
      <x:c r="D7" s="25" t="str">
        <x:v>Occupational-health evaluator — Cardiothoracic Surgery</x:v>
      </x:c>
      <x:c r="E7" s="25" t="str">
        <x:v>Safety representative; department supervisor</x:v>
      </x:c>
      <x:c r="F7" s="35" t="n">
        <x:v>34</x:v>
      </x:c>
      <x:c r="G7" s="36" t="n">
        <x:f>IF(M7="","",IF(COUNTIFS(tblHazards[assessment_id],M7,tblHazards[has_risk],1)=0,"",MAXIFS(tblHazards[risk_score_c],tblHazards[assessment_id],M7,tblHazards[has_risk],1)))</x:f>
        <x:v>9</x:v>
      </x:c>
      <x:c r="H7" s="26" t="str">
        <x:f>IF(G7="","",IF(G7&lt;=2,"LOW",IF(G7&lt;=4,"MEDIUM","HIGH")))</x:f>
        <x:v>HIGH</x:v>
      </x:c>
      <x:c r="I7" s="26" t="str">
        <x:v>RAH01-2026-004</x:v>
      </x:c>
      <x:c r="J7" s="34" t="n">
        <x:v>46126.22777777778</x:v>
      </x:c>
      <x:c r="K7" s="27" t="str">
        <x:v>04</x:v>
      </x:c>
      <x:c r="L7" s="27" t="str">
        <x:v>DPT-004</x:v>
      </x:c>
      <x:c r="M7" s="27" t="str">
        <x:v>ASM-2026-004</x:v>
      </x:c>
      <x:c r="N7" s="27" t="str">
        <x:v>rah01-submission.v1</x:v>
      </x:c>
      <x:c r="O7" s="27" t="str">
        <x:v>1.1.0</x:v>
      </x:c>
    </x:row>
    <x:row r="8">
      <x:c r="A8" s="28" t="str">
        <x:v>Central Sterile Supply</x:v>
      </x:c>
      <x:c r="B8" s="33" t="n">
        <x:v>46158</x:v>
      </x:c>
      <x:c r="C8" s="25" t="str">
        <x:v>RETURNED</x:v>
      </x:c>
      <x:c r="D8" s="25" t="str">
        <x:v>Occupational-health evaluator — Central Sterile Supply</x:v>
      </x:c>
      <x:c r="E8" s="25" t="str"/>
      <x:c r="F8" s="35" t="n">
        <x:v>41</x:v>
      </x:c>
      <x:c r="G8" s="36" t="n">
        <x:f>IF(M8="","",IF(COUNTIFS(tblHazards[assessment_id],M8,tblHazards[has_risk],1)=0,"",MAXIFS(tblHazards[risk_score_c],tblHazards[assessment_id],M8,tblHazards[has_risk],1)))</x:f>
        <x:v>9</x:v>
      </x:c>
      <x:c r="H8" s="26" t="str">
        <x:f>IF(G8="","",IF(G8&lt;=2,"LOW",IF(G8&lt;=4,"MEDIUM","HIGH")))</x:f>
        <x:v>HIGH</x:v>
      </x:c>
      <x:c r="I8" s="26" t="str">
        <x:v>RAH01-2026-005</x:v>
      </x:c>
      <x:c r="J8" s="34" t="n">
        <x:v>46159.274305555555</x:v>
      </x:c>
      <x:c r="K8" s="27" t="str">
        <x:v>05</x:v>
      </x:c>
      <x:c r="L8" s="27" t="str">
        <x:v>DPT-005</x:v>
      </x:c>
      <x:c r="M8" s="27" t="str">
        <x:v>ASM-2026-005</x:v>
      </x:c>
      <x:c r="N8" s="27" t="str">
        <x:v>rah01-submission.v1</x:v>
      </x:c>
      <x:c r="O8" s="27" t="str">
        <x:v>1.1.0</x:v>
      </x:c>
    </x:row>
    <x:row r="9">
      <x:c r="A9" s="28" t="str">
        <x:v>Child Development</x:v>
      </x:c>
      <x:c r="B9" s="33" t="n">
        <x:v>46192</x:v>
      </x:c>
      <x:c r="C9" s="25" t="str">
        <x:v>SUBMITTED</x:v>
      </x:c>
      <x:c r="D9" s="25" t="str">
        <x:v>Occupational-health evaluator — Child Development</x:v>
      </x:c>
      <x:c r="E9" s="25" t="str">
        <x:v>Department supervisor</x:v>
      </x:c>
      <x:c r="F9" s="35" t="n">
        <x:v>48</x:v>
      </x:c>
      <x:c r="G9" s="36" t="n">
        <x:f>IF(M9="","",IF(COUNTIFS(tblHazards[assessment_id],M9,tblHazards[has_risk],1)=0,"",MAXIFS(tblHazards[risk_score_c],tblHazards[assessment_id],M9,tblHazards[has_risk],1)))</x:f>
        <x:v>9</x:v>
      </x:c>
      <x:c r="H9" s="26" t="str">
        <x:f>IF(G9="","",IF(G9&lt;=2,"LOW",IF(G9&lt;=4,"MEDIUM","HIGH")))</x:f>
        <x:v>HIGH</x:v>
      </x:c>
      <x:c r="I9" s="26" t="str">
        <x:v>RAH01-2026-006</x:v>
      </x:c>
      <x:c r="J9" s="34" t="n">
        <x:v>46193.32083333333</x:v>
      </x:c>
      <x:c r="K9" s="27" t="str">
        <x:v>06</x:v>
      </x:c>
      <x:c r="L9" s="27" t="str">
        <x:v>DPT-006</x:v>
      </x:c>
      <x:c r="M9" s="27" t="str">
        <x:v>ASM-2026-006</x:v>
      </x:c>
      <x:c r="N9" s="27" t="str">
        <x:v>rah01-submission.v1</x:v>
      </x:c>
      <x:c r="O9" s="27" t="str">
        <x:v>1.1.0</x:v>
      </x:c>
    </x:row>
    <x:row r="10">
      <x:c r="A10" s="28" t="str">
        <x:v>Clinical Nutrition</x:v>
      </x:c>
      <x:c r="B10" s="33" t="n">
        <x:v>46044</x:v>
      </x:c>
      <x:c r="C10" s="25" t="str">
        <x:v>IN_REVIEW</x:v>
      </x:c>
      <x:c r="D10" s="25" t="str">
        <x:v>Occupational-health evaluator — Clinical Nutrition</x:v>
      </x:c>
      <x:c r="E10" s="25" t="str"/>
      <x:c r="F10" s="35" t="n">
        <x:v>55</x:v>
      </x:c>
      <x:c r="G10" s="36" t="n">
        <x:f>IF(M10="","",IF(COUNTIFS(tblHazards[assessment_id],M10,tblHazards[has_risk],1)=0,"",MAXIFS(tblHazards[risk_score_c],tblHazards[assessment_id],M10,tblHazards[has_risk],1)))</x:f>
        <x:v>4</x:v>
      </x:c>
      <x:c r="H10" s="26" t="str">
        <x:f>IF(G10="","",IF(G10&lt;=2,"LOW",IF(G10&lt;=4,"MEDIUM","HIGH")))</x:f>
        <x:v>MEDIUM</x:v>
      </x:c>
      <x:c r="I10" s="26" t="str">
        <x:v>RAH01-2026-007</x:v>
      </x:c>
      <x:c r="J10" s="34" t="n">
        <x:v>46045.36736111111</x:v>
      </x:c>
      <x:c r="K10" s="27" t="str">
        <x:v>07</x:v>
      </x:c>
      <x:c r="L10" s="27" t="str">
        <x:v>DPT-007</x:v>
      </x:c>
      <x:c r="M10" s="27" t="str">
        <x:v>ASM-2026-007</x:v>
      </x:c>
      <x:c r="N10" s="27" t="str">
        <x:v>rah01-submission.v1</x:v>
      </x:c>
      <x:c r="O10" s="27" t="str">
        <x:v>1.1.0</x:v>
      </x:c>
    </x:row>
    <x:row r="11">
      <x:c r="A11" s="28" t="str">
        <x:v>Dental</x:v>
      </x:c>
      <x:c r="B11" s="33" t="n">
        <x:v>46078</x:v>
      </x:c>
      <x:c r="C11" s="25" t="str">
        <x:v>CLOSED</x:v>
      </x:c>
      <x:c r="D11" s="25" t="str">
        <x:v>Occupational-health evaluator — Dental</x:v>
      </x:c>
      <x:c r="E11" s="25" t="str">
        <x:v>Safety representative; department supervisor</x:v>
      </x:c>
      <x:c r="F11" s="35" t="n">
        <x:v>62</x:v>
      </x:c>
      <x:c r="G11" s="36" t="n">
        <x:f>IF(M11="","",IF(COUNTIFS(tblHazards[assessment_id],M11,tblHazards[has_risk],1)=0,"",MAXIFS(tblHazards[risk_score_c],tblHazards[assessment_id],M11,tblHazards[has_risk],1)))</x:f>
        <x:v>9</x:v>
      </x:c>
      <x:c r="H11" s="26" t="str">
        <x:f>IF(G11="","",IF(G11&lt;=2,"LOW",IF(G11&lt;=4,"MEDIUM","HIGH")))</x:f>
        <x:v>HIGH</x:v>
      </x:c>
      <x:c r="I11" s="26" t="str">
        <x:v>RAH01-2026-008</x:v>
      </x:c>
      <x:c r="J11" s="34" t="n">
        <x:v>46079.080555555556</x:v>
      </x:c>
      <x:c r="K11" s="27" t="str">
        <x:v>08</x:v>
      </x:c>
      <x:c r="L11" s="27" t="str">
        <x:v>DPT-008</x:v>
      </x:c>
      <x:c r="M11" s="27" t="str">
        <x:v>ASM-2026-008</x:v>
      </x:c>
      <x:c r="N11" s="27" t="str">
        <x:v>rah01-submission.v1</x:v>
      </x:c>
      <x:c r="O11" s="27" t="str">
        <x:v>1.1.0</x:v>
      </x:c>
    </x:row>
    <x:row r="12">
      <x:c r="A12" s="28" t="str">
        <x:v>Dermatology</x:v>
      </x:c>
      <x:c r="B12" s="33" t="n">
        <x:v>46084</x:v>
      </x:c>
      <x:c r="C12" s="25" t="str">
        <x:v>CLOSED</x:v>
      </x:c>
      <x:c r="D12" s="25" t="str">
        <x:v>Occupational-health evaluator — Dermatology</x:v>
      </x:c>
      <x:c r="E12" s="25" t="str">
        <x:v>Department supervisor</x:v>
      </x:c>
      <x:c r="F12" s="35" t="n">
        <x:v>11</x:v>
      </x:c>
      <x:c r="G12" s="36" t="n">
        <x:f>IF(M12="","",IF(COUNTIFS(tblHazards[assessment_id],M12,tblHazards[has_risk],1)=0,"",MAXIFS(tblHazards[risk_score_c],tblHazards[assessment_id],M12,tblHazards[has_risk],1)))</x:f>
        <x:v>9</x:v>
      </x:c>
      <x:c r="H12" s="26" t="str">
        <x:f>IF(G12="","",IF(G12&lt;=2,"LOW",IF(G12&lt;=4,"MEDIUM","HIGH")))</x:f>
        <x:v>HIGH</x:v>
      </x:c>
      <x:c r="I12" s="26" t="str">
        <x:v>RAH01-2026-009</x:v>
      </x:c>
      <x:c r="J12" s="34" t="n">
        <x:v>46085.08541666667</x:v>
      </x:c>
      <x:c r="K12" s="27" t="str">
        <x:v>09</x:v>
      </x:c>
      <x:c r="L12" s="27" t="str">
        <x:v>DPT-009</x:v>
      </x:c>
      <x:c r="M12" s="27" t="str">
        <x:v>ASM-2026-009</x:v>
      </x:c>
      <x:c r="N12" s="27" t="str">
        <x:v>rah01-submission.v1</x:v>
      </x:c>
      <x:c r="O12" s="27" t="str">
        <x:v>1.1.0</x:v>
      </x:c>
    </x:row>
    <x:row r="13">
      <x:c r="A13" s="28" t="str">
        <x:v>Diagnostic Imaging</x:v>
      </x:c>
      <x:c r="B13" s="33" t="n">
        <x:v>46118</x:v>
      </x:c>
      <x:c r="C13" s="25" t="str">
        <x:v>RETURNED</x:v>
      </x:c>
      <x:c r="D13" s="25" t="str">
        <x:v>Occupational-health evaluator — Diagnostic Imaging</x:v>
      </x:c>
      <x:c r="E13" s="25" t="str"/>
      <x:c r="F13" s="35" t="n">
        <x:v>18</x:v>
      </x:c>
      <x:c r="G13" s="36" t="n">
        <x:f>IF(M13="","",IF(COUNTIFS(tblHazards[assessment_id],M13,tblHazards[has_risk],1)=0,"",MAXIFS(tblHazards[risk_score_c],tblHazards[assessment_id],M13,tblHazards[has_risk],1)))</x:f>
        <x:v>9</x:v>
      </x:c>
      <x:c r="H13" s="26" t="str">
        <x:f>IF(G13="","",IF(G13&lt;=2,"LOW",IF(G13&lt;=4,"MEDIUM","HIGH")))</x:f>
        <x:v>HIGH</x:v>
      </x:c>
      <x:c r="I13" s="26" t="str">
        <x:v>RAH01-2026-010</x:v>
      </x:c>
      <x:c r="J13" s="34" t="n">
        <x:v>46119.131944444445</x:v>
      </x:c>
      <x:c r="K13" s="27" t="str">
        <x:v>10</x:v>
      </x:c>
      <x:c r="L13" s="27" t="str">
        <x:v>DPT-010</x:v>
      </x:c>
      <x:c r="M13" s="27" t="str">
        <x:v>ASM-2026-010</x:v>
      </x:c>
      <x:c r="N13" s="27" t="str">
        <x:v>rah01-submission.v1</x:v>
      </x:c>
      <x:c r="O13" s="27" t="str">
        <x:v>1.1.0</x:v>
      </x:c>
    </x:row>
    <x:row r="14">
      <x:c r="A14" s="28" t="str">
        <x:v>Emergency Medical Service</x:v>
      </x:c>
      <x:c r="B14" s="33" t="n">
        <x:v>46151</x:v>
      </x:c>
      <x:c r="C14" s="25" t="str">
        <x:v>SUBMITTED</x:v>
      </x:c>
      <x:c r="D14" s="25" t="str">
        <x:v>Occupational-health evaluator — Emergency Medical Service</x:v>
      </x:c>
      <x:c r="E14" s="25" t="str"/>
      <x:c r="F14" s="35" t="n">
        <x:v>25</x:v>
      </x:c>
      <x:c r="G14" s="36" t="n">
        <x:f>IF(M14="","",IF(COUNTIFS(tblHazards[assessment_id],M14,tblHazards[has_risk],1)=0,"",MAXIFS(tblHazards[risk_score_c],tblHazards[assessment_id],M14,tblHazards[has_risk],1)))</x:f>
        <x:v>4</x:v>
      </x:c>
      <x:c r="H14" s="26" t="str">
        <x:f>IF(G14="","",IF(G14&lt;=2,"LOW",IF(G14&lt;=4,"MEDIUM","HIGH")))</x:f>
        <x:v>MEDIUM</x:v>
      </x:c>
      <x:c r="I14" s="26" t="str">
        <x:v>RAH01-2026-011</x:v>
      </x:c>
      <x:c r="J14" s="34" t="n">
        <x:v>46152.17847222222</x:v>
      </x:c>
      <x:c r="K14" s="27" t="str">
        <x:v>11</x:v>
      </x:c>
      <x:c r="L14" s="27" t="str">
        <x:v>DPT-011</x:v>
      </x:c>
      <x:c r="M14" s="27" t="str">
        <x:v>ASM-2026-011</x:v>
      </x:c>
      <x:c r="N14" s="27" t="str">
        <x:v>rah01-submission.v1</x:v>
      </x:c>
      <x:c r="O14" s="27" t="str">
        <x:v>1.1.0</x:v>
      </x:c>
    </x:row>
    <x:row r="15">
      <x:c r="A15" s="28" t="str">
        <x:v>Endocrinology</x:v>
      </x:c>
      <x:c r="B15" s="33" t="n">
        <x:v>46185</x:v>
      </x:c>
      <x:c r="C15" s="25" t="str">
        <x:v>IN_REVIEW</x:v>
      </x:c>
      <x:c r="D15" s="25" t="str">
        <x:v>Occupational-health evaluator — Endocrinology</x:v>
      </x:c>
      <x:c r="E15" s="25" t="str">
        <x:v>Safety representative; department supervisor</x:v>
      </x:c>
      <x:c r="F15" s="35" t="n">
        <x:v>32</x:v>
      </x:c>
      <x:c r="G15" s="36" t="n">
        <x:f>IF(M15="","",IF(COUNTIFS(tblHazards[assessment_id],M15,tblHazards[has_risk],1)=0,"",MAXIFS(tblHazards[risk_score_c],tblHazards[assessment_id],M15,tblHazards[has_risk],1)))</x:f>
        <x:v>9</x:v>
      </x:c>
      <x:c r="H15" s="26" t="str">
        <x:f>IF(G15="","",IF(G15&lt;=2,"LOW",IF(G15&lt;=4,"MEDIUM","HIGH")))</x:f>
        <x:v>HIGH</x:v>
      </x:c>
      <x:c r="I15" s="26" t="str">
        <x:v>RAH01-2026-012</x:v>
      </x:c>
      <x:c r="J15" s="34" t="n">
        <x:v>46186.225</x:v>
      </x:c>
      <x:c r="K15" s="27" t="str">
        <x:v>12</x:v>
      </x:c>
      <x:c r="L15" s="27" t="str">
        <x:v>DPT-012</x:v>
      </x:c>
      <x:c r="M15" s="27" t="str">
        <x:v>ASM-2026-012</x:v>
      </x:c>
      <x:c r="N15" s="27" t="str">
        <x:v>rah01-submission.v1</x:v>
      </x:c>
      <x:c r="O15" s="27" t="str">
        <x:v>1.1.0</x:v>
      </x:c>
    </x:row>
    <x:row r="16">
      <x:c r="A16" s="28" t="str">
        <x:v>ENT</x:v>
      </x:c>
      <x:c r="B16" s="33" t="n">
        <x:v>46037</x:v>
      </x:c>
      <x:c r="C16" s="25" t="str">
        <x:v>CLOSED</x:v>
      </x:c>
      <x:c r="D16" s="25" t="str">
        <x:v>Occupational-health evaluator — ENT</x:v>
      </x:c>
      <x:c r="E16" s="25" t="str"/>
      <x:c r="F16" s="35" t="n">
        <x:v>39</x:v>
      </x:c>
      <x:c r="G16" s="36" t="n">
        <x:f>IF(M16="","",IF(COUNTIFS(tblHazards[assessment_id],M16,tblHazards[has_risk],1)=0,"",MAXIFS(tblHazards[risk_score_c],tblHazards[assessment_id],M16,tblHazards[has_risk],1)))</x:f>
        <x:v>4</x:v>
      </x:c>
      <x:c r="H16" s="26" t="str">
        <x:f>IF(G16="","",IF(G16&lt;=2,"LOW",IF(G16&lt;=4,"MEDIUM","HIGH")))</x:f>
        <x:v>MEDIUM</x:v>
      </x:c>
      <x:c r="I16" s="26" t="str">
        <x:v>RAH01-2026-013</x:v>
      </x:c>
      <x:c r="J16" s="34" t="n">
        <x:v>46038.271527777775</x:v>
      </x:c>
      <x:c r="K16" s="27" t="str">
        <x:v>13</x:v>
      </x:c>
      <x:c r="L16" s="27" t="str">
        <x:v>DPT-013</x:v>
      </x:c>
      <x:c r="M16" s="27" t="str">
        <x:v>ASM-2026-013</x:v>
      </x:c>
      <x:c r="N16" s="27" t="str">
        <x:v>rah01-submission.v1</x:v>
      </x:c>
      <x:c r="O16" s="27" t="str">
        <x:v>1.1.0</x:v>
      </x:c>
    </x:row>
    <x:row r="17">
      <x:c r="A17" s="28" t="str">
        <x:v>Environmental Health</x:v>
      </x:c>
      <x:c r="B17" s="33" t="n">
        <x:v>46071</x:v>
      </x:c>
      <x:c r="C17" s="25" t="str">
        <x:v>CLOSED</x:v>
      </x:c>
      <x:c r="D17" s="25" t="str">
        <x:v>Occupational-health evaluator — Environmental Health</x:v>
      </x:c>
      <x:c r="E17" s="25" t="str"/>
      <x:c r="F17" s="35" t="n">
        <x:v>46</x:v>
      </x:c>
      <x:c r="G17" s="36" t="n">
        <x:f>IF(M17="","",IF(COUNTIFS(tblHazards[assessment_id],M17,tblHazards[has_risk],1)=0,"",MAXIFS(tblHazards[risk_score_c],tblHazards[assessment_id],M17,tblHazards[has_risk],1)))</x:f>
        <x:v>4</x:v>
      </x:c>
      <x:c r="H17" s="26" t="str">
        <x:f>IF(G17="","",IF(G17&lt;=2,"LOW",IF(G17&lt;=4,"MEDIUM","HIGH")))</x:f>
        <x:v>MEDIUM</x:v>
      </x:c>
      <x:c r="I17" s="26" t="str">
        <x:v>RAH01-2026-014</x:v>
      </x:c>
      <x:c r="J17" s="34" t="n">
        <x:v>46072.31805555556</x:v>
      </x:c>
      <x:c r="K17" s="27" t="str">
        <x:v>14</x:v>
      </x:c>
      <x:c r="L17" s="27" t="str">
        <x:v>DPT-014</x:v>
      </x:c>
      <x:c r="M17" s="27" t="str">
        <x:v>ASM-2026-014</x:v>
      </x:c>
      <x:c r="N17" s="27" t="str">
        <x:v>rah01-submission.v1</x:v>
      </x:c>
      <x:c r="O17" s="27" t="str">
        <x:v>1.1.0</x:v>
      </x:c>
    </x:row>
    <x:row r="18">
      <x:c r="A18" s="28" t="str">
        <x:v>Eye Clinic</x:v>
      </x:c>
      <x:c r="B18" s="33" t="n">
        <x:v>46102</x:v>
      </x:c>
      <x:c r="C18" s="25" t="str">
        <x:v>RETURNED</x:v>
      </x:c>
      <x:c r="D18" s="25" t="str">
        <x:v>Occupational-health evaluator — Eye Clinic</x:v>
      </x:c>
      <x:c r="E18" s="25" t="str">
        <x:v>Department supervisor</x:v>
      </x:c>
      <x:c r="F18" s="35" t="n">
        <x:v>53</x:v>
      </x:c>
      <x:c r="G18" s="36" t="n">
        <x:f>IF(M18="","",IF(COUNTIFS(tblHazards[assessment_id],M18,tblHazards[has_risk],1)=0,"",MAXIFS(tblHazards[risk_score_c],tblHazards[assessment_id],M18,tblHazards[has_risk],1)))</x:f>
        <x:v>4</x:v>
      </x:c>
      <x:c r="H18" s="26" t="str">
        <x:f>IF(G18="","",IF(G18&lt;=2,"LOW",IF(G18&lt;=4,"MEDIUM","HIGH")))</x:f>
        <x:v>MEDIUM</x:v>
      </x:c>
      <x:c r="I18" s="26" t="str">
        <x:v>RAH01-2026-015</x:v>
      </x:c>
      <x:c r="J18" s="34" t="n">
        <x:v>46103.364583333336</x:v>
      </x:c>
      <x:c r="K18" s="27" t="str">
        <x:v>15</x:v>
      </x:c>
      <x:c r="L18" s="27" t="str">
        <x:v>DPT-015</x:v>
      </x:c>
      <x:c r="M18" s="27" t="str">
        <x:v>ASM-2026-015</x:v>
      </x:c>
      <x:c r="N18" s="27" t="str">
        <x:v>rah01-submission.v1</x:v>
      </x:c>
      <x:c r="O18" s="27" t="str">
        <x:v>1.1.0</x:v>
      </x:c>
    </x:row>
    <x:row r="19">
      <x:c r="A19" s="28" t="str">
        <x:v>Family Medicine</x:v>
      </x:c>
      <x:c r="B19" s="33" t="n">
        <x:v>46136</x:v>
      </x:c>
      <x:c r="C19" s="25" t="str">
        <x:v>SUBMITTED</x:v>
      </x:c>
      <x:c r="D19" s="25" t="str">
        <x:v>Occupational-health evaluator — Family Medicine</x:v>
      </x:c>
      <x:c r="E19" s="25" t="str">
        <x:v>Safety representative; department supervisor</x:v>
      </x:c>
      <x:c r="F19" s="35" t="n">
        <x:v>60</x:v>
      </x:c>
      <x:c r="G19" s="36" t="n">
        <x:f>IF(M19="","",IF(COUNTIFS(tblHazards[assessment_id],M19,tblHazards[has_risk],1)=0,"",MAXIFS(tblHazards[risk_score_c],tblHazards[assessment_id],M19,tblHazards[has_risk],1)))</x:f>
        <x:v>9</x:v>
      </x:c>
      <x:c r="H19" s="26" t="str">
        <x:f>IF(G19="","",IF(G19&lt;=2,"LOW",IF(G19&lt;=4,"MEDIUM","HIGH")))</x:f>
        <x:v>HIGH</x:v>
      </x:c>
      <x:c r="I19" s="26" t="str">
        <x:v>RAH01-2026-016</x:v>
      </x:c>
      <x:c r="J19" s="34" t="n">
        <x:v>46137.07777777778</x:v>
      </x:c>
      <x:c r="K19" s="27" t="str">
        <x:v>16</x:v>
      </x:c>
      <x:c r="L19" s="27" t="str">
        <x:v>DPT-016</x:v>
      </x:c>
      <x:c r="M19" s="27" t="str">
        <x:v>ASM-2026-016</x:v>
      </x:c>
      <x:c r="N19" s="27" t="str">
        <x:v>rah01-submission.v1</x:v>
      </x:c>
      <x:c r="O19" s="27" t="str">
        <x:v>1.1.0</x:v>
      </x:c>
    </x:row>
    <x:row r="20">
      <x:c r="A20" s="28" t="str">
        <x:v>Gastroenterology</x:v>
      </x:c>
      <x:c r="B20" s="33" t="n">
        <x:v>46144</x:v>
      </x:c>
      <x:c r="C20" s="25" t="str">
        <x:v>IN_REVIEW</x:v>
      </x:c>
      <x:c r="D20" s="25" t="str">
        <x:v>Occupational-health evaluator — Gastroenterology</x:v>
      </x:c>
      <x:c r="E20" s="25" t="str"/>
      <x:c r="F20" s="35" t="n">
        <x:v>9</x:v>
      </x:c>
      <x:c r="G20" s="36" t="n">
        <x:f>IF(M20="","",IF(COUNTIFS(tblHazards[assessment_id],M20,tblHazards[has_risk],1)=0,"",MAXIFS(tblHazards[risk_score_c],tblHazards[assessment_id],M20,tblHazards[has_risk],1)))</x:f>
        <x:v>4</x:v>
      </x:c>
      <x:c r="H20" s="26" t="str">
        <x:f>IF(G20="","",IF(G20&lt;=2,"LOW",IF(G20&lt;=4,"MEDIUM","HIGH")))</x:f>
        <x:v>MEDIUM</x:v>
      </x:c>
      <x:c r="I20" s="26" t="str">
        <x:v>RAH01-2026-017</x:v>
      </x:c>
      <x:c r="J20" s="34" t="n">
        <x:v>46145.12430555555</x:v>
      </x:c>
      <x:c r="K20" s="27" t="str">
        <x:v>17</x:v>
      </x:c>
      <x:c r="L20" s="27" t="str">
        <x:v>DPT-017</x:v>
      </x:c>
      <x:c r="M20" s="27" t="str">
        <x:v>ASM-2026-017</x:v>
      </x:c>
      <x:c r="N20" s="27" t="str">
        <x:v>rah01-submission.v1</x:v>
      </x:c>
      <x:c r="O20" s="27" t="str">
        <x:v>1.1.0</x:v>
      </x:c>
    </x:row>
    <x:row r="21">
      <x:c r="A21" s="28" t="str">
        <x:v>General Surgery</x:v>
      </x:c>
      <x:c r="B21" s="33" t="n">
        <x:v>46178</x:v>
      </x:c>
      <x:c r="C21" s="25" t="str">
        <x:v>CLOSED</x:v>
      </x:c>
      <x:c r="D21" s="25" t="str">
        <x:v>Occupational-health evaluator — General Surgery</x:v>
      </x:c>
      <x:c r="E21" s="25" t="str">
        <x:v>Department supervisor</x:v>
      </x:c>
      <x:c r="F21" s="35" t="n">
        <x:v>16</x:v>
      </x:c>
      <x:c r="G21" s="36" t="n">
        <x:f>IF(M21="","",IF(COUNTIFS(tblHazards[assessment_id],M21,tblHazards[has_risk],1)=0,"",MAXIFS(tblHazards[risk_score_c],tblHazards[assessment_id],M21,tblHazards[has_risk],1)))</x:f>
        <x:v>9</x:v>
      </x:c>
      <x:c r="H21" s="26" t="str">
        <x:f>IF(G21="","",IF(G21&lt;=2,"LOW",IF(G21&lt;=4,"MEDIUM","HIGH")))</x:f>
        <x:v>HIGH</x:v>
      </x:c>
      <x:c r="I21" s="26" t="str">
        <x:v>RAH01-2026-018</x:v>
      </x:c>
      <x:c r="J21" s="34" t="n">
        <x:v>46179.129166666666</x:v>
      </x:c>
      <x:c r="K21" s="27" t="str">
        <x:v>18</x:v>
      </x:c>
      <x:c r="L21" s="27" t="str">
        <x:v>DPT-018</x:v>
      </x:c>
      <x:c r="M21" s="27" t="str">
        <x:v>ASM-2026-018</x:v>
      </x:c>
      <x:c r="N21" s="27" t="str">
        <x:v>rah01-submission.v1</x:v>
      </x:c>
      <x:c r="O21" s="27" t="str">
        <x:v>1.1.0</x:v>
      </x:c>
    </x:row>
    <x:row r="22">
      <x:c r="A22" s="28" t="str">
        <x:v>Haemodialysis</x:v>
      </x:c>
      <x:c r="B22" s="33" t="n">
        <x:v>46030</x:v>
      </x:c>
      <x:c r="C22" s="25" t="str">
        <x:v>CLOSED</x:v>
      </x:c>
      <x:c r="D22" s="25" t="str">
        <x:v>Occupational-health evaluator — Haemodialysis</x:v>
      </x:c>
      <x:c r="E22" s="25" t="str"/>
      <x:c r="F22" s="35" t="n">
        <x:v>23</x:v>
      </x:c>
      <x:c r="G22" s="36" t="n">
        <x:f>IF(M22="","",IF(COUNTIFS(tblHazards[assessment_id],M22,tblHazards[has_risk],1)=0,"",MAXIFS(tblHazards[risk_score_c],tblHazards[assessment_id],M22,tblHazards[has_risk],1)))</x:f>
        <x:v>4</x:v>
      </x:c>
      <x:c r="H22" s="26" t="str">
        <x:f>IF(G22="","",IF(G22&lt;=2,"LOW",IF(G22&lt;=4,"MEDIUM","HIGH")))</x:f>
        <x:v>MEDIUM</x:v>
      </x:c>
      <x:c r="I22" s="26" t="str">
        <x:v>RAH01-2026-019</x:v>
      </x:c>
      <x:c r="J22" s="34" t="n">
        <x:v>46031.17569444444</x:v>
      </x:c>
      <x:c r="K22" s="27" t="str">
        <x:v>19</x:v>
      </x:c>
      <x:c r="L22" s="27" t="str">
        <x:v>DPT-019</x:v>
      </x:c>
      <x:c r="M22" s="27" t="str">
        <x:v>ASM-2026-019</x:v>
      </x:c>
      <x:c r="N22" s="27" t="str">
        <x:v>rah01-submission.v1</x:v>
      </x:c>
      <x:c r="O22" s="27" t="str">
        <x:v>1.1.0</x:v>
      </x:c>
    </x:row>
    <x:row r="23">
      <x:c r="A23" s="28" t="str">
        <x:v>Health Promotion</x:v>
      </x:c>
      <x:c r="B23" s="33" t="n">
        <x:v>46064</x:v>
      </x:c>
      <x:c r="C23" s="25" t="str">
        <x:v>RETURNED</x:v>
      </x:c>
      <x:c r="D23" s="25" t="str">
        <x:v>Occupational-health evaluator — Health Promotion</x:v>
      </x:c>
      <x:c r="E23" s="25" t="str">
        <x:v>Safety representative; department supervisor</x:v>
      </x:c>
      <x:c r="F23" s="35" t="n">
        <x:v>30</x:v>
      </x:c>
      <x:c r="G23" s="36" t="n">
        <x:f>IF(M23="","",IF(COUNTIFS(tblHazards[assessment_id],M23,tblHazards[has_risk],1)=0,"",MAXIFS(tblHazards[risk_score_c],tblHazards[assessment_id],M23,tblHazards[has_risk],1)))</x:f>
        <x:v>9</x:v>
      </x:c>
      <x:c r="H23" s="26" t="str">
        <x:f>IF(G23="","",IF(G23&lt;=2,"LOW",IF(G23&lt;=4,"MEDIUM","HIGH")))</x:f>
        <x:v>HIGH</x:v>
      </x:c>
      <x:c r="I23" s="26" t="str">
        <x:v>RAH01-2026-020</x:v>
      </x:c>
      <x:c r="J23" s="34" t="n">
        <x:v>46065.22222222222</x:v>
      </x:c>
      <x:c r="K23" s="27" t="str">
        <x:v>20</x:v>
      </x:c>
      <x:c r="L23" s="27" t="str">
        <x:v>DPT-020</x:v>
      </x:c>
      <x:c r="M23" s="27" t="str">
        <x:v>ASM-2026-020</x:v>
      </x:c>
      <x:c r="N23" s="27" t="str">
        <x:v>rah01-submission.v1</x:v>
      </x:c>
      <x:c r="O23" s="27" t="str">
        <x:v>1.1.0</x:v>
      </x:c>
    </x:row>
    <x:row r="24">
      <x:c r="A24" s="28" t="str">
        <x:v>Hematology</x:v>
      </x:c>
      <x:c r="B24" s="33" t="n">
        <x:v>46095</x:v>
      </x:c>
      <x:c r="C24" s="25" t="str">
        <x:v>SUBMITTED</x:v>
      </x:c>
      <x:c r="D24" s="25" t="str">
        <x:v>Occupational-health evaluator — Hematology</x:v>
      </x:c>
      <x:c r="E24" s="25" t="str">
        <x:v>Department supervisor</x:v>
      </x:c>
      <x:c r="F24" s="35" t="n">
        <x:v>37</x:v>
      </x:c>
      <x:c r="G24" s="36" t="n">
        <x:f>IF(M24="","",IF(COUNTIFS(tblHazards[assessment_id],M24,tblHazards[has_risk],1)=0,"",MAXIFS(tblHazards[risk_score_c],tblHazards[assessment_id],M24,tblHazards[has_risk],1)))</x:f>
        <x:v>4</x:v>
      </x:c>
      <x:c r="H24" s="26" t="str">
        <x:f>IF(G24="","",IF(G24&lt;=2,"LOW",IF(G24&lt;=4,"MEDIUM","HIGH")))</x:f>
        <x:v>MEDIUM</x:v>
      </x:c>
      <x:c r="I24" s="26" t="str">
        <x:v>RAH01-2026-021</x:v>
      </x:c>
      <x:c r="J24" s="34" t="n">
        <x:v>46096.26875</x:v>
      </x:c>
      <x:c r="K24" s="27" t="str">
        <x:v>21</x:v>
      </x:c>
      <x:c r="L24" s="27" t="str">
        <x:v>DPT-021</x:v>
      </x:c>
      <x:c r="M24" s="27" t="str">
        <x:v>ASM-2026-021</x:v>
      </x:c>
      <x:c r="N24" s="27" t="str">
        <x:v>rah01-submission.v1</x:v>
      </x:c>
      <x:c r="O24" s="27" t="str">
        <x:v>1.1.0</x:v>
      </x:c>
    </x:row>
    <x:row r="25">
      <x:c r="A25" s="28" t="str">
        <x:v>ICU 1</x:v>
      </x:c>
      <x:c r="B25" s="33" t="n">
        <x:v>46129</x:v>
      </x:c>
      <x:c r="C25" s="25" t="str">
        <x:v>IN_REVIEW</x:v>
      </x:c>
      <x:c r="D25" s="25" t="str">
        <x:v>Occupational-health evaluator — ICU 1</x:v>
      </x:c>
      <x:c r="E25" s="25" t="str"/>
      <x:c r="F25" s="35" t="n">
        <x:v>44</x:v>
      </x:c>
      <x:c r="G25" s="36" t="n">
        <x:f>IF(M25="","",IF(COUNTIFS(tblHazards[assessment_id],M25,tblHazards[has_risk],1)=0,"",MAXIFS(tblHazards[risk_score_c],tblHazards[assessment_id],M25,tblHazards[has_risk],1)))</x:f>
        <x:v>9</x:v>
      </x:c>
      <x:c r="H25" s="26" t="str">
        <x:f>IF(G25="","",IF(G25&lt;=2,"LOW",IF(G25&lt;=4,"MEDIUM","HIGH")))</x:f>
        <x:v>HIGH</x:v>
      </x:c>
      <x:c r="I25" s="26" t="str">
        <x:v>RAH01-2026-022</x:v>
      </x:c>
      <x:c r="J25" s="34" t="n">
        <x:v>46130.31527777778</x:v>
      </x:c>
      <x:c r="K25" s="27" t="str">
        <x:v>22</x:v>
      </x:c>
      <x:c r="L25" s="27" t="str">
        <x:v>DPT-022</x:v>
      </x:c>
      <x:c r="M25" s="27" t="str">
        <x:v>ASM-2026-022</x:v>
      </x:c>
      <x:c r="N25" s="27" t="str">
        <x:v>rah01-submission.v1</x:v>
      </x:c>
      <x:c r="O25" s="27" t="str">
        <x:v>1.1.0</x:v>
      </x:c>
    </x:row>
    <x:row r="26">
      <x:c r="A26" s="28" t="str">
        <x:v>ICU 2</x:v>
      </x:c>
      <x:c r="B26" s="33" t="n">
        <x:v>46162</x:v>
      </x:c>
      <x:c r="C26" s="25" t="str">
        <x:v>CLOSED</x:v>
      </x:c>
      <x:c r="D26" s="25" t="str">
        <x:v>Occupational-health evaluator — ICU 2</x:v>
      </x:c>
      <x:c r="E26" s="25" t="str"/>
      <x:c r="F26" s="35" t="n">
        <x:v>51</x:v>
      </x:c>
      <x:c r="G26" s="36" t="n">
        <x:f>IF(M26="","",IF(COUNTIFS(tblHazards[assessment_id],M26,tblHazards[has_risk],1)=0,"",MAXIFS(tblHazards[risk_score_c],tblHazards[assessment_id],M26,tblHazards[has_risk],1)))</x:f>
        <x:v>2</x:v>
      </x:c>
      <x:c r="H26" s="26" t="str">
        <x:f>IF(G26="","",IF(G26&lt;=2,"LOW",IF(G26&lt;=4,"MEDIUM","HIGH")))</x:f>
        <x:v>LOW</x:v>
      </x:c>
      <x:c r="I26" s="26" t="str">
        <x:v>RAH01-2026-023</x:v>
      </x:c>
      <x:c r="J26" s="34" t="n">
        <x:v>46163.361805555556</x:v>
      </x:c>
      <x:c r="K26" s="27" t="str">
        <x:v>23</x:v>
      </x:c>
      <x:c r="L26" s="27" t="str">
        <x:v>DPT-023</x:v>
      </x:c>
      <x:c r="M26" s="27" t="str">
        <x:v>ASM-2026-023</x:v>
      </x:c>
      <x:c r="N26" s="27" t="str">
        <x:v>rah01-submission.v1</x:v>
      </x:c>
      <x:c r="O26" s="27" t="str">
        <x:v>1.1.0</x:v>
      </x:c>
    </x:row>
    <x:row r="27">
      <x:c r="A27" s="28" t="str">
        <x:v>Infectious Diseases</x:v>
      </x:c>
      <x:c r="B27" s="33" t="n">
        <x:v>46196</x:v>
      </x:c>
      <x:c r="C27" s="25" t="str">
        <x:v>CLOSED</x:v>
      </x:c>
      <x:c r="D27" s="25" t="str">
        <x:v>Occupational-health evaluator — Infectious Diseases</x:v>
      </x:c>
      <x:c r="E27" s="25" t="str">
        <x:v>Safety representative; department supervisor</x:v>
      </x:c>
      <x:c r="F27" s="35" t="n">
        <x:v>58</x:v>
      </x:c>
      <x:c r="G27" s="36" t="n">
        <x:f>IF(M27="","",IF(COUNTIFS(tblHazards[assessment_id],M27,tblHazards[has_risk],1)=0,"",MAXIFS(tblHazards[risk_score_c],tblHazards[assessment_id],M27,tblHazards[has_risk],1)))</x:f>
        <x:v>9</x:v>
      </x:c>
      <x:c r="H27" s="26" t="str">
        <x:f>IF(G27="","",IF(G27&lt;=2,"LOW",IF(G27&lt;=4,"MEDIUM","HIGH")))</x:f>
        <x:v>HIGH</x:v>
      </x:c>
      <x:c r="I27" s="26" t="str">
        <x:v>RAH01-2026-024</x:v>
      </x:c>
      <x:c r="J27" s="34" t="n">
        <x:v>46197.075</x:v>
      </x:c>
      <x:c r="K27" s="27" t="str">
        <x:v>24</x:v>
      </x:c>
      <x:c r="L27" s="27" t="str">
        <x:v>DPT-024</x:v>
      </x:c>
      <x:c r="M27" s="27" t="str">
        <x:v>ASM-2026-024</x:v>
      </x:c>
      <x:c r="N27" s="27" t="str">
        <x:v>rah01-submission.v1</x:v>
      </x:c>
      <x:c r="O27" s="27" t="str">
        <x:v>1.1.0</x:v>
      </x:c>
    </x:row>
    <x:row r="28">
      <x:c r="A28" s="28" t="str">
        <x:v>Internal Medicine</x:v>
      </x:c>
      <x:c r="B28" s="33" t="n">
        <x:v>46023</x:v>
      </x:c>
      <x:c r="C28" s="25" t="str">
        <x:v>RETURNED</x:v>
      </x:c>
      <x:c r="D28" s="25" t="str">
        <x:v>Occupational-health evaluator — Internal Medicine</x:v>
      </x:c>
      <x:c r="E28" s="25" t="str"/>
      <x:c r="F28" s="35" t="n">
        <x:v>7</x:v>
      </x:c>
      <x:c r="G28" s="36" t="n">
        <x:f>IF(M28="","",IF(COUNTIFS(tblHazards[assessment_id],M28,tblHazards[has_risk],1)=0,"",MAXIFS(tblHazards[risk_score_c],tblHazards[assessment_id],M28,tblHazards[has_risk],1)))</x:f>
        <x:v>4</x:v>
      </x:c>
      <x:c r="H28" s="26" t="str">
        <x:f>IF(G28="","",IF(G28&lt;=2,"LOW",IF(G28&lt;=4,"MEDIUM","HIGH")))</x:f>
        <x:v>MEDIUM</x:v>
      </x:c>
      <x:c r="I28" s="26" t="str">
        <x:v>RAH01-2026-025</x:v>
      </x:c>
      <x:c r="J28" s="34" t="n">
        <x:v>46024.12152777778</x:v>
      </x:c>
      <x:c r="K28" s="27" t="str">
        <x:v>25</x:v>
      </x:c>
      <x:c r="L28" s="27" t="str">
        <x:v>DPT-025</x:v>
      </x:c>
      <x:c r="M28" s="27" t="str">
        <x:v>ASM-2026-025</x:v>
      </x:c>
      <x:c r="N28" s="27" t="str">
        <x:v>rah01-submission.v1</x:v>
      </x:c>
      <x:c r="O28" s="27" t="str">
        <x:v>1.1.0</x:v>
      </x:c>
    </x:row>
    <x:row r="29">
      <x:c r="A29" s="28" t="str">
        <x:v>Laboratory</x:v>
      </x:c>
      <x:c r="B29" s="33" t="n">
        <x:v>46057</x:v>
      </x:c>
      <x:c r="C29" s="25" t="str">
        <x:v>SUBMITTED</x:v>
      </x:c>
      <x:c r="D29" s="25" t="str">
        <x:v>Occupational-health evaluator — Laboratory</x:v>
      </x:c>
      <x:c r="E29" s="25" t="str"/>
      <x:c r="F29" s="35" t="n">
        <x:v>14</x:v>
      </x:c>
      <x:c r="G29" s="36" t="n">
        <x:f>IF(M29="","",IF(COUNTIFS(tblHazards[assessment_id],M29,tblHazards[has_risk],1)=0,"",MAXIFS(tblHazards[risk_score_c],tblHazards[assessment_id],M29,tblHazards[has_risk],1)))</x:f>
        <x:v>9</x:v>
      </x:c>
      <x:c r="H29" s="26" t="str">
        <x:f>IF(G29="","",IF(G29&lt;=2,"LOW",IF(G29&lt;=4,"MEDIUM","HIGH")))</x:f>
        <x:v>HIGH</x:v>
      </x:c>
      <x:c r="I29" s="26" t="str">
        <x:v>RAH01-2026-026</x:v>
      </x:c>
      <x:c r="J29" s="34" t="n">
        <x:v>46058.126388888886</x:v>
      </x:c>
      <x:c r="K29" s="27" t="str">
        <x:v>26</x:v>
      </x:c>
      <x:c r="L29" s="27" t="str">
        <x:v>DPT-026</x:v>
      </x:c>
      <x:c r="M29" s="27" t="str">
        <x:v>ASM-2026-026</x:v>
      </x:c>
      <x:c r="N29" s="27" t="str">
        <x:v>rah01-submission.v1</x:v>
      </x:c>
      <x:c r="O29" s="27" t="str">
        <x:v>1.1.0</x:v>
      </x:c>
    </x:row>
    <x:row r="30">
      <x:c r="A30" s="28" t="str">
        <x:v>Laundry</x:v>
      </x:c>
      <x:c r="B30" s="33" t="n">
        <x:v>46088</x:v>
      </x:c>
      <x:c r="C30" s="25" t="str">
        <x:v>IN_REVIEW</x:v>
      </x:c>
      <x:c r="D30" s="25" t="str">
        <x:v>Occupational-health evaluator — Laundry</x:v>
      </x:c>
      <x:c r="E30" s="25" t="str">
        <x:v>Department supervisor</x:v>
      </x:c>
      <x:c r="F30" s="35" t="n">
        <x:v>21</x:v>
      </x:c>
      <x:c r="G30" s="36" t="n">
        <x:f>IF(M30="","",IF(COUNTIFS(tblHazards[assessment_id],M30,tblHazards[has_risk],1)=0,"",MAXIFS(tblHazards[risk_score_c],tblHazards[assessment_id],M30,tblHazards[has_risk],1)))</x:f>
        <x:v>9</x:v>
      </x:c>
      <x:c r="H30" s="26" t="str">
        <x:f>IF(G30="","",IF(G30&lt;=2,"LOW",IF(G30&lt;=4,"MEDIUM","HIGH")))</x:f>
        <x:v>HIGH</x:v>
      </x:c>
      <x:c r="I30" s="26" t="str">
        <x:v>RAH01-2026-027</x:v>
      </x:c>
      <x:c r="J30" s="34" t="n">
        <x:v>46089.17291666667</x:v>
      </x:c>
      <x:c r="K30" s="27" t="str">
        <x:v>27</x:v>
      </x:c>
      <x:c r="L30" s="27" t="str">
        <x:v>DPT-027</x:v>
      </x:c>
      <x:c r="M30" s="27" t="str">
        <x:v>ASM-2026-027</x:v>
      </x:c>
      <x:c r="N30" s="27" t="str">
        <x:v>rah01-submission.v1</x:v>
      </x:c>
      <x:c r="O30" s="27" t="str">
        <x:v>1.1.0</x:v>
      </x:c>
    </x:row>
    <x:row r="31">
      <x:c r="A31" s="28" t="str">
        <x:v>Medical Records</x:v>
      </x:c>
      <x:c r="B31" s="33" t="n">
        <x:v>46122</x:v>
      </x:c>
      <x:c r="C31" s="25" t="str">
        <x:v>CLOSED</x:v>
      </x:c>
      <x:c r="D31" s="25" t="str">
        <x:v>Occupational-health evaluator — Medical Records</x:v>
      </x:c>
      <x:c r="E31" s="25" t="str">
        <x:v>Safety representative; department supervisor</x:v>
      </x:c>
      <x:c r="F31" s="35" t="n">
        <x:v>28</x:v>
      </x:c>
      <x:c r="G31" s="36" t="n">
        <x:f>IF(M31="","",IF(COUNTIFS(tblHazards[assessment_id],M31,tblHazards[has_risk],1)=0,"",MAXIFS(tblHazards[risk_score_c],tblHazards[assessment_id],M31,tblHazards[has_risk],1)))</x:f>
        <x:v>9</x:v>
      </x:c>
      <x:c r="H31" s="26" t="str">
        <x:f>IF(G31="","",IF(G31&lt;=2,"LOW",IF(G31&lt;=4,"MEDIUM","HIGH")))</x:f>
        <x:v>HIGH</x:v>
      </x:c>
      <x:c r="I31" s="26" t="str">
        <x:v>RAH01-2026-028</x:v>
      </x:c>
      <x:c r="J31" s="34" t="n">
        <x:v>46123.21944444445</x:v>
      </x:c>
      <x:c r="K31" s="27" t="str">
        <x:v>28</x:v>
      </x:c>
      <x:c r="L31" s="27" t="str">
        <x:v>DPT-028</x:v>
      </x:c>
      <x:c r="M31" s="27" t="str">
        <x:v>ASM-2026-028</x:v>
      </x:c>
      <x:c r="N31" s="27" t="str">
        <x:v>rah01-submission.v1</x:v>
      </x:c>
      <x:c r="O31" s="27" t="str">
        <x:v>1.1.0</x:v>
      </x:c>
    </x:row>
    <x:row r="32">
      <x:c r="A32" s="28" t="str">
        <x:v>Neonatal ICU</x:v>
      </x:c>
      <x:c r="B32" s="33" t="n">
        <x:v>46155</x:v>
      </x:c>
      <x:c r="C32" s="25" t="str">
        <x:v>CLOSED</x:v>
      </x:c>
      <x:c r="D32" s="25" t="str">
        <x:v>Occupational-health evaluator — Neonatal ICU</x:v>
      </x:c>
      <x:c r="E32" s="25" t="str"/>
      <x:c r="F32" s="35" t="n">
        <x:v>35</x:v>
      </x:c>
      <x:c r="G32" s="36" t="n">
        <x:f>IF(M32="","",IF(COUNTIFS(tblHazards[assessment_id],M32,tblHazards[has_risk],1)=0,"",MAXIFS(tblHazards[risk_score_c],tblHazards[assessment_id],M32,tblHazards[has_risk],1)))</x:f>
        <x:v>2</x:v>
      </x:c>
      <x:c r="H32" s="26" t="str">
        <x:f>IF(G32="","",IF(G32&lt;=2,"LOW",IF(G32&lt;=4,"MEDIUM","HIGH")))</x:f>
        <x:v>LOW</x:v>
      </x:c>
      <x:c r="I32" s="26" t="str">
        <x:v>RAH01-2026-029</x:v>
      </x:c>
      <x:c r="J32" s="34" t="n">
        <x:v>46156.26597222222</x:v>
      </x:c>
      <x:c r="K32" s="27" t="str">
        <x:v>29</x:v>
      </x:c>
      <x:c r="L32" s="27" t="str">
        <x:v>DPT-029</x:v>
      </x:c>
      <x:c r="M32" s="27" t="str">
        <x:v>ASM-2026-029</x:v>
      </x:c>
      <x:c r="N32" s="27" t="str">
        <x:v>rah01-submission.v1</x:v>
      </x:c>
      <x:c r="O32" s="27" t="str">
        <x:v>1.1.0</x:v>
      </x:c>
    </x:row>
    <x:row r="33">
      <x:c r="A33" s="28" t="str">
        <x:v>Neurology</x:v>
      </x:c>
      <x:c r="B33" s="33" t="n">
        <x:v>46189</x:v>
      </x:c>
      <x:c r="C33" s="25" t="str">
        <x:v>RETURNED</x:v>
      </x:c>
      <x:c r="D33" s="25" t="str">
        <x:v>Occupational-health evaluator — Neurology</x:v>
      </x:c>
      <x:c r="E33" s="25" t="str">
        <x:v>Department supervisor</x:v>
      </x:c>
      <x:c r="F33" s="35" t="n">
        <x:v>42</x:v>
      </x:c>
      <x:c r="G33" s="36" t="n">
        <x:f>IF(M33="","",IF(COUNTIFS(tblHazards[assessment_id],M33,tblHazards[has_risk],1)=0,"",MAXIFS(tblHazards[risk_score_c],tblHazards[assessment_id],M33,tblHazards[has_risk],1)))</x:f>
        <x:v>4</x:v>
      </x:c>
      <x:c r="H33" s="26" t="str">
        <x:f>IF(G33="","",IF(G33&lt;=2,"LOW",IF(G33&lt;=4,"MEDIUM","HIGH")))</x:f>
        <x:v>MEDIUM</x:v>
      </x:c>
      <x:c r="I33" s="26" t="str">
        <x:v>RAH01-2026-030</x:v>
      </x:c>
      <x:c r="J33" s="34" t="n">
        <x:v>46190.3125</x:v>
      </x:c>
      <x:c r="K33" s="27" t="str">
        <x:v>30</x:v>
      </x:c>
      <x:c r="L33" s="27" t="str">
        <x:v>DPT-030</x:v>
      </x:c>
      <x:c r="M33" s="27" t="str">
        <x:v>ASM-2026-030</x:v>
      </x:c>
      <x:c r="N33" s="27" t="str">
        <x:v>rah01-submission.v1</x:v>
      </x:c>
      <x:c r="O33" s="27" t="str">
        <x:v>1.1.0</x:v>
      </x:c>
    </x:row>
    <x:row r="34">
      <x:c r="A34" s="28" t="str">
        <x:v>Neurosurgery</x:v>
      </x:c>
      <x:c r="B34" s="33" t="n">
        <x:v>46041</x:v>
      </x:c>
      <x:c r="C34" s="25" t="str">
        <x:v>SUBMITTED</x:v>
      </x:c>
      <x:c r="D34" s="25" t="str">
        <x:v>Occupational-health evaluator — Neurosurgery</x:v>
      </x:c>
      <x:c r="E34" s="25" t="str"/>
      <x:c r="F34" s="35" t="n">
        <x:v>49</x:v>
      </x:c>
      <x:c r="G34" s="36" t="n">
        <x:f>IF(M34="","",IF(COUNTIFS(tblHazards[assessment_id],M34,tblHazards[has_risk],1)=0,"",MAXIFS(tblHazards[risk_score_c],tblHazards[assessment_id],M34,tblHazards[has_risk],1)))</x:f>
        <x:v>2</x:v>
      </x:c>
      <x:c r="H34" s="26" t="str">
        <x:f>IF(G34="","",IF(G34&lt;=2,"LOW",IF(G34&lt;=4,"MEDIUM","HIGH")))</x:f>
        <x:v>LOW</x:v>
      </x:c>
      <x:c r="I34" s="26" t="str">
        <x:v>RAH01-2026-031</x:v>
      </x:c>
      <x:c r="J34" s="34" t="n">
        <x:v>46042.35902777778</x:v>
      </x:c>
      <x:c r="K34" s="27" t="str">
        <x:v>31</x:v>
      </x:c>
      <x:c r="L34" s="27" t="str">
        <x:v>DPT-031</x:v>
      </x:c>
      <x:c r="M34" s="27" t="str">
        <x:v>ASM-2026-031</x:v>
      </x:c>
      <x:c r="N34" s="27" t="str">
        <x:v>rah01-submission.v1</x:v>
      </x:c>
      <x:c r="O34" s="27" t="str">
        <x:v>1.1.0</x:v>
      </x:c>
    </x:row>
    <x:row r="35">
      <x:c r="A35" s="28" t="str">
        <x:v>Nuclear Medicine</x:v>
      </x:c>
      <x:c r="B35" s="33" t="n">
        <x:v>46075</x:v>
      </x:c>
      <x:c r="C35" s="25" t="str">
        <x:v>IN_REVIEW</x:v>
      </x:c>
      <x:c r="D35" s="25" t="str">
        <x:v>Occupational-health evaluator — Nuclear Medicine</x:v>
      </x:c>
      <x:c r="E35" s="25" t="str">
        <x:v>Safety representative; department supervisor</x:v>
      </x:c>
      <x:c r="F35" s="35" t="n">
        <x:v>56</x:v>
      </x:c>
      <x:c r="G35" s="36" t="n">
        <x:f>IF(M35="","",IF(COUNTIFS(tblHazards[assessment_id],M35,tblHazards[has_risk],1)=0,"",MAXIFS(tblHazards[risk_score_c],tblHazards[assessment_id],M35,tblHazards[has_risk],1)))</x:f>
        <x:v>2</x:v>
      </x:c>
      <x:c r="H35" s="26" t="str">
        <x:f>IF(G35="","",IF(G35&lt;=2,"LOW",IF(G35&lt;=4,"MEDIUM","HIGH")))</x:f>
        <x:v>LOW</x:v>
      </x:c>
      <x:c r="I35" s="26" t="str">
        <x:v>RAH01-2026-032</x:v>
      </x:c>
      <x:c r="J35" s="34" t="n">
        <x:v>46076.072222222225</x:v>
      </x:c>
      <x:c r="K35" s="27" t="str">
        <x:v>32</x:v>
      </x:c>
      <x:c r="L35" s="27" t="str">
        <x:v>DPT-032</x:v>
      </x:c>
      <x:c r="M35" s="27" t="str">
        <x:v>ASM-2026-032</x:v>
      </x:c>
      <x:c r="N35" s="27" t="str">
        <x:v>rah01-submission.v1</x:v>
      </x:c>
      <x:c r="O35" s="27" t="str">
        <x:v>1.1.0</x:v>
      </x:c>
    </x:row>
    <x:row r="36">
      <x:c r="A36" s="28" t="str">
        <x:v>Obstetrics</x:v>
      </x:c>
      <x:c r="B36" s="33" t="n">
        <x:v>46106</x:v>
      </x:c>
      <x:c r="C36" s="25" t="str">
        <x:v>CLOSED</x:v>
      </x:c>
      <x:c r="D36" s="25" t="str">
        <x:v>Occupational-health evaluator — Obstetrics</x:v>
      </x:c>
      <x:c r="E36" s="25" t="str">
        <x:v>Department supervisor</x:v>
      </x:c>
      <x:c r="F36" s="35" t="n">
        <x:v>63</x:v>
      </x:c>
      <x:c r="G36" s="36" t="n">
        <x:f>IF(M36="","",IF(COUNTIFS(tblHazards[assessment_id],M36,tblHazards[has_risk],1)=0,"",MAXIFS(tblHazards[risk_score_c],tblHazards[assessment_id],M36,tblHazards[has_risk],1)))</x:f>
        <x:v>4</x:v>
      </x:c>
      <x:c r="H36" s="26" t="str">
        <x:f>IF(G36="","",IF(G36&lt;=2,"LOW",IF(G36&lt;=4,"MEDIUM","HIGH")))</x:f>
        <x:v>MEDIUM</x:v>
      </x:c>
      <x:c r="I36" s="26" t="str">
        <x:v>RAH01-2026-033</x:v>
      </x:c>
      <x:c r="J36" s="34" t="n">
        <x:v>46107.11875</x:v>
      </x:c>
      <x:c r="K36" s="27" t="str">
        <x:v>33</x:v>
      </x:c>
      <x:c r="L36" s="27" t="str">
        <x:v>DPT-033</x:v>
      </x:c>
      <x:c r="M36" s="27" t="str">
        <x:v>ASM-2026-033</x:v>
      </x:c>
      <x:c r="N36" s="27" t="str">
        <x:v>rah01-submission.v1</x:v>
      </x:c>
      <x:c r="O36" s="27" t="str">
        <x:v>1.1.0</x:v>
      </x:c>
    </x:row>
    <x:row r="37">
      <x:c r="A37" s="28" t="str">
        <x:v>Occupational Health</x:v>
      </x:c>
      <x:c r="B37" s="33" t="n">
        <x:v>46115</x:v>
      </x:c>
      <x:c r="C37" s="25" t="str">
        <x:v>CLOSED</x:v>
      </x:c>
      <x:c r="D37" s="25" t="str">
        <x:v>Occupational-health evaluator — Occupational Health</x:v>
      </x:c>
      <x:c r="E37" s="25" t="str"/>
      <x:c r="F37" s="35" t="n">
        <x:v>12</x:v>
      </x:c>
      <x:c r="G37" s="36" t="n">
        <x:f>IF(M37="","",IF(COUNTIFS(tblHazards[assessment_id],M37,tblHazards[has_risk],1)=0,"",MAXIFS(tblHazards[risk_score_c],tblHazards[assessment_id],M37,tblHazards[has_risk],1)))</x:f>
        <x:v>2</x:v>
      </x:c>
      <x:c r="H37" s="26" t="str">
        <x:f>IF(G37="","",IF(G37&lt;=2,"LOW",IF(G37&lt;=4,"MEDIUM","HIGH")))</x:f>
        <x:v>LOW</x:v>
      </x:c>
      <x:c r="I37" s="26" t="str">
        <x:v>RAH01-2026-034</x:v>
      </x:c>
      <x:c r="J37" s="34" t="n">
        <x:v>46116.16527777778</x:v>
      </x:c>
      <x:c r="K37" s="27" t="str">
        <x:v>34</x:v>
      </x:c>
      <x:c r="L37" s="27" t="str">
        <x:v>DPT-034</x:v>
      </x:c>
      <x:c r="M37" s="27" t="str">
        <x:v>ASM-2026-034</x:v>
      </x:c>
      <x:c r="N37" s="27" t="str">
        <x:v>rah01-submission.v1</x:v>
      </x:c>
      <x:c r="O37" s="27" t="str">
        <x:v>1.1.0</x:v>
      </x:c>
    </x:row>
    <x:row r="38">
      <x:c r="A38" s="28" t="str">
        <x:v>Oncology</x:v>
      </x:c>
      <x:c r="B38" s="33" t="n">
        <x:v>46148</x:v>
      </x:c>
      <x:c r="C38" s="25" t="str">
        <x:v>RETURNED</x:v>
      </x:c>
      <x:c r="D38" s="25" t="str">
        <x:v>Occupational-health evaluator — Oncology</x:v>
      </x:c>
      <x:c r="E38" s="25" t="str"/>
      <x:c r="F38" s="35" t="n">
        <x:v>19</x:v>
      </x:c>
      <x:c r="G38" s="36" t="n">
        <x:f>IF(M38="","",IF(COUNTIFS(tblHazards[assessment_id],M38,tblHazards[has_risk],1)=0,"",MAXIFS(tblHazards[risk_score_c],tblHazards[assessment_id],M38,tblHazards[has_risk],1)))</x:f>
        <x:v>2</x:v>
      </x:c>
      <x:c r="H38" s="26" t="str">
        <x:f>IF(G38="","",IF(G38&lt;=2,"LOW",IF(G38&lt;=4,"MEDIUM","HIGH")))</x:f>
        <x:v>LOW</x:v>
      </x:c>
      <x:c r="I38" s="26" t="str">
        <x:v>RAH01-2026-035</x:v>
      </x:c>
      <x:c r="J38" s="34" t="n">
        <x:v>46149.17013888889</x:v>
      </x:c>
      <x:c r="K38" s="27" t="str">
        <x:v>35</x:v>
      </x:c>
      <x:c r="L38" s="27" t="str">
        <x:v>DPT-035</x:v>
      </x:c>
      <x:c r="M38" s="27" t="str">
        <x:v>ASM-2026-035</x:v>
      </x:c>
      <x:c r="N38" s="27" t="str">
        <x:v>rah01-submission.v1</x:v>
      </x:c>
      <x:c r="O38" s="27" t="str">
        <x:v>1.1.0</x:v>
      </x:c>
    </x:row>
    <x:row r="39">
      <x:c r="A39" s="28" t="str">
        <x:v>Operating Theatre</x:v>
      </x:c>
      <x:c r="B39" s="33" t="n">
        <x:v>46182</x:v>
      </x:c>
      <x:c r="C39" s="25" t="str">
        <x:v>SUBMITTED</x:v>
      </x:c>
      <x:c r="D39" s="25" t="str">
        <x:v>Occupational-health evaluator — Operating Theatre</x:v>
      </x:c>
      <x:c r="E39" s="25" t="str">
        <x:v>Safety representative; department supervisor</x:v>
      </x:c>
      <x:c r="F39" s="35" t="n">
        <x:v>26</x:v>
      </x:c>
      <x:c r="G39" s="36" t="n">
        <x:f>IF(M39="","",IF(COUNTIFS(tblHazards[assessment_id],M39,tblHazards[has_risk],1)=0,"",MAXIFS(tblHazards[risk_score_c],tblHazards[assessment_id],M39,tblHazards[has_risk],1)))</x:f>
        <x:v>9</x:v>
      </x:c>
      <x:c r="H39" s="26" t="str">
        <x:f>IF(G39="","",IF(G39&lt;=2,"LOW",IF(G39&lt;=4,"MEDIUM","HIGH")))</x:f>
        <x:v>HIGH</x:v>
      </x:c>
      <x:c r="I39" s="26" t="str">
        <x:v>RAH01-2026-036</x:v>
      </x:c>
      <x:c r="J39" s="34" t="n">
        <x:v>46183.21666666667</x:v>
      </x:c>
      <x:c r="K39" s="27" t="str">
        <x:v>36</x:v>
      </x:c>
      <x:c r="L39" s="27" t="str">
        <x:v>DPT-036</x:v>
      </x:c>
      <x:c r="M39" s="27" t="str">
        <x:v>ASM-2026-036</x:v>
      </x:c>
      <x:c r="N39" s="27" t="str">
        <x:v>rah01-submission.v1</x:v>
      </x:c>
      <x:c r="O39" s="27" t="str">
        <x:v>1.1.0</x:v>
      </x:c>
    </x:row>
    <x:row r="40">
      <x:c r="A40" s="28" t="str">
        <x:v>Orthopaedics</x:v>
      </x:c>
      <x:c r="B40" s="33" t="n">
        <x:v>46034</x:v>
      </x:c>
      <x:c r="C40" s="25" t="str">
        <x:v>IN_REVIEW</x:v>
      </x:c>
      <x:c r="D40" s="25" t="str">
        <x:v>Occupational-health evaluator — Orthopaedics</x:v>
      </x:c>
      <x:c r="E40" s="25" t="str"/>
      <x:c r="F40" s="35" t="n">
        <x:v>33</x:v>
      </x:c>
      <x:c r="G40" s="36" t="n">
        <x:f>IF(M40="","",IF(COUNTIFS(tblHazards[assessment_id],M40,tblHazards[has_risk],1)=0,"",MAXIFS(tblHazards[risk_score_c],tblHazards[assessment_id],M40,tblHazards[has_risk],1)))</x:f>
        <x:v>9</x:v>
      </x:c>
      <x:c r="H40" s="26" t="str">
        <x:f>IF(G40="","",IF(G40&lt;=2,"LOW",IF(G40&lt;=4,"MEDIUM","HIGH")))</x:f>
        <x:v>HIGH</x:v>
      </x:c>
      <x:c r="I40" s="26" t="str">
        <x:v>RAH01-2026-037</x:v>
      </x:c>
      <x:c r="J40" s="34" t="n">
        <x:v>46035.263194444444</x:v>
      </x:c>
      <x:c r="K40" s="27" t="str">
        <x:v>37</x:v>
      </x:c>
      <x:c r="L40" s="27" t="str">
        <x:v>DPT-037</x:v>
      </x:c>
      <x:c r="M40" s="27" t="str">
        <x:v>ASM-2026-037</x:v>
      </x:c>
      <x:c r="N40" s="27" t="str">
        <x:v>rah01-submission.v1</x:v>
      </x:c>
      <x:c r="O40" s="27" t="str">
        <x:v>1.1.0</x:v>
      </x:c>
    </x:row>
    <x:row r="41">
      <x:c r="A41" s="28" t="str">
        <x:v>Outpatient Department</x:v>
      </x:c>
      <x:c r="B41" s="33" t="n">
        <x:v>46068</x:v>
      </x:c>
      <x:c r="C41" s="25" t="str">
        <x:v>CLOSED</x:v>
      </x:c>
      <x:c r="D41" s="25" t="str">
        <x:v>Occupational-health evaluator — Outpatient Department</x:v>
      </x:c>
      <x:c r="E41" s="25" t="str"/>
      <x:c r="F41" s="35" t="n">
        <x:v>40</x:v>
      </x:c>
      <x:c r="G41" s="36" t="n">
        <x:f>IF(M41="","",IF(COUNTIFS(tblHazards[assessment_id],M41,tblHazards[has_risk],1)=0,"",MAXIFS(tblHazards[risk_score_c],tblHazards[assessment_id],M41,tblHazards[has_risk],1)))</x:f>
        <x:v>9</x:v>
      </x:c>
      <x:c r="H41" s="26" t="str">
        <x:f>IF(G41="","",IF(G41&lt;=2,"LOW",IF(G41&lt;=4,"MEDIUM","HIGH")))</x:f>
        <x:v>HIGH</x:v>
      </x:c>
      <x:c r="I41" s="26" t="str">
        <x:v>RAH01-2026-038</x:v>
      </x:c>
      <x:c r="J41" s="34" t="n">
        <x:v>46069.30972222222</x:v>
      </x:c>
      <x:c r="K41" s="27" t="str">
        <x:v>38</x:v>
      </x:c>
      <x:c r="L41" s="27" t="str">
        <x:v>DPT-038</x:v>
      </x:c>
      <x:c r="M41" s="27" t="str">
        <x:v>ASM-2026-038</x:v>
      </x:c>
      <x:c r="N41" s="27" t="str">
        <x:v>rah01-submission.v1</x:v>
      </x:c>
      <x:c r="O41" s="27" t="str">
        <x:v>1.1.0</x:v>
      </x:c>
    </x:row>
    <x:row r="42">
      <x:c r="A42" s="28" t="str">
        <x:v>Paediatrics</x:v>
      </x:c>
      <x:c r="B42" s="33" t="n">
        <x:v>46099</x:v>
      </x:c>
      <x:c r="C42" s="25" t="str">
        <x:v>CLOSED</x:v>
      </x:c>
      <x:c r="D42" s="25" t="str">
        <x:v>Occupational-health evaluator — Paediatrics</x:v>
      </x:c>
      <x:c r="E42" s="25" t="str">
        <x:v>Department supervisor</x:v>
      </x:c>
      <x:c r="F42" s="35" t="n">
        <x:v>47</x:v>
      </x:c>
      <x:c r="G42" s="36" t="n">
        <x:f>IF(M42="","",IF(COUNTIFS(tblHazards[assessment_id],M42,tblHazards[has_risk],1)=0,"",MAXIFS(tblHazards[risk_score_c],tblHazards[assessment_id],M42,tblHazards[has_risk],1)))</x:f>
        <x:v>9</x:v>
      </x:c>
      <x:c r="H42" s="26" t="str">
        <x:f>IF(G42="","",IF(G42&lt;=2,"LOW",IF(G42&lt;=4,"MEDIUM","HIGH")))</x:f>
        <x:v>HIGH</x:v>
      </x:c>
      <x:c r="I42" s="26" t="str">
        <x:v>RAH01-2026-039</x:v>
      </x:c>
      <x:c r="J42" s="34" t="n">
        <x:v>46100.35625</x:v>
      </x:c>
      <x:c r="K42" s="27" t="str">
        <x:v>39</x:v>
      </x:c>
      <x:c r="L42" s="27" t="str">
        <x:v>DPT-039</x:v>
      </x:c>
      <x:c r="M42" s="27" t="str">
        <x:v>ASM-2026-039</x:v>
      </x:c>
      <x:c r="N42" s="27" t="str">
        <x:v>rah01-submission.v1</x:v>
      </x:c>
      <x:c r="O42" s="27" t="str">
        <x:v>1.1.0</x:v>
      </x:c>
    </x:row>
    <x:row r="43">
      <x:c r="A43" s="28" t="str">
        <x:v>Pathology</x:v>
      </x:c>
      <x:c r="B43" s="33" t="n">
        <x:v>46133</x:v>
      </x:c>
      <x:c r="C43" s="25" t="str">
        <x:v>RETURNED</x:v>
      </x:c>
      <x:c r="D43" s="25" t="str">
        <x:v>Occupational-health evaluator — Pathology</x:v>
      </x:c>
      <x:c r="E43" s="25" t="str">
        <x:v>Safety representative; department supervisor</x:v>
      </x:c>
      <x:c r="F43" s="35" t="n">
        <x:v>54</x:v>
      </x:c>
      <x:c r="G43" s="36" t="n">
        <x:f>IF(M43="","",IF(COUNTIFS(tblHazards[assessment_id],M43,tblHazards[has_risk],1)=0,"",MAXIFS(tblHazards[risk_score_c],tblHazards[assessment_id],M43,tblHazards[has_risk],1)))</x:f>
        <x:v>9</x:v>
      </x:c>
      <x:c r="H43" s="26" t="str">
        <x:f>IF(G43="","",IF(G43&lt;=2,"LOW",IF(G43&lt;=4,"MEDIUM","HIGH")))</x:f>
        <x:v>HIGH</x:v>
      </x:c>
      <x:c r="I43" s="26" t="str">
        <x:v>RAH01-2026-040</x:v>
      </x:c>
      <x:c r="J43" s="34" t="n">
        <x:v>46134.069444444445</x:v>
      </x:c>
      <x:c r="K43" s="27" t="str">
        <x:v>40</x:v>
      </x:c>
      <x:c r="L43" s="27" t="str">
        <x:v>DPT-040</x:v>
      </x:c>
      <x:c r="M43" s="27" t="str">
        <x:v>ASM-2026-040</x:v>
      </x:c>
      <x:c r="N43" s="27" t="str">
        <x:v>rah01-submission.v1</x:v>
      </x:c>
      <x:c r="O43" s="27" t="str">
        <x:v>1.1.0</x:v>
      </x:c>
    </x:row>
    <x:row r="44">
      <x:c r="A44" s="28" t="str">
        <x:v>Pharmacy</x:v>
      </x:c>
      <x:c r="B44" s="33" t="n">
        <x:v>46166</x:v>
      </x:c>
      <x:c r="C44" s="25" t="str">
        <x:v>SUBMITTED</x:v>
      </x:c>
      <x:c r="D44" s="25" t="str">
        <x:v>Occupational-health evaluator — Pharmacy</x:v>
      </x:c>
      <x:c r="E44" s="25" t="str"/>
      <x:c r="F44" s="35" t="n">
        <x:v>61</x:v>
      </x:c>
      <x:c r="G44" s="36" t="n">
        <x:f>IF(M44="","",IF(COUNTIFS(tblHazards[assessment_id],M44,tblHazards[has_risk],1)=0,"",MAXIFS(tblHazards[risk_score_c],tblHazards[assessment_id],M44,tblHazards[has_risk],1)))</x:f>
        <x:v>9</x:v>
      </x:c>
      <x:c r="H44" s="26" t="str">
        <x:f>IF(G44="","",IF(G44&lt;=2,"LOW",IF(G44&lt;=4,"MEDIUM","HIGH")))</x:f>
        <x:v>HIGH</x:v>
      </x:c>
      <x:c r="I44" s="26" t="str">
        <x:v>RAH01-2026-041</x:v>
      </x:c>
      <x:c r="J44" s="34" t="n">
        <x:v>46167.11597222222</x:v>
      </x:c>
      <x:c r="K44" s="27" t="str">
        <x:v>41</x:v>
      </x:c>
      <x:c r="L44" s="27" t="str">
        <x:v>DPT-041</x:v>
      </x:c>
      <x:c r="M44" s="27" t="str">
        <x:v>ASM-2026-041</x:v>
      </x:c>
      <x:c r="N44" s="27" t="str">
        <x:v>rah01-submission.v1</x:v>
      </x:c>
      <x:c r="O44" s="27" t="str">
        <x:v>1.1.0</x:v>
      </x:c>
    </x:row>
    <x:row r="45">
      <x:c r="A45" s="28" t="str">
        <x:v>Physical Therapy</x:v>
      </x:c>
      <x:c r="B45" s="33" t="n">
        <x:v>46175</x:v>
      </x:c>
      <x:c r="C45" s="25" t="str">
        <x:v>IN_REVIEW</x:v>
      </x:c>
      <x:c r="D45" s="25" t="str">
        <x:v>Occupational-health evaluator — Physical Therapy</x:v>
      </x:c>
      <x:c r="E45" s="25" t="str">
        <x:v>Department supervisor</x:v>
      </x:c>
      <x:c r="F45" s="35" t="n">
        <x:v>10</x:v>
      </x:c>
      <x:c r="G45" s="36" t="n">
        <x:f>IF(M45="","",IF(COUNTIFS(tblHazards[assessment_id],M45,tblHazards[has_risk],1)=0,"",MAXIFS(tblHazards[risk_score_c],tblHazards[assessment_id],M45,tblHazards[has_risk],1)))</x:f>
        <x:v>4</x:v>
      </x:c>
      <x:c r="H45" s="26" t="str">
        <x:f>IF(G45="","",IF(G45&lt;=2,"LOW",IF(G45&lt;=4,"MEDIUM","HIGH")))</x:f>
        <x:v>MEDIUM</x:v>
      </x:c>
      <x:c r="I45" s="26" t="str">
        <x:v>RAH01-2026-042</x:v>
      </x:c>
      <x:c r="J45" s="34" t="n">
        <x:v>46176.1625</x:v>
      </x:c>
      <x:c r="K45" s="27" t="str">
        <x:v>42</x:v>
      </x:c>
      <x:c r="L45" s="27" t="str">
        <x:v>DPT-042</x:v>
      </x:c>
      <x:c r="M45" s="27" t="str">
        <x:v>ASM-2026-042</x:v>
      </x:c>
      <x:c r="N45" s="27" t="str">
        <x:v>rah01-submission.v1</x:v>
      </x:c>
      <x:c r="O45" s="27" t="str">
        <x:v>1.1.0</x:v>
      </x:c>
    </x:row>
    <x:row r="46">
      <x:c r="A46" s="28" t="str">
        <x:v>Plastic Surgery</x:v>
      </x:c>
      <x:c r="B46" s="33" t="n">
        <x:v>46027</x:v>
      </x:c>
      <x:c r="C46" s="25" t="str">
        <x:v>CLOSED</x:v>
      </x:c>
      <x:c r="D46" s="25" t="str">
        <x:v>Occupational-health evaluator — Plastic Surgery</x:v>
      </x:c>
      <x:c r="E46" s="25" t="str"/>
      <x:c r="F46" s="35" t="n">
        <x:v>17</x:v>
      </x:c>
      <x:c r="G46" s="36" t="n">
        <x:f>IF(M46="","",IF(COUNTIFS(tblHazards[assessment_id],M46,tblHazards[has_risk],1)=0,"",MAXIFS(tblHazards[risk_score_c],tblHazards[assessment_id],M46,tblHazards[has_risk],1)))</x:f>
        <x:v>9</x:v>
      </x:c>
      <x:c r="H46" s="26" t="str">
        <x:f>IF(G46="","",IF(G46&lt;=2,"LOW",IF(G46&lt;=4,"MEDIUM","HIGH")))</x:f>
        <x:v>HIGH</x:v>
      </x:c>
      <x:c r="I46" s="26" t="str">
        <x:v>RAH01-2026-043</x:v>
      </x:c>
      <x:c r="J46" s="34" t="n">
        <x:v>46028.16736111111</x:v>
      </x:c>
      <x:c r="K46" s="27" t="str">
        <x:v>43</x:v>
      </x:c>
      <x:c r="L46" s="27" t="str">
        <x:v>DPT-043</x:v>
      </x:c>
      <x:c r="M46" s="27" t="str">
        <x:v>ASM-2026-043</x:v>
      </x:c>
      <x:c r="N46" s="27" t="str">
        <x:v>rah01-submission.v1</x:v>
      </x:c>
      <x:c r="O46" s="27" t="str">
        <x:v>1.1.0</x:v>
      </x:c>
    </x:row>
    <x:row r="47">
      <x:c r="A47" s="28" t="str">
        <x:v>Psychiatry</x:v>
      </x:c>
      <x:c r="B47" s="33" t="n">
        <x:v>46061</x:v>
      </x:c>
      <x:c r="C47" s="25" t="str">
        <x:v>CLOSED</x:v>
      </x:c>
      <x:c r="D47" s="25" t="str">
        <x:v>Occupational-health evaluator — Psychiatry</x:v>
      </x:c>
      <x:c r="E47" s="25" t="str">
        <x:v>Safety representative; department supervisor</x:v>
      </x:c>
      <x:c r="F47" s="35" t="n">
        <x:v>24</x:v>
      </x:c>
      <x:c r="G47" s="36" t="n">
        <x:f>IF(M47="","",IF(COUNTIFS(tblHazards[assessment_id],M47,tblHazards[has_risk],1)=0,"",MAXIFS(tblHazards[risk_score_c],tblHazards[assessment_id],M47,tblHazards[has_risk],1)))</x:f>
        <x:v>2</x:v>
      </x:c>
      <x:c r="H47" s="26" t="str">
        <x:f>IF(G47="","",IF(G47&lt;=2,"LOW",IF(G47&lt;=4,"MEDIUM","HIGH")))</x:f>
        <x:v>LOW</x:v>
      </x:c>
      <x:c r="I47" s="26" t="str">
        <x:v>RAH01-2026-044</x:v>
      </x:c>
      <x:c r="J47" s="34" t="n">
        <x:v>46062.21388888889</x:v>
      </x:c>
      <x:c r="K47" s="27" t="str">
        <x:v>44</x:v>
      </x:c>
      <x:c r="L47" s="27" t="str">
        <x:v>DPT-044</x:v>
      </x:c>
      <x:c r="M47" s="27" t="str">
        <x:v>ASM-2026-044</x:v>
      </x:c>
      <x:c r="N47" s="27" t="str">
        <x:v>rah01-submission.v1</x:v>
      </x:c>
      <x:c r="O47" s="27" t="str">
        <x:v>1.1.0</x:v>
      </x:c>
    </x:row>
    <x:row r="48">
      <x:c r="A48" s="28" t="str">
        <x:v>Quality Improvement</x:v>
      </x:c>
      <x:c r="B48" s="33" t="n">
        <x:v>46092</x:v>
      </x:c>
      <x:c r="C48" s="25" t="str">
        <x:v>RETURNED</x:v>
      </x:c>
      <x:c r="D48" s="25" t="str">
        <x:v>Occupational-health evaluator — Quality Improvement</x:v>
      </x:c>
      <x:c r="E48" s="25" t="str">
        <x:v>Department supervisor</x:v>
      </x:c>
      <x:c r="F48" s="35" t="n">
        <x:v>31</x:v>
      </x:c>
      <x:c r="G48" s="36" t="n">
        <x:f>IF(M48="","",IF(COUNTIFS(tblHazards[assessment_id],M48,tblHazards[has_risk],1)=0,"",MAXIFS(tblHazards[risk_score_c],tblHazards[assessment_id],M48,tblHazards[has_risk],1)))</x:f>
        <x:v>4</x:v>
      </x:c>
      <x:c r="H48" s="26" t="str">
        <x:f>IF(G48="","",IF(G48&lt;=2,"LOW",IF(G48&lt;=4,"MEDIUM","HIGH")))</x:f>
        <x:v>MEDIUM</x:v>
      </x:c>
      <x:c r="I48" s="26" t="str">
        <x:v>RAH01-2026-045</x:v>
      </x:c>
      <x:c r="J48" s="34" t="n">
        <x:v>46093.260416666664</x:v>
      </x:c>
      <x:c r="K48" s="27" t="str">
        <x:v>45</x:v>
      </x:c>
      <x:c r="L48" s="27" t="str">
        <x:v>DPT-045</x:v>
      </x:c>
      <x:c r="M48" s="27" t="str">
        <x:v>ASM-2026-045</x:v>
      </x:c>
      <x:c r="N48" s="27" t="str">
        <x:v>rah01-submission.v1</x:v>
      </x:c>
      <x:c r="O48" s="27" t="str">
        <x:v>1.1.0</x:v>
      </x:c>
    </x:row>
    <x:row r="49">
      <x:c r="A49" s="28" t="str">
        <x:v>Radiotherapy</x:v>
      </x:c>
      <x:c r="B49" s="33" t="n">
        <x:v>46126</x:v>
      </x:c>
      <x:c r="C49" s="25" t="str">
        <x:v>SUBMITTED</x:v>
      </x:c>
      <x:c r="D49" s="25" t="str">
        <x:v>Occupational-health evaluator — Radiotherapy</x:v>
      </x:c>
      <x:c r="E49" s="25" t="str"/>
      <x:c r="F49" s="35" t="n">
        <x:v>38</x:v>
      </x:c>
      <x:c r="G49" s="36" t="n">
        <x:f>IF(M49="","",IF(COUNTIFS(tblHazards[assessment_id],M49,tblHazards[has_risk],1)=0,"",MAXIFS(tblHazards[risk_score_c],tblHazards[assessment_id],M49,tblHazards[has_risk],1)))</x:f>
        <x:v>2</x:v>
      </x:c>
      <x:c r="H49" s="26" t="str">
        <x:f>IF(G49="","",IF(G49&lt;=2,"LOW",IF(G49&lt;=4,"MEDIUM","HIGH")))</x:f>
        <x:v>LOW</x:v>
      </x:c>
      <x:c r="I49" s="26" t="str">
        <x:v>RAH01-2026-046</x:v>
      </x:c>
      <x:c r="J49" s="34" t="n">
        <x:v>46127.30694444444</x:v>
      </x:c>
      <x:c r="K49" s="27" t="str">
        <x:v>46</x:v>
      </x:c>
      <x:c r="L49" s="27" t="str">
        <x:v>DPT-046</x:v>
      </x:c>
      <x:c r="M49" s="27" t="str">
        <x:v>ASM-2026-046</x:v>
      </x:c>
      <x:c r="N49" s="27" t="str">
        <x:v>rah01-submission.v1</x:v>
      </x:c>
      <x:c r="O49" s="27" t="str">
        <x:v>1.1.0</x:v>
      </x:c>
    </x:row>
    <x:row r="50">
      <x:c r="A50" s="28" t="str">
        <x:v>Rehabilitation</x:v>
      </x:c>
      <x:c r="B50" s="33" t="n">
        <x:v>46159</x:v>
      </x:c>
      <x:c r="C50" s="25" t="str">
        <x:v>IN_REVIEW</x:v>
      </x:c>
      <x:c r="D50" s="25" t="str">
        <x:v>Occupational-health evaluator — Rehabilitation</x:v>
      </x:c>
      <x:c r="E50" s="25" t="str"/>
      <x:c r="F50" s="35" t="n">
        <x:v>45</x:v>
      </x:c>
      <x:c r="G50" s="36" t="n">
        <x:f>IF(M50="","",IF(COUNTIFS(tblHazards[assessment_id],M50,tblHazards[has_risk],1)=0,"",MAXIFS(tblHazards[risk_score_c],tblHazards[assessment_id],M50,tblHazards[has_risk],1)))</x:f>
        <x:v>2</x:v>
      </x:c>
      <x:c r="H50" s="26" t="str">
        <x:f>IF(G50="","",IF(G50&lt;=2,"LOW",IF(G50&lt;=4,"MEDIUM","HIGH")))</x:f>
        <x:v>LOW</x:v>
      </x:c>
      <x:c r="I50" s="26" t="str">
        <x:v>RAH01-2026-047</x:v>
      </x:c>
      <x:c r="J50" s="34" t="n">
        <x:v>46160.353472222225</x:v>
      </x:c>
      <x:c r="K50" s="27" t="str">
        <x:v>47</x:v>
      </x:c>
      <x:c r="L50" s="27" t="str">
        <x:v>DPT-047</x:v>
      </x:c>
      <x:c r="M50" s="27" t="str">
        <x:v>ASM-2026-047</x:v>
      </x:c>
      <x:c r="N50" s="27" t="str">
        <x:v>rah01-submission.v1</x:v>
      </x:c>
      <x:c r="O50" s="27" t="str">
        <x:v>1.1.0</x:v>
      </x:c>
    </x:row>
    <x:row r="51">
      <x:c r="A51" s="28" t="str">
        <x:v>Renal Unit</x:v>
      </x:c>
      <x:c r="B51" s="33" t="n">
        <x:v>46193</x:v>
      </x:c>
      <x:c r="C51" s="25" t="str">
        <x:v>CLOSED</x:v>
      </x:c>
      <x:c r="D51" s="25" t="str">
        <x:v>Occupational-health evaluator — Renal Unit</x:v>
      </x:c>
      <x:c r="E51" s="25" t="str">
        <x:v>Safety representative; department supervisor</x:v>
      </x:c>
      <x:c r="F51" s="35" t="n">
        <x:v>52</x:v>
      </x:c>
      <x:c r="G51" s="36" t="n">
        <x:f>IF(M51="","",IF(COUNTIFS(tblHazards[assessment_id],M51,tblHazards[has_risk],1)=0,"",MAXIFS(tblHazards[risk_score_c],tblHazards[assessment_id],M51,tblHazards[has_risk],1)))</x:f>
        <x:v>4</x:v>
      </x:c>
      <x:c r="H51" s="26" t="str">
        <x:f>IF(G51="","",IF(G51&lt;=2,"LOW",IF(G51&lt;=4,"MEDIUM","HIGH")))</x:f>
        <x:v>MEDIUM</x:v>
      </x:c>
      <x:c r="I51" s="26" t="str">
        <x:v>RAH01-2026-048</x:v>
      </x:c>
      <x:c r="J51" s="34" t="n">
        <x:v>46194.066666666666</x:v>
      </x:c>
      <x:c r="K51" s="27" t="str">
        <x:v>48</x:v>
      </x:c>
      <x:c r="L51" s="27" t="str">
        <x:v>DPT-048</x:v>
      </x:c>
      <x:c r="M51" s="27" t="str">
        <x:v>ASM-2026-048</x:v>
      </x:c>
      <x:c r="N51" s="27" t="str">
        <x:v>rah01-submission.v1</x:v>
      </x:c>
      <x:c r="O51" s="27" t="str">
        <x:v>1.1.0</x:v>
      </x:c>
    </x:row>
    <x:row r="52">
      <x:c r="A52" s="28" t="str">
        <x:v>Respiratory Medicine</x:v>
      </x:c>
      <x:c r="B52" s="33" t="n">
        <x:v>46045</x:v>
      </x:c>
      <x:c r="C52" s="25" t="str">
        <x:v>CLOSED</x:v>
      </x:c>
      <x:c r="D52" s="25" t="str">
        <x:v>Occupational-health evaluator — Respiratory Medicine</x:v>
      </x:c>
      <x:c r="E52" s="25" t="str"/>
      <x:c r="F52" s="35" t="n">
        <x:v>59</x:v>
      </x:c>
      <x:c r="G52" s="36" t="n">
        <x:f>IF(M52="","",IF(COUNTIFS(tblHazards[assessment_id],M52,tblHazards[has_risk],1)=0,"",MAXIFS(tblHazards[risk_score_c],tblHazards[assessment_id],M52,tblHazards[has_risk],1)))</x:f>
        <x:v>2</x:v>
      </x:c>
      <x:c r="H52" s="26" t="str">
        <x:f>IF(G52="","",IF(G52&lt;=2,"LOW",IF(G52&lt;=4,"MEDIUM","HIGH")))</x:f>
        <x:v>LOW</x:v>
      </x:c>
      <x:c r="I52" s="26" t="str">
        <x:v>RAH01-2026-049</x:v>
      </x:c>
      <x:c r="J52" s="34" t="n">
        <x:v>46046.11319444444</x:v>
      </x:c>
      <x:c r="K52" s="27" t="str">
        <x:v>49</x:v>
      </x:c>
      <x:c r="L52" s="27" t="str">
        <x:v>DPT-049</x:v>
      </x:c>
      <x:c r="M52" s="27" t="str">
        <x:v>ASM-2026-049</x:v>
      </x:c>
      <x:c r="N52" s="27" t="str">
        <x:v>rah01-submission.v1</x:v>
      </x:c>
      <x:c r="O52" s="27" t="str">
        <x:v>1.1.0</x:v>
      </x:c>
    </x:row>
    <x:row r="53">
      <x:c r="A53" s="28" t="str">
        <x:v>Social Work</x:v>
      </x:c>
      <x:c r="B53" s="33" t="n">
        <x:v>46054</x:v>
      </x:c>
      <x:c r="C53" s="25" t="str">
        <x:v>RETURNED</x:v>
      </x:c>
      <x:c r="D53" s="25" t="str">
        <x:v>Occupational-health evaluator — Social Work</x:v>
      </x:c>
      <x:c r="E53" s="25" t="str"/>
      <x:c r="F53" s="35" t="n">
        <x:v>8</x:v>
      </x:c>
      <x:c r="G53" s="36" t="n">
        <x:f>IF(M53="","",IF(COUNTIFS(tblHazards[assessment_id],M53,tblHazards[has_risk],1)=0,"",MAXIFS(tblHazards[risk_score_c],tblHazards[assessment_id],M53,tblHazards[has_risk],1)))</x:f>
        <x:v>2</x:v>
      </x:c>
      <x:c r="H53" s="26" t="str">
        <x:f>IF(G53="","",IF(G53&lt;=2,"LOW",IF(G53&lt;=4,"MEDIUM","HIGH")))</x:f>
        <x:v>LOW</x:v>
      </x:c>
      <x:c r="I53" s="26" t="str">
        <x:v>RAH01-2026-050</x:v>
      </x:c>
      <x:c r="J53" s="34" t="n">
        <x:v>46055.15972222222</x:v>
      </x:c>
      <x:c r="K53" s="27" t="str">
        <x:v>50</x:v>
      </x:c>
      <x:c r="L53" s="27" t="str">
        <x:v>DPT-050</x:v>
      </x:c>
      <x:c r="M53" s="27" t="str">
        <x:v>ASM-2026-050</x:v>
      </x:c>
      <x:c r="N53" s="27" t="str">
        <x:v>rah01-submission.v1</x:v>
      </x:c>
      <x:c r="O53" s="27" t="str">
        <x:v>1.1.0</x:v>
      </x:c>
    </x:row>
    <x:row r="54">
      <x:c r="A54" s="28" t="str">
        <x:v>Speech Therapy</x:v>
      </x:c>
      <x:c r="B54" s="33" t="n">
        <x:v>46085</x:v>
      </x:c>
      <x:c r="C54" s="25" t="str">
        <x:v>SUBMITTED</x:v>
      </x:c>
      <x:c r="D54" s="25" t="str">
        <x:v>Occupational-health evaluator — Speech Therapy</x:v>
      </x:c>
      <x:c r="E54" s="25" t="str">
        <x:v>Department supervisor</x:v>
      </x:c>
      <x:c r="F54" s="35" t="n">
        <x:v>15</x:v>
      </x:c>
      <x:c r="G54" s="36" t="n">
        <x:f>IF(M54="","",IF(COUNTIFS(tblHazards[assessment_id],M54,tblHazards[has_risk],1)=0,"",MAXIFS(tblHazards[risk_score_c],tblHazards[assessment_id],M54,tblHazards[has_risk],1)))</x:f>
        <x:v>4</x:v>
      </x:c>
      <x:c r="H54" s="26" t="str">
        <x:f>IF(G54="","",IF(G54&lt;=2,"LOW",IF(G54&lt;=4,"MEDIUM","HIGH")))</x:f>
        <x:v>MEDIUM</x:v>
      </x:c>
      <x:c r="I54" s="26" t="str">
        <x:v>RAH01-2026-051</x:v>
      </x:c>
      <x:c r="J54" s="34" t="n">
        <x:v>46086.20625</x:v>
      </x:c>
      <x:c r="K54" s="27" t="str">
        <x:v>51</x:v>
      </x:c>
      <x:c r="L54" s="27" t="str">
        <x:v>DPT-051</x:v>
      </x:c>
      <x:c r="M54" s="27" t="str">
        <x:v>ASM-2026-051</x:v>
      </x:c>
      <x:c r="N54" s="27" t="str">
        <x:v>rah01-submission.v1</x:v>
      </x:c>
      <x:c r="O54" s="27" t="str">
        <x:v>1.1.0</x:v>
      </x:c>
    </x:row>
    <x:row r="55">
      <x:c r="A55" s="28" t="str">
        <x:v>Surgical ICU</x:v>
      </x:c>
      <x:c r="B55" s="33" t="n">
        <x:v>46119</x:v>
      </x:c>
      <x:c r="C55" s="25" t="str">
        <x:v>IN_REVIEW</x:v>
      </x:c>
      <x:c r="D55" s="25" t="str">
        <x:v>Occupational-health evaluator — Surgical ICU</x:v>
      </x:c>
      <x:c r="E55" s="25" t="str">
        <x:v>Safety representative; department supervisor</x:v>
      </x:c>
      <x:c r="F55" s="35" t="n">
        <x:v>22</x:v>
      </x:c>
      <x:c r="G55" s="36" t="n">
        <x:f>IF(M55="","",IF(COUNTIFS(tblHazards[assessment_id],M55,tblHazards[has_risk],1)=0,"",MAXIFS(tblHazards[risk_score_c],tblHazards[assessment_id],M55,tblHazards[has_risk],1)))</x:f>
        <x:v>2</x:v>
      </x:c>
      <x:c r="H55" s="26" t="str">
        <x:f>IF(G55="","",IF(G55&lt;=2,"LOW",IF(G55&lt;=4,"MEDIUM","HIGH")))</x:f>
        <x:v>LOW</x:v>
      </x:c>
      <x:c r="I55" s="26" t="str">
        <x:v>RAH01-2026-052</x:v>
      </x:c>
      <x:c r="J55" s="34" t="n">
        <x:v>46120.21111111111</x:v>
      </x:c>
      <x:c r="K55" s="27" t="str">
        <x:v>52</x:v>
      </x:c>
      <x:c r="L55" s="27" t="str">
        <x:v>DPT-052</x:v>
      </x:c>
      <x:c r="M55" s="27" t="str">
        <x:v>ASM-2026-052</x:v>
      </x:c>
      <x:c r="N55" s="27" t="str">
        <x:v>rah01-submission.v1</x:v>
      </x:c>
      <x:c r="O55" s="27" t="str">
        <x:v>1.1.0</x:v>
      </x:c>
    </x:row>
    <x:row r="56">
      <x:c r="A56" s="28" t="str">
        <x:v>Thai Traditional Medicine</x:v>
      </x:c>
      <x:c r="B56" s="33" t="n">
        <x:v>46152</x:v>
      </x:c>
      <x:c r="C56" s="25" t="str">
        <x:v>CLOSED</x:v>
      </x:c>
      <x:c r="D56" s="25" t="str">
        <x:v>Occupational-health evaluator — Thai Traditional Medicine</x:v>
      </x:c>
      <x:c r="E56" s="25" t="str"/>
      <x:c r="F56" s="35" t="n">
        <x:v>29</x:v>
      </x:c>
      <x:c r="G56" s="36" t="n">
        <x:f>IF(M56="","",IF(COUNTIFS(tblHazards[assessment_id],M56,tblHazards[has_risk],1)=0,"",MAXIFS(tblHazards[risk_score_c],tblHazards[assessment_id],M56,tblHazards[has_risk],1)))</x:f>
        <x:v>2</x:v>
      </x:c>
      <x:c r="H56" s="26" t="str">
        <x:f>IF(G56="","",IF(G56&lt;=2,"LOW",IF(G56&lt;=4,"MEDIUM","HIGH")))</x:f>
        <x:v>LOW</x:v>
      </x:c>
      <x:c r="I56" s="26" t="str">
        <x:v>RAH01-2026-053</x:v>
      </x:c>
      <x:c r="J56" s="34" t="n">
        <x:v>46153.25763888889</x:v>
      </x:c>
      <x:c r="K56" s="27" t="str">
        <x:v>53</x:v>
      </x:c>
      <x:c r="L56" s="27" t="str">
        <x:v>DPT-053</x:v>
      </x:c>
      <x:c r="M56" s="27" t="str">
        <x:v>ASM-2026-053</x:v>
      </x:c>
      <x:c r="N56" s="27" t="str">
        <x:v>rah01-submission.v1</x:v>
      </x:c>
      <x:c r="O56" s="27" t="str">
        <x:v>1.1.0</x:v>
      </x:c>
    </x:row>
    <x:row r="57">
      <x:c r="A57" s="28" t="str">
        <x:v>Thoracic Medicine</x:v>
      </x:c>
      <x:c r="B57" s="33" t="n">
        <x:v>46186</x:v>
      </x:c>
      <x:c r="C57" s="25" t="str">
        <x:v>CLOSED</x:v>
      </x:c>
      <x:c r="D57" s="25" t="str">
        <x:v>Occupational-health evaluator — Thoracic Medicine</x:v>
      </x:c>
      <x:c r="E57" s="25" t="str">
        <x:v>Department supervisor</x:v>
      </x:c>
      <x:c r="F57" s="35" t="n">
        <x:v>36</x:v>
      </x:c>
      <x:c r="G57" s="36" t="n">
        <x:f>IF(M57="","",IF(COUNTIFS(tblHazards[assessment_id],M57,tblHazards[has_risk],1)=0,"",MAXIFS(tblHazards[risk_score_c],tblHazards[assessment_id],M57,tblHazards[has_risk],1)))</x:f>
        <x:v>4</x:v>
      </x:c>
      <x:c r="H57" s="26" t="str">
        <x:f>IF(G57="","",IF(G57&lt;=2,"LOW",IF(G57&lt;=4,"MEDIUM","HIGH")))</x:f>
        <x:v>MEDIUM</x:v>
      </x:c>
      <x:c r="I57" s="26" t="str">
        <x:v>RAH01-2026-054</x:v>
      </x:c>
      <x:c r="J57" s="34" t="n">
        <x:v>46187.30416666667</x:v>
      </x:c>
      <x:c r="K57" s="27" t="str">
        <x:v>54</x:v>
      </x:c>
      <x:c r="L57" s="27" t="str">
        <x:v>DPT-054</x:v>
      </x:c>
      <x:c r="M57" s="27" t="str">
        <x:v>ASM-2026-054</x:v>
      </x:c>
      <x:c r="N57" s="27" t="str">
        <x:v>rah01-submission.v1</x:v>
      </x:c>
      <x:c r="O57" s="27" t="str">
        <x:v>1.1.0</x:v>
      </x:c>
    </x:row>
    <x:row r="58">
      <x:c r="A58" s="28" t="str">
        <x:v>Transfusion Medicine</x:v>
      </x:c>
      <x:c r="B58" s="33" t="n">
        <x:v>46038</x:v>
      </x:c>
      <x:c r="C58" s="25" t="str">
        <x:v>RETURNED</x:v>
      </x:c>
      <x:c r="D58" s="25" t="str">
        <x:v>Occupational-health evaluator — Transfusion Medicine</x:v>
      </x:c>
      <x:c r="E58" s="25" t="str"/>
      <x:c r="F58" s="35" t="n">
        <x:v>43</x:v>
      </x:c>
      <x:c r="G58" s="36" t="n">
        <x:f>IF(M58="","",IF(COUNTIFS(tblHazards[assessment_id],M58,tblHazards[has_risk],1)=0,"",MAXIFS(tblHazards[risk_score_c],tblHazards[assessment_id],M58,tblHazards[has_risk],1)))</x:f>
        <x:v>2</x:v>
      </x:c>
      <x:c r="H58" s="26" t="str">
        <x:f>IF(G58="","",IF(G58&lt;=2,"LOW",IF(G58&lt;=4,"MEDIUM","HIGH")))</x:f>
        <x:v>LOW</x:v>
      </x:c>
      <x:c r="I58" s="26" t="str">
        <x:v>RAH01-2026-055</x:v>
      </x:c>
      <x:c r="J58" s="34" t="n">
        <x:v>46039.350694444445</x:v>
      </x:c>
      <x:c r="K58" s="27" t="str">
        <x:v>55</x:v>
      </x:c>
      <x:c r="L58" s="27" t="str">
        <x:v>DPT-055</x:v>
      </x:c>
      <x:c r="M58" s="27" t="str">
        <x:v>ASM-2026-055</x:v>
      </x:c>
      <x:c r="N58" s="27" t="str">
        <x:v>rah01-submission.v1</x:v>
      </x:c>
      <x:c r="O58" s="27" t="str">
        <x:v>1.1.0</x:v>
      </x:c>
    </x:row>
    <x:row r="59">
      <x:c r="A59" s="28" t="str">
        <x:v>Trauma Centre</x:v>
      </x:c>
      <x:c r="B59" s="33" t="n">
        <x:v>46072</x:v>
      </x:c>
      <x:c r="C59" s="25" t="str">
        <x:v>SUBMITTED</x:v>
      </x:c>
      <x:c r="D59" s="25" t="str">
        <x:v>Occupational-health evaluator — Trauma Centre</x:v>
      </x:c>
      <x:c r="E59" s="25" t="str">
        <x:v>Safety representative; department supervisor</x:v>
      </x:c>
      <x:c r="F59" s="35" t="n">
        <x:v>50</x:v>
      </x:c>
      <x:c r="G59" s="36" t="n">
        <x:f>IF(M59="","",IF(COUNTIFS(tblHazards[assessment_id],M59,tblHazards[has_risk],1)=0,"",MAXIFS(tblHazards[risk_score_c],tblHazards[assessment_id],M59,tblHazards[has_risk],1)))</x:f>
        <x:v>2</x:v>
      </x:c>
      <x:c r="H59" s="26" t="str">
        <x:f>IF(G59="","",IF(G59&lt;=2,"LOW",IF(G59&lt;=4,"MEDIUM","HIGH")))</x:f>
        <x:v>LOW</x:v>
      </x:c>
      <x:c r="I59" s="26" t="str">
        <x:v>RAH01-2026-056</x:v>
      </x:c>
      <x:c r="J59" s="34" t="n">
        <x:v>46073.063888888886</x:v>
      </x:c>
      <x:c r="K59" s="27" t="str">
        <x:v>56</x:v>
      </x:c>
      <x:c r="L59" s="27" t="str">
        <x:v>DPT-056</x:v>
      </x:c>
      <x:c r="M59" s="27" t="str">
        <x:v>ASM-2026-056</x:v>
      </x:c>
      <x:c r="N59" s="27" t="str">
        <x:v>rah01-submission.v1</x:v>
      </x:c>
      <x:c r="O59" s="27" t="str">
        <x:v>1.1.0</x:v>
      </x:c>
    </x:row>
    <x:row r="60">
      <x:c r="A60" s="28" t="str">
        <x:v>Urology</x:v>
      </x:c>
      <x:c r="B60" s="33" t="n">
        <x:v>46103</x:v>
      </x:c>
      <x:c r="C60" s="25" t="str">
        <x:v>IN_REVIEW</x:v>
      </x:c>
      <x:c r="D60" s="25" t="str">
        <x:v>Occupational-health evaluator — Urology</x:v>
      </x:c>
      <x:c r="E60" s="25" t="str">
        <x:v>Department supervisor</x:v>
      </x:c>
      <x:c r="F60" s="35" t="n">
        <x:v>57</x:v>
      </x:c>
      <x:c r="G60" s="36" t="n">
        <x:f>IF(M60="","",IF(COUNTIFS(tblHazards[assessment_id],M60,tblHazards[has_risk],1)=0,"",MAXIFS(tblHazards[risk_score_c],tblHazards[assessment_id],M60,tblHazards[has_risk],1)))</x:f>
        <x:v>4</x:v>
      </x:c>
      <x:c r="H60" s="26" t="str">
        <x:f>IF(G60="","",IF(G60&lt;=2,"LOW",IF(G60&lt;=4,"MEDIUM","HIGH")))</x:f>
        <x:v>MEDIUM</x:v>
      </x:c>
      <x:c r="I60" s="26" t="str">
        <x:v>RAH01-2026-057</x:v>
      </x:c>
      <x:c r="J60" s="34" t="n">
        <x:v>46104.11041666667</x:v>
      </x:c>
      <x:c r="K60" s="27" t="str">
        <x:v>57</x:v>
      </x:c>
      <x:c r="L60" s="27" t="str">
        <x:v>DPT-057</x:v>
      </x:c>
      <x:c r="M60" s="27" t="str">
        <x:v>ASM-2026-057</x:v>
      </x:c>
      <x:c r="N60" s="27" t="str">
        <x:v>rah01-submission.v1</x:v>
      </x:c>
      <x:c r="O60" s="27" t="str">
        <x:v>1.1.0</x:v>
      </x:c>
    </x:row>
    <x:row r="61">
      <x:c r="A61" s="28" t="str">
        <x:v>Vaccination Clinic</x:v>
      </x:c>
      <x:c r="B61" s="33" t="n">
        <x:v>46137</x:v>
      </x:c>
      <x:c r="C61" s="25" t="str">
        <x:v>CLOSED</x:v>
      </x:c>
      <x:c r="D61" s="25" t="str">
        <x:v>Occupational-health evaluator — Vaccination Clinic</x:v>
      </x:c>
      <x:c r="E61" s="25" t="str"/>
      <x:c r="F61" s="35" t="n">
        <x:v>6</x:v>
      </x:c>
      <x:c r="G61" s="36" t="n">
        <x:f>IF(M61="","",IF(COUNTIFS(tblHazards[assessment_id],M61,tblHazards[has_risk],1)=0,"",MAXIFS(tblHazards[risk_score_c],tblHazards[assessment_id],M61,tblHazards[has_risk],1)))</x:f>
        <x:v>9</x:v>
      </x:c>
      <x:c r="H61" s="26" t="str">
        <x:f>IF(G61="","",IF(G61&lt;=2,"LOW",IF(G61&lt;=4,"MEDIUM","HIGH")))</x:f>
        <x:v>HIGH</x:v>
      </x:c>
      <x:c r="I61" s="26" t="str">
        <x:v>RAH01-2026-058</x:v>
      </x:c>
      <x:c r="J61" s="34" t="n">
        <x:v>46138.15694444445</x:v>
      </x:c>
      <x:c r="K61" s="27" t="str">
        <x:v>58</x:v>
      </x:c>
      <x:c r="L61" s="27" t="str">
        <x:v>DPT-058</x:v>
      </x:c>
      <x:c r="M61" s="27" t="str">
        <x:v>ASM-2026-058</x:v>
      </x:c>
      <x:c r="N61" s="27" t="str">
        <x:v>rah01-submission.v1</x:v>
      </x:c>
      <x:c r="O61" s="27" t="str">
        <x:v>1.1.0</x:v>
      </x:c>
    </x:row>
    <x:row r="62">
      <x:c r="A62" s="28" t="str">
        <x:v>Ward 1</x:v>
      </x:c>
      <x:c r="B62" s="33" t="n">
        <x:v>46145</x:v>
      </x:c>
      <x:c r="C62" s="25" t="str">
        <x:v>CLOSED</x:v>
      </x:c>
      <x:c r="D62" s="25" t="str">
        <x:v>Occupational-health evaluator — Ward 1</x:v>
      </x:c>
      <x:c r="E62" s="25" t="str"/>
      <x:c r="F62" s="35" t="n">
        <x:v>13</x:v>
      </x:c>
      <x:c r="G62" s="36" t="n">
        <x:f>IF(M62="","",IF(COUNTIFS(tblHazards[assessment_id],M62,tblHazards[has_risk],1)=0,"",MAXIFS(tblHazards[risk_score_c],tblHazards[assessment_id],M62,tblHazards[has_risk],1)))</x:f>
        <x:v>9</x:v>
      </x:c>
      <x:c r="H62" s="26" t="str">
        <x:f>IF(G62="","",IF(G62&lt;=2,"LOW",IF(G62&lt;=4,"MEDIUM","HIGH")))</x:f>
        <x:v>HIGH</x:v>
      </x:c>
      <x:c r="I62" s="26" t="str">
        <x:v>RAH01-2026-059</x:v>
      </x:c>
      <x:c r="J62" s="34" t="n">
        <x:v>46146.20347222222</x:v>
      </x:c>
      <x:c r="K62" s="27" t="str">
        <x:v>59</x:v>
      </x:c>
      <x:c r="L62" s="27" t="str">
        <x:v>DPT-059</x:v>
      </x:c>
      <x:c r="M62" s="27" t="str">
        <x:v>ASM-2026-059</x:v>
      </x:c>
      <x:c r="N62" s="27" t="str">
        <x:v>rah01-submission.v1</x:v>
      </x:c>
      <x:c r="O62" s="27" t="str">
        <x:v>1.1.0</x:v>
      </x:c>
    </x:row>
    <x:row r="63">
      <x:c r="A63" s="28" t="str">
        <x:v>Ward 10</x:v>
      </x:c>
      <x:c r="B63" s="33" t="n">
        <x:v>46058</x:v>
      </x:c>
      <x:c r="C63" s="25" t="str">
        <x:v>CLOSED</x:v>
      </x:c>
      <x:c r="D63" s="25" t="str">
        <x:v>Occupational-health evaluator — Ward 10</x:v>
      </x:c>
      <x:c r="E63" s="25" t="str">
        <x:v>Safety representative; department supervisor</x:v>
      </x:c>
      <x:c r="F63" s="35" t="n">
        <x:v>18</x:v>
      </x:c>
      <x:c r="G63" s="36" t="n">
        <x:f>IF(M63="","",IF(COUNTIFS(tblHazards[assessment_id],M63,tblHazards[has_risk],1)=0,"",MAXIFS(tblHazards[risk_score_c],tblHazards[assessment_id],M63,tblHazards[has_risk],1)))</x:f>
        <x:v>9</x:v>
      </x:c>
      <x:c r="H63" s="26" t="str">
        <x:f>IF(G63="","",IF(G63&lt;=2,"LOW",IF(G63&lt;=4,"MEDIUM","HIGH")))</x:f>
        <x:v>HIGH</x:v>
      </x:c>
      <x:c r="I63" s="26" t="str">
        <x:v>RAH01-2026-068</x:v>
      </x:c>
      <x:c r="J63" s="34" t="n">
        <x:v>46059.24722222222</x:v>
      </x:c>
      <x:c r="K63" s="27" t="str">
        <x:v>68</x:v>
      </x:c>
      <x:c r="L63" s="27" t="str">
        <x:v>DPT-068</x:v>
      </x:c>
      <x:c r="M63" s="27" t="str">
        <x:v>ASM-2026-068</x:v>
      </x:c>
      <x:c r="N63" s="27" t="str">
        <x:v>rah01-submission.v1</x:v>
      </x:c>
      <x:c r="O63" s="27" t="str">
        <x:v>1.1.0</x:v>
      </x:c>
    </x:row>
    <x:row r="64">
      <x:c r="A64" s="28" t="str">
        <x:v>Ward 2</x:v>
      </x:c>
      <x:c r="B64" s="33" t="n">
        <x:v>46179</x:v>
      </x:c>
      <x:c r="C64" s="25" t="str">
        <x:v>RETURNED</x:v>
      </x:c>
      <x:c r="D64" s="25" t="str">
        <x:v>Occupational-health evaluator — Ward 2</x:v>
      </x:c>
      <x:c r="E64" s="25" t="str">
        <x:v>Safety representative; department supervisor</x:v>
      </x:c>
      <x:c r="F64" s="35" t="n">
        <x:v>20</x:v>
      </x:c>
      <x:c r="G64" s="36" t="n">
        <x:f>IF(M64="","",IF(COUNTIFS(tblHazards[assessment_id],M64,tblHazards[has_risk],1)=0,"",MAXIFS(tblHazards[risk_score_c],tblHazards[assessment_id],M64,tblHazards[has_risk],1)))</x:f>
        <x:v>9</x:v>
      </x:c>
      <x:c r="H64" s="26" t="str">
        <x:f>IF(G64="","",IF(G64&lt;=2,"LOW",IF(G64&lt;=4,"MEDIUM","HIGH")))</x:f>
        <x:v>HIGH</x:v>
      </x:c>
      <x:c r="I64" s="26" t="str">
        <x:v>RAH01-2026-060</x:v>
      </x:c>
      <x:c r="J64" s="34" t="n">
        <x:v>46180.208333333336</x:v>
      </x:c>
      <x:c r="K64" s="27" t="str">
        <x:v>60</x:v>
      </x:c>
      <x:c r="L64" s="27" t="str">
        <x:v>DPT-060</x:v>
      </x:c>
      <x:c r="M64" s="27" t="str">
        <x:v>ASM-2026-060</x:v>
      </x:c>
      <x:c r="N64" s="27" t="str">
        <x:v>rah01-submission.v1</x:v>
      </x:c>
      <x:c r="O64" s="27" t="str">
        <x:v>1.1.0</x:v>
      </x:c>
    </x:row>
    <x:row r="65">
      <x:c r="A65" s="28" t="str">
        <x:v>Ward 3</x:v>
      </x:c>
      <x:c r="B65" s="33" t="n">
        <x:v>46031</x:v>
      </x:c>
      <x:c r="C65" s="25" t="str">
        <x:v>SUBMITTED</x:v>
      </x:c>
      <x:c r="D65" s="25" t="str">
        <x:v>Occupational-health evaluator — Ward 3</x:v>
      </x:c>
      <x:c r="E65" s="25" t="str"/>
      <x:c r="F65" s="35" t="n">
        <x:v>27</x:v>
      </x:c>
      <x:c r="G65" s="36" t="n">
        <x:f>IF(M65="","",IF(COUNTIFS(tblHazards[assessment_id],M65,tblHazards[has_risk],1)=0,"",MAXIFS(tblHazards[risk_score_c],tblHazards[assessment_id],M65,tblHazards[has_risk],1)))</x:f>
        <x:v>9</x:v>
      </x:c>
      <x:c r="H65" s="26" t="str">
        <x:f>IF(G65="","",IF(G65&lt;=2,"LOW",IF(G65&lt;=4,"MEDIUM","HIGH")))</x:f>
        <x:v>HIGH</x:v>
      </x:c>
      <x:c r="I65" s="26" t="str">
        <x:v>RAH01-2026-061</x:v>
      </x:c>
      <x:c r="J65" s="34" t="n">
        <x:v>46032.25486111111</x:v>
      </x:c>
      <x:c r="K65" s="27" t="str">
        <x:v>61</x:v>
      </x:c>
      <x:c r="L65" s="27" t="str">
        <x:v>DPT-061</x:v>
      </x:c>
      <x:c r="M65" s="27" t="str">
        <x:v>ASM-2026-061</x:v>
      </x:c>
      <x:c r="N65" s="27" t="str">
        <x:v>rah01-submission.v1</x:v>
      </x:c>
      <x:c r="O65" s="27" t="str">
        <x:v>1.1.0</x:v>
      </x:c>
    </x:row>
    <x:row r="66">
      <x:c r="A66" s="28" t="str">
        <x:v>Ward 4</x:v>
      </x:c>
      <x:c r="B66" s="33" t="n">
        <x:v>46065</x:v>
      </x:c>
      <x:c r="C66" s="25" t="str">
        <x:v>IN_REVIEW</x:v>
      </x:c>
      <x:c r="D66" s="25" t="str">
        <x:v>Occupational-health evaluator — Ward 4</x:v>
      </x:c>
      <x:c r="E66" s="25" t="str"/>
      <x:c r="F66" s="35" t="n">
        <x:v>34</x:v>
      </x:c>
      <x:c r="G66" s="36" t="n">
        <x:f>IF(M66="","",IF(COUNTIFS(tblHazards[assessment_id],M66,tblHazards[has_risk],1)=0,"",MAXIFS(tblHazards[risk_score_c],tblHazards[assessment_id],M66,tblHazards[has_risk],1)))</x:f>
        <x:v>9</x:v>
      </x:c>
      <x:c r="H66" s="26" t="str">
        <x:f>IF(G66="","",IF(G66&lt;=2,"LOW",IF(G66&lt;=4,"MEDIUM","HIGH")))</x:f>
        <x:v>HIGH</x:v>
      </x:c>
      <x:c r="I66" s="26" t="str">
        <x:v>RAH01-2026-062</x:v>
      </x:c>
      <x:c r="J66" s="34" t="n">
        <x:v>46066.30138888889</x:v>
      </x:c>
      <x:c r="K66" s="27" t="str">
        <x:v>62</x:v>
      </x:c>
      <x:c r="L66" s="27" t="str">
        <x:v>DPT-062</x:v>
      </x:c>
      <x:c r="M66" s="27" t="str">
        <x:v>ASM-2026-062</x:v>
      </x:c>
      <x:c r="N66" s="27" t="str">
        <x:v>rah01-submission.v1</x:v>
      </x:c>
      <x:c r="O66" s="27" t="str">
        <x:v>1.1.0</x:v>
      </x:c>
    </x:row>
    <x:row r="67">
      <x:c r="A67" s="28" t="str">
        <x:v>Ward 5</x:v>
      </x:c>
      <x:c r="B67" s="33" t="n">
        <x:v>46096</x:v>
      </x:c>
      <x:c r="C67" s="25" t="str">
        <x:v>CLOSED</x:v>
      </x:c>
      <x:c r="D67" s="25" t="str">
        <x:v>Occupational-health evaluator — Ward 5</x:v>
      </x:c>
      <x:c r="E67" s="25" t="str">
        <x:v>Department supervisor</x:v>
      </x:c>
      <x:c r="F67" s="35" t="n">
        <x:v>41</x:v>
      </x:c>
      <x:c r="G67" s="36" t="n">
        <x:f>IF(M67="","",IF(COUNTIFS(tblHazards[assessment_id],M67,tblHazards[has_risk],1)=0,"",MAXIFS(tblHazards[risk_score_c],tblHazards[assessment_id],M67,tblHazards[has_risk],1)))</x:f>
        <x:v>4</x:v>
      </x:c>
      <x:c r="H67" s="26" t="str">
        <x:f>IF(G67="","",IF(G67&lt;=2,"LOW",IF(G67&lt;=4,"MEDIUM","HIGH")))</x:f>
        <x:v>MEDIUM</x:v>
      </x:c>
      <x:c r="I67" s="26" t="str">
        <x:v>RAH01-2026-063</x:v>
      </x:c>
      <x:c r="J67" s="34" t="n">
        <x:v>46097.347916666666</x:v>
      </x:c>
      <x:c r="K67" s="27" t="str">
        <x:v>63</x:v>
      </x:c>
      <x:c r="L67" s="27" t="str">
        <x:v>DPT-063</x:v>
      </x:c>
      <x:c r="M67" s="27" t="str">
        <x:v>ASM-2026-063</x:v>
      </x:c>
      <x:c r="N67" s="27" t="str">
        <x:v>rah01-submission.v1</x:v>
      </x:c>
      <x:c r="O67" s="27" t="str">
        <x:v>1.1.0</x:v>
      </x:c>
    </x:row>
    <x:row r="68">
      <x:c r="A68" s="28" t="str">
        <x:v>Ward 6</x:v>
      </x:c>
      <x:c r="B68" s="33" t="n">
        <x:v>46130</x:v>
      </x:c>
      <x:c r="C68" s="25" t="str">
        <x:v>CLOSED</x:v>
      </x:c>
      <x:c r="D68" s="25" t="str">
        <x:v>Occupational-health evaluator — Ward 6</x:v>
      </x:c>
      <x:c r="E68" s="25" t="str">
        <x:v>Safety representative; department supervisor</x:v>
      </x:c>
      <x:c r="F68" s="35" t="n">
        <x:v>48</x:v>
      </x:c>
      <x:c r="G68" s="36" t="n">
        <x:f>IF(M68="","",IF(COUNTIFS(tblHazards[assessment_id],M68,tblHazards[has_risk],1)=0,"",MAXIFS(tblHazards[risk_score_c],tblHazards[assessment_id],M68,tblHazards[has_risk],1)))</x:f>
        <x:v>9</x:v>
      </x:c>
      <x:c r="H68" s="26" t="str">
        <x:f>IF(G68="","",IF(G68&lt;=2,"LOW",IF(G68&lt;=4,"MEDIUM","HIGH")))</x:f>
        <x:v>HIGH</x:v>
      </x:c>
      <x:c r="I68" s="26" t="str">
        <x:v>RAH01-2026-064</x:v>
      </x:c>
      <x:c r="J68" s="34" t="n">
        <x:v>46131.061111111114</x:v>
      </x:c>
      <x:c r="K68" s="27" t="str">
        <x:v>64</x:v>
      </x:c>
      <x:c r="L68" s="27" t="str">
        <x:v>DPT-064</x:v>
      </x:c>
      <x:c r="M68" s="27" t="str">
        <x:v>ASM-2026-064</x:v>
      </x:c>
      <x:c r="N68" s="27" t="str">
        <x:v>rah01-submission.v1</x:v>
      </x:c>
      <x:c r="O68" s="27" t="str">
        <x:v>1.1.0</x:v>
      </x:c>
    </x:row>
    <x:row r="69">
      <x:c r="A69" s="28" t="str">
        <x:v>Ward 7</x:v>
      </x:c>
      <x:c r="B69" s="33" t="n">
        <x:v>46163</x:v>
      </x:c>
      <x:c r="C69" s="25" t="str">
        <x:v>RETURNED</x:v>
      </x:c>
      <x:c r="D69" s="25" t="str">
        <x:v>Occupational-health evaluator — Ward 7</x:v>
      </x:c>
      <x:c r="E69" s="25" t="str"/>
      <x:c r="F69" s="35" t="n">
        <x:v>55</x:v>
      </x:c>
      <x:c r="G69" s="36" t="n">
        <x:f>IF(M69="","",IF(COUNTIFS(tblHazards[assessment_id],M69,tblHazards[has_risk],1)=0,"",MAXIFS(tblHazards[risk_score_c],tblHazards[assessment_id],M69,tblHazards[has_risk],1)))</x:f>
        <x:v>9</x:v>
      </x:c>
      <x:c r="H69" s="26" t="str">
        <x:f>IF(G69="","",IF(G69&lt;=2,"LOW",IF(G69&lt;=4,"MEDIUM","HIGH")))</x:f>
        <x:v>HIGH</x:v>
      </x:c>
      <x:c r="I69" s="26" t="str">
        <x:v>RAH01-2026-065</x:v>
      </x:c>
      <x:c r="J69" s="34" t="n">
        <x:v>46164.10763888889</x:v>
      </x:c>
      <x:c r="K69" s="27" t="str">
        <x:v>65</x:v>
      </x:c>
      <x:c r="L69" s="27" t="str">
        <x:v>DPT-065</x:v>
      </x:c>
      <x:c r="M69" s="27" t="str">
        <x:v>ASM-2026-065</x:v>
      </x:c>
      <x:c r="N69" s="27" t="str">
        <x:v>rah01-submission.v1</x:v>
      </x:c>
      <x:c r="O69" s="27" t="str">
        <x:v>1.1.0</x:v>
      </x:c>
    </x:row>
    <x:row r="70">
      <x:c r="A70" s="28" t="str">
        <x:v>Ward 8</x:v>
      </x:c>
      <x:c r="B70" s="33" t="n">
        <x:v>46197</x:v>
      </x:c>
      <x:c r="C70" s="25" t="str">
        <x:v>SUBMITTED</x:v>
      </x:c>
      <x:c r="D70" s="25" t="str">
        <x:v>Occupational-health evaluator — Ward 8</x:v>
      </x:c>
      <x:c r="E70" s="25" t="str">
        <x:v>Department supervisor</x:v>
      </x:c>
      <x:c r="F70" s="35" t="n">
        <x:v>62</x:v>
      </x:c>
      <x:c r="G70" s="36" t="n">
        <x:f>IF(M70="","",IF(COUNTIFS(tblHazards[assessment_id],M70,tblHazards[has_risk],1)=0,"",MAXIFS(tblHazards[risk_score_c],tblHazards[assessment_id],M70,tblHazards[has_risk],1)))</x:f>
        <x:v>9</x:v>
      </x:c>
      <x:c r="H70" s="26" t="str">
        <x:f>IF(G70="","",IF(G70&lt;=2,"LOW",IF(G70&lt;=4,"MEDIUM","HIGH")))</x:f>
        <x:v>HIGH</x:v>
      </x:c>
      <x:c r="I70" s="26" t="str">
        <x:v>RAH01-2026-066</x:v>
      </x:c>
      <x:c r="J70" s="34" t="n">
        <x:v>46198.15416666667</x:v>
      </x:c>
      <x:c r="K70" s="27" t="str">
        <x:v>66</x:v>
      </x:c>
      <x:c r="L70" s="27" t="str">
        <x:v>DPT-066</x:v>
      </x:c>
      <x:c r="M70" s="27" t="str">
        <x:v>ASM-2026-066</x:v>
      </x:c>
      <x:c r="N70" s="27" t="str">
        <x:v>rah01-submission.v1</x:v>
      </x:c>
      <x:c r="O70" s="27" t="str">
        <x:v>1.1.0</x:v>
      </x:c>
    </x:row>
    <x:row r="71">
      <x:c r="A71" s="28" t="str">
        <x:v>Ward 9</x:v>
      </x:c>
      <x:c r="B71" s="33" t="n">
        <x:v>46024</x:v>
      </x:c>
      <x:c r="C71" s="25" t="str">
        <x:v>IN_REVIEW</x:v>
      </x:c>
      <x:c r="D71" s="25" t="str">
        <x:v>Occupational-health evaluator — Ward 9</x:v>
      </x:c>
      <x:c r="E71" s="25" t="str"/>
      <x:c r="F71" s="35" t="n">
        <x:v>11</x:v>
      </x:c>
      <x:c r="G71" s="36" t="n">
        <x:f>IF(M71="","",IF(COUNTIFS(tblHazards[assessment_id],M71,tblHazards[has_risk],1)=0,"",MAXIFS(tblHazards[risk_score_c],tblHazards[assessment_id],M71,tblHazards[has_risk],1)))</x:f>
        <x:v>9</x:v>
      </x:c>
      <x:c r="H71" s="26" t="str">
        <x:f>IF(G71="","",IF(G71&lt;=2,"LOW",IF(G71&lt;=4,"MEDIUM","HIGH")))</x:f>
        <x:v>HIGH</x:v>
      </x:c>
      <x:c r="I71" s="26" t="str">
        <x:v>RAH01-2026-067</x:v>
      </x:c>
      <x:c r="J71" s="34" t="n">
        <x:v>46025.200694444444</x:v>
      </x:c>
      <x:c r="K71" s="27" t="str">
        <x:v>67</x:v>
      </x:c>
      <x:c r="L71" s="27" t="str">
        <x:v>DPT-067</x:v>
      </x:c>
      <x:c r="M71" s="27" t="str">
        <x:v>ASM-2026-067</x:v>
      </x:c>
      <x:c r="N71" s="27" t="str">
        <x:v>rah01-submission.v1</x:v>
      </x:c>
      <x:c r="O71" s="27" t="str">
        <x:v>1.1.0</x:v>
      </x:c>
    </x:row>
    <x:row r="72">
      <x:c r="A72" s="28" t="str">
        <x:v>Women’s Health</x:v>
      </x:c>
      <x:c r="B72" s="33" t="n">
        <x:v>46089</x:v>
      </x:c>
      <x:c r="C72" s="25" t="str">
        <x:v>CLOSED</x:v>
      </x:c>
      <x:c r="D72" s="25" t="str">
        <x:v>Occupational-health evaluator — Women’s Health</x:v>
      </x:c>
      <x:c r="E72" s="25" t="str">
        <x:v>Department supervisor</x:v>
      </x:c>
      <x:c r="F72" s="35" t="n">
        <x:v>25</x:v>
      </x:c>
      <x:c r="G72" s="36" t="n">
        <x:f>IF(M72="","",IF(COUNTIFS(tblHazards[assessment_id],M72,tblHazards[has_risk],1)=0,"",MAXIFS(tblHazards[risk_score_c],tblHazards[assessment_id],M72,tblHazards[has_risk],1)))</x:f>
        <x:v>4</x:v>
      </x:c>
      <x:c r="H72" s="26" t="str">
        <x:f>IF(G72="","",IF(G72&lt;=2,"LOW",IF(G72&lt;=4,"MEDIUM","HIGH")))</x:f>
        <x:v>MEDIUM</x:v>
      </x:c>
      <x:c r="I72" s="26" t="str">
        <x:v>RAH01-2026-069</x:v>
      </x:c>
      <x:c r="J72" s="34" t="n">
        <x:v>46090.25208333333</x:v>
      </x:c>
      <x:c r="K72" s="27" t="str">
        <x:v>69</x:v>
      </x:c>
      <x:c r="L72" s="27" t="str">
        <x:v>DPT-069</x:v>
      </x:c>
      <x:c r="M72" s="27" t="str">
        <x:v>ASM-2026-069</x:v>
      </x:c>
      <x:c r="N72" s="27" t="str">
        <x:v>rah01-submission.v1</x:v>
      </x:c>
      <x:c r="O72" s="27" t="str">
        <x:v>1.1.0</x:v>
      </x:c>
    </x:row>
    <x:row r="73">
      <x:c r="A73" s="28" t="str">
        <x:v>Workplace Safety</x:v>
      </x:c>
      <x:c r="B73" s="33" t="n">
        <x:v>46123</x:v>
      </x:c>
      <x:c r="C73" s="25" t="str">
        <x:v>RETURNED</x:v>
      </x:c>
      <x:c r="D73" s="25" t="str">
        <x:v>Occupational-health evaluator — Workplace Safety</x:v>
      </x:c>
      <x:c r="E73" s="25" t="str"/>
      <x:c r="F73" s="35" t="n">
        <x:v>32</x:v>
      </x:c>
      <x:c r="G73" s="36" t="n">
        <x:f>IF(M73="","",IF(COUNTIFS(tblHazards[assessment_id],M73,tblHazards[has_risk],1)=0,"",MAXIFS(tblHazards[risk_score_c],tblHazards[assessment_id],M73,tblHazards[has_risk],1)))</x:f>
        <x:v>4</x:v>
      </x:c>
      <x:c r="H73" s="26" t="str">
        <x:f>IF(G73="","",IF(G73&lt;=2,"LOW",IF(G73&lt;=4,"MEDIUM","HIGH")))</x:f>
        <x:v>MEDIUM</x:v>
      </x:c>
      <x:c r="I73" s="26" t="str">
        <x:v>RAH01-2026-070</x:v>
      </x:c>
      <x:c r="J73" s="34" t="n">
        <x:v>46124.29861111111</x:v>
      </x:c>
      <x:c r="K73" s="27" t="str">
        <x:v>70</x:v>
      </x:c>
      <x:c r="L73" s="27" t="str">
        <x:v>DPT-070</x:v>
      </x:c>
      <x:c r="M73" s="27" t="str">
        <x:v>ASM-2026-070</x:v>
      </x:c>
      <x:c r="N73" s="27" t="str">
        <x:v>rah01-submission.v1</x:v>
      </x:c>
      <x:c r="O73" s="27" t="str">
        <x:v>1.1.0</x:v>
      </x:c>
    </x:row>
  </x:sheetData>
  <x:mergeCells>
    <x:mergeCell ref="A1:O1"/>
    <x:mergeCell ref="A2:O2"/>
  </x:mergeCells>
  <x:conditionalFormatting sqref="H4:H1048576">
    <x:cfRule type="expression" dxfId="0" priority="1">
      <x:formula>$H4="LOW"</x:formula>
    </x:cfRule>
    <x:cfRule type="expression" dxfId="1" priority="2">
      <x:formula>$H4="MEDIUM"</x:formula>
    </x:cfRule>
    <x:cfRule type="expression" dxfId="2" priority="3">
      <x:formula>$H4="HIGH"</x:formula>
    </x:cfRule>
  </x:conditionalFormatting>
  <x:dataValidations count="2">
    <x:dataValidation type="whole" operator="greaterThanOrEqual" sqref="F4:F1048576">
      <x:formula1>1</x:formula1>
    </x:dataValidation>
    <x:dataValidation type="list" sqref="C4:C1048576">
      <x:formula1>"SUBMITTED,IN_REVIEW,RETURNED,CLOSED"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98562f671e47b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2" hidden="0" customWidth="1"/>
    <x:col min="2" max="2" width="16" hidden="0" customWidth="1"/>
    <x:col min="3" max="3" width="19" hidden="0" customWidth="1"/>
    <x:col min="4" max="4" width="12" hidden="0" customWidth="1"/>
    <x:col min="5" max="5" width="38" hidden="0" customWidth="1"/>
    <x:col min="6" max="6" width="20" hidden="0" customWidth="1"/>
    <x:col min="7" max="7" width="48" hidden="0" customWidth="1"/>
    <x:col min="8" max="8" width="32" hidden="0" customWidth="1"/>
    <x:col min="9" max="9" width="20" hidden="0" customWidth="1"/>
    <x:col min="10" max="10" width="25" hidden="0" customWidth="1"/>
  </x:cols>
  <x:sheetData>
    <x:row r="1" ht="28" customHeight="1">
      <x:c r="A1" s="3" t="str">
        <x:v>RAH.01 Occupational-health checklist / แบบสำรวจอาชีวอนามัย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Filter directly by department name. English checklist labels mirror the HTML; technical keys and IDs are last.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4" customHeight="1">
      <x:c r="A3" s="20" t="str">
        <x:v>department_name</x:v>
      </x:c>
      <x:c r="B3" s="21" t="str">
        <x:v>assessment_date</x:v>
      </x:c>
      <x:c r="C3" s="21" t="str">
        <x:v>report_number</x:v>
      </x:c>
      <x:c r="D3" s="21" t="str">
        <x:v>item_order</x:v>
      </x:c>
      <x:c r="E3" s="21" t="str">
        <x:v>item_label_en</x:v>
      </x:c>
      <x:c r="F3" s="21" t="str">
        <x:v>status</x:v>
      </x:c>
      <x:c r="G3" s="21" t="str">
        <x:v>not_applicable_reason</x:v>
      </x:c>
      <x:c r="H3" s="21" t="str">
        <x:v>item_key</x:v>
      </x:c>
      <x:c r="I3" s="21" t="str">
        <x:v>assessment_id</x:v>
      </x:c>
      <x:c r="J3" s="22" t="str">
        <x:v>checklist_response_id</x:v>
      </x:c>
    </x:row>
    <x:row r="4">
      <x:c r="A4" s="28" t="str">
        <x:v>Accident &amp; Emergency</x:v>
      </x:c>
      <x:c r="B4" s="37" t="n">
        <x:v>46026</x:v>
      </x:c>
      <x:c r="C4" s="26" t="str">
        <x:v>RAH01-2026-001</x:v>
      </x:c>
      <x:c r="D4" s="36" t="n">
        <x:v>1</x:v>
      </x:c>
      <x:c r="E4" s="26" t="str">
        <x:v>Fire prevention and suppression system</x:v>
      </x:c>
      <x:c r="F4" s="25" t="str">
        <x:v>YES</x:v>
      </x:c>
      <x:c r="G4" s="25" t="str"/>
      <x:c r="H4" s="27" t="str">
        <x:v>occ_fire_safety</x:v>
      </x:c>
      <x:c r="I4" s="27" t="str">
        <x:v>ASM-2026-001</x:v>
      </x:c>
      <x:c r="J4" s="27" t="str">
        <x:v>CHK-2026-001-01</x:v>
      </x:c>
    </x:row>
    <x:row r="5">
      <x:c r="A5" s="28" t="str">
        <x:v>Accident &amp; Emergency</x:v>
      </x:c>
      <x:c r="B5" s="37" t="n">
        <x:v>46026</x:v>
      </x:c>
      <x:c r="C5" s="26" t="str">
        <x:v>RAH01-2026-001</x:v>
      </x:c>
      <x:c r="D5" s="36" t="n">
        <x:v>2</x:v>
      </x:c>
      <x:c r="E5" s="26" t="str">
        <x:v>Occupational-health education</x:v>
      </x:c>
      <x:c r="F5" s="25" t="str">
        <x:v>YES</x:v>
      </x:c>
      <x:c r="G5" s="25" t="str"/>
      <x:c r="H5" s="27" t="str">
        <x:v>occ_health_education</x:v>
      </x:c>
      <x:c r="I5" s="27" t="str">
        <x:v>ASM-2026-001</x:v>
      </x:c>
      <x:c r="J5" s="27" t="str">
        <x:v>CHK-2026-001-02</x:v>
      </x:c>
    </x:row>
    <x:row r="6">
      <x:c r="A6" s="28" t="str">
        <x:v>Accident &amp; Emergency</x:v>
      </x:c>
      <x:c r="B6" s="37" t="n">
        <x:v>46026</x:v>
      </x:c>
      <x:c r="C6" s="26" t="str">
        <x:v>RAH01-2026-001</x:v>
      </x:c>
      <x:c r="D6" s="36" t="n">
        <x:v>3</x:v>
      </x:c>
      <x:c r="E6" s="26" t="str">
        <x:v>Hazardous-waste management system</x:v>
      </x:c>
      <x:c r="F6" s="25" t="str">
        <x:v>YES</x:v>
      </x:c>
      <x:c r="G6" s="25" t="str"/>
      <x:c r="H6" s="27" t="str">
        <x:v>occ_waste_management</x:v>
      </x:c>
      <x:c r="I6" s="27" t="str">
        <x:v>ASM-2026-001</x:v>
      </x:c>
      <x:c r="J6" s="27" t="str">
        <x:v>CHK-2026-001-03</x:v>
      </x:c>
    </x:row>
    <x:row r="7">
      <x:c r="A7" s="28" t="str">
        <x:v>Accident &amp; Emergency</x:v>
      </x:c>
      <x:c r="B7" s="37" t="n">
        <x:v>46026</x:v>
      </x:c>
      <x:c r="C7" s="26" t="str">
        <x:v>RAH01-2026-001</x:v>
      </x:c>
      <x:c r="D7" s="36" t="n">
        <x:v>4</x:v>
      </x:c>
      <x:c r="E7" s="26" t="str">
        <x:v>Personal protective equipment measures</x:v>
      </x:c>
      <x:c r="F7" s="25" t="str">
        <x:v>YES</x:v>
      </x:c>
      <x:c r="G7" s="25" t="str"/>
      <x:c r="H7" s="27" t="str">
        <x:v>occ_ppe_measures</x:v>
      </x:c>
      <x:c r="I7" s="27" t="str">
        <x:v>ASM-2026-001</x:v>
      </x:c>
      <x:c r="J7" s="27" t="str">
        <x:v>CHK-2026-001-04</x:v>
      </x:c>
    </x:row>
    <x:row r="8">
      <x:c r="A8" s="28" t="str">
        <x:v>Accident &amp; Emergency</x:v>
      </x:c>
      <x:c r="B8" s="37" t="n">
        <x:v>46026</x:v>
      </x:c>
      <x:c r="C8" s="26" t="str">
        <x:v>RAH01-2026-001</x:v>
      </x:c>
      <x:c r="D8" s="36" t="n">
        <x:v>5</x:v>
      </x:c>
      <x:c r="E8" s="26" t="str">
        <x:v>Annual health examination</x:v>
      </x:c>
      <x:c r="F8" s="25" t="str">
        <x:v>YES</x:v>
      </x:c>
      <x:c r="G8" s="25" t="str"/>
      <x:c r="H8" s="27" t="str">
        <x:v>occ_annual_health_exam</x:v>
      </x:c>
      <x:c r="I8" s="27" t="str">
        <x:v>ASM-2026-001</x:v>
      </x:c>
      <x:c r="J8" s="27" t="str">
        <x:v>CHK-2026-001-05</x:v>
      </x:c>
    </x:row>
    <x:row r="9">
      <x:c r="A9" s="28" t="str">
        <x:v>Accident &amp; Emergency</x:v>
      </x:c>
      <x:c r="B9" s="37" t="n">
        <x:v>46026</x:v>
      </x:c>
      <x:c r="C9" s="26" t="str">
        <x:v>RAH01-2026-001</x:v>
      </x:c>
      <x:c r="D9" s="36" t="n">
        <x:v>6</x:v>
      </x:c>
      <x:c r="E9" s="26" t="str">
        <x:v>Risk-based lung-function examination</x:v>
      </x:c>
      <x:c r="F9" s="25" t="str">
        <x:v>YES</x:v>
      </x:c>
      <x:c r="G9" s="25" t="str"/>
      <x:c r="H9" s="27" t="str">
        <x:v>occ_risk_exam_lung</x:v>
      </x:c>
      <x:c r="I9" s="27" t="str">
        <x:v>ASM-2026-001</x:v>
      </x:c>
      <x:c r="J9" s="27" t="str">
        <x:v>CHK-2026-001-06</x:v>
      </x:c>
    </x:row>
    <x:row r="10">
      <x:c r="A10" s="28" t="str">
        <x:v>Accident &amp; Emergency</x:v>
      </x:c>
      <x:c r="B10" s="37" t="n">
        <x:v>46026</x:v>
      </x:c>
      <x:c r="C10" s="26" t="str">
        <x:v>RAH01-2026-001</x:v>
      </x:c>
      <x:c r="D10" s="36" t="n">
        <x:v>7</x:v>
      </x:c>
      <x:c r="E10" s="26" t="str">
        <x:v>Risk-based hearing examination</x:v>
      </x:c>
      <x:c r="F10" s="25" t="str">
        <x:v>YES</x:v>
      </x:c>
      <x:c r="G10" s="25" t="str"/>
      <x:c r="H10" s="27" t="str">
        <x:v>occ_risk_exam_hearing</x:v>
      </x:c>
      <x:c r="I10" s="27" t="str">
        <x:v>ASM-2026-001</x:v>
      </x:c>
      <x:c r="J10" s="27" t="str">
        <x:v>CHK-2026-001-07</x:v>
      </x:c>
    </x:row>
    <x:row r="11">
      <x:c r="A11" s="28" t="str">
        <x:v>Accident &amp; Emergency</x:v>
      </x:c>
      <x:c r="B11" s="37" t="n">
        <x:v>46026</x:v>
      </x:c>
      <x:c r="C11" s="26" t="str">
        <x:v>RAH01-2026-001</x:v>
      </x:c>
      <x:c r="D11" s="36" t="n">
        <x:v>8</x:v>
      </x:c>
      <x:c r="E11" s="26" t="str">
        <x:v>Risk-based vision examination</x:v>
      </x:c>
      <x:c r="F11" s="25" t="str">
        <x:v>NOT_APPLICABLE</x:v>
      </x:c>
      <x:c r="G11" s="25" t="str">
        <x:v>No indicated risk exam vision exposure in this department's current risk profile.</x:v>
      </x:c>
      <x:c r="H11" s="27" t="str">
        <x:v>occ_risk_exam_vision</x:v>
      </x:c>
      <x:c r="I11" s="27" t="str">
        <x:v>ASM-2026-001</x:v>
      </x:c>
      <x:c r="J11" s="27" t="str">
        <x:v>CHK-2026-001-08</x:v>
      </x:c>
    </x:row>
    <x:row r="12">
      <x:c r="A12" s="28" t="str">
        <x:v>Accident &amp; Emergency</x:v>
      </x:c>
      <x:c r="B12" s="37" t="n">
        <x:v>46026</x:v>
      </x:c>
      <x:c r="C12" s="26" t="str">
        <x:v>RAH01-2026-001</x:v>
      </x:c>
      <x:c r="D12" s="36" t="n">
        <x:v>9</x:v>
      </x:c>
      <x:c r="E12" s="26" t="str">
        <x:v>Biological monitoring</x:v>
      </x:c>
      <x:c r="F12" s="25" t="str">
        <x:v>YES</x:v>
      </x:c>
      <x:c r="G12" s="25" t="str"/>
      <x:c r="H12" s="27" t="str">
        <x:v>occ_bio_exam</x:v>
      </x:c>
      <x:c r="I12" s="27" t="str">
        <x:v>ASM-2026-001</x:v>
      </x:c>
      <x:c r="J12" s="27" t="str">
        <x:v>CHK-2026-001-09</x:v>
      </x:c>
    </x:row>
    <x:row r="13">
      <x:c r="A13" s="28" t="str">
        <x:v>Accident &amp; Emergency</x:v>
      </x:c>
      <x:c r="B13" s="37" t="n">
        <x:v>46026</x:v>
      </x:c>
      <x:c r="C13" s="26" t="str">
        <x:v>RAH01-2026-001</x:v>
      </x:c>
      <x:c r="D13" s="36" t="n">
        <x:v>10</x:v>
      </x:c>
      <x:c r="E13" s="26" t="str">
        <x:v>Workplace environmental monitoring</x:v>
      </x:c>
      <x:c r="F13" s="25" t="str">
        <x:v>YES</x:v>
      </x:c>
      <x:c r="G13" s="25" t="str"/>
      <x:c r="H13" s="27" t="str">
        <x:v>occ_env_exam</x:v>
      </x:c>
      <x:c r="I13" s="27" t="str">
        <x:v>ASM-2026-001</x:v>
      </x:c>
      <x:c r="J13" s="27" t="str">
        <x:v>CHK-2026-001-10</x:v>
      </x:c>
    </x:row>
    <x:row r="14">
      <x:c r="A14" s="28" t="str">
        <x:v>Anaesthesia</x:v>
      </x:c>
      <x:c r="B14" s="37" t="n">
        <x:v>46060</x:v>
      </x:c>
      <x:c r="C14" s="26" t="str">
        <x:v>RAH01-2026-002</x:v>
      </x:c>
      <x:c r="D14" s="36" t="n">
        <x:v>1</x:v>
      </x:c>
      <x:c r="E14" s="26" t="str">
        <x:v>Fire prevention and suppression system</x:v>
      </x:c>
      <x:c r="F14" s="25" t="str">
        <x:v>YES</x:v>
      </x:c>
      <x:c r="G14" s="25" t="str"/>
      <x:c r="H14" s="27" t="str">
        <x:v>occ_fire_safety</x:v>
      </x:c>
      <x:c r="I14" s="27" t="str">
        <x:v>ASM-2026-002</x:v>
      </x:c>
      <x:c r="J14" s="27" t="str">
        <x:v>CHK-2026-002-01</x:v>
      </x:c>
    </x:row>
    <x:row r="15">
      <x:c r="A15" s="28" t="str">
        <x:v>Anaesthesia</x:v>
      </x:c>
      <x:c r="B15" s="37" t="n">
        <x:v>46060</x:v>
      </x:c>
      <x:c r="C15" s="26" t="str">
        <x:v>RAH01-2026-002</x:v>
      </x:c>
      <x:c r="D15" s="36" t="n">
        <x:v>2</x:v>
      </x:c>
      <x:c r="E15" s="26" t="str">
        <x:v>Occupational-health education</x:v>
      </x:c>
      <x:c r="F15" s="25" t="str">
        <x:v>YES</x:v>
      </x:c>
      <x:c r="G15" s="25" t="str"/>
      <x:c r="H15" s="27" t="str">
        <x:v>occ_health_education</x:v>
      </x:c>
      <x:c r="I15" s="27" t="str">
        <x:v>ASM-2026-002</x:v>
      </x:c>
      <x:c r="J15" s="27" t="str">
        <x:v>CHK-2026-002-02</x:v>
      </x:c>
    </x:row>
    <x:row r="16">
      <x:c r="A16" s="28" t="str">
        <x:v>Anaesthesia</x:v>
      </x:c>
      <x:c r="B16" s="37" t="n">
        <x:v>46060</x:v>
      </x:c>
      <x:c r="C16" s="26" t="str">
        <x:v>RAH01-2026-002</x:v>
      </x:c>
      <x:c r="D16" s="36" t="n">
        <x:v>3</x:v>
      </x:c>
      <x:c r="E16" s="26" t="str">
        <x:v>Hazardous-waste management system</x:v>
      </x:c>
      <x:c r="F16" s="25" t="str">
        <x:v>YES</x:v>
      </x:c>
      <x:c r="G16" s="25" t="str"/>
      <x:c r="H16" s="27" t="str">
        <x:v>occ_waste_management</x:v>
      </x:c>
      <x:c r="I16" s="27" t="str">
        <x:v>ASM-2026-002</x:v>
      </x:c>
      <x:c r="J16" s="27" t="str">
        <x:v>CHK-2026-002-03</x:v>
      </x:c>
    </x:row>
    <x:row r="17">
      <x:c r="A17" s="28" t="str">
        <x:v>Anaesthesia</x:v>
      </x:c>
      <x:c r="B17" s="37" t="n">
        <x:v>46060</x:v>
      </x:c>
      <x:c r="C17" s="26" t="str">
        <x:v>RAH01-2026-002</x:v>
      </x:c>
      <x:c r="D17" s="36" t="n">
        <x:v>4</x:v>
      </x:c>
      <x:c r="E17" s="26" t="str">
        <x:v>Personal protective equipment measures</x:v>
      </x:c>
      <x:c r="F17" s="25" t="str">
        <x:v>YES</x:v>
      </x:c>
      <x:c r="G17" s="25" t="str"/>
      <x:c r="H17" s="27" t="str">
        <x:v>occ_ppe_measures</x:v>
      </x:c>
      <x:c r="I17" s="27" t="str">
        <x:v>ASM-2026-002</x:v>
      </x:c>
      <x:c r="J17" s="27" t="str">
        <x:v>CHK-2026-002-04</x:v>
      </x:c>
    </x:row>
    <x:row r="18">
      <x:c r="A18" s="28" t="str">
        <x:v>Anaesthesia</x:v>
      </x:c>
      <x:c r="B18" s="37" t="n">
        <x:v>46060</x:v>
      </x:c>
      <x:c r="C18" s="26" t="str">
        <x:v>RAH01-2026-002</x:v>
      </x:c>
      <x:c r="D18" s="36" t="n">
        <x:v>5</x:v>
      </x:c>
      <x:c r="E18" s="26" t="str">
        <x:v>Annual health examination</x:v>
      </x:c>
      <x:c r="F18" s="25" t="str">
        <x:v>YES</x:v>
      </x:c>
      <x:c r="G18" s="25" t="str"/>
      <x:c r="H18" s="27" t="str">
        <x:v>occ_annual_health_exam</x:v>
      </x:c>
      <x:c r="I18" s="27" t="str">
        <x:v>ASM-2026-002</x:v>
      </x:c>
      <x:c r="J18" s="27" t="str">
        <x:v>CHK-2026-002-05</x:v>
      </x:c>
    </x:row>
    <x:row r="19">
      <x:c r="A19" s="28" t="str">
        <x:v>Anaesthesia</x:v>
      </x:c>
      <x:c r="B19" s="37" t="n">
        <x:v>46060</x:v>
      </x:c>
      <x:c r="C19" s="26" t="str">
        <x:v>RAH01-2026-002</x:v>
      </x:c>
      <x:c r="D19" s="36" t="n">
        <x:v>6</x:v>
      </x:c>
      <x:c r="E19" s="26" t="str">
        <x:v>Risk-based lung-function examination</x:v>
      </x:c>
      <x:c r="F19" s="25" t="str">
        <x:v>YES</x:v>
      </x:c>
      <x:c r="G19" s="25" t="str"/>
      <x:c r="H19" s="27" t="str">
        <x:v>occ_risk_exam_lung</x:v>
      </x:c>
      <x:c r="I19" s="27" t="str">
        <x:v>ASM-2026-002</x:v>
      </x:c>
      <x:c r="J19" s="27" t="str">
        <x:v>CHK-2026-002-06</x:v>
      </x:c>
    </x:row>
    <x:row r="20">
      <x:c r="A20" s="28" t="str">
        <x:v>Anaesthesia</x:v>
      </x:c>
      <x:c r="B20" s="37" t="n">
        <x:v>46060</x:v>
      </x:c>
      <x:c r="C20" s="26" t="str">
        <x:v>RAH01-2026-002</x:v>
      </x:c>
      <x:c r="D20" s="36" t="n">
        <x:v>7</x:v>
      </x:c>
      <x:c r="E20" s="26" t="str">
        <x:v>Risk-based hearing examination</x:v>
      </x:c>
      <x:c r="F20" s="25" t="str">
        <x:v>NOT_APPLICABLE</x:v>
      </x:c>
      <x:c r="G20" s="25" t="str">
        <x:v>No indicated risk exam hearing exposure in this department's current risk profile.</x:v>
      </x:c>
      <x:c r="H20" s="27" t="str">
        <x:v>occ_risk_exam_hearing</x:v>
      </x:c>
      <x:c r="I20" s="27" t="str">
        <x:v>ASM-2026-002</x:v>
      </x:c>
      <x:c r="J20" s="27" t="str">
        <x:v>CHK-2026-002-07</x:v>
      </x:c>
    </x:row>
    <x:row r="21">
      <x:c r="A21" s="28" t="str">
        <x:v>Anaesthesia</x:v>
      </x:c>
      <x:c r="B21" s="37" t="n">
        <x:v>46060</x:v>
      </x:c>
      <x:c r="C21" s="26" t="str">
        <x:v>RAH01-2026-002</x:v>
      </x:c>
      <x:c r="D21" s="36" t="n">
        <x:v>8</x:v>
      </x:c>
      <x:c r="E21" s="26" t="str">
        <x:v>Risk-based vision examination</x:v>
      </x:c>
      <x:c r="F21" s="25" t="str">
        <x:v>YES</x:v>
      </x:c>
      <x:c r="G21" s="25" t="str"/>
      <x:c r="H21" s="27" t="str">
        <x:v>occ_risk_exam_vision</x:v>
      </x:c>
      <x:c r="I21" s="27" t="str">
        <x:v>ASM-2026-002</x:v>
      </x:c>
      <x:c r="J21" s="27" t="str">
        <x:v>CHK-2026-002-08</x:v>
      </x:c>
    </x:row>
    <x:row r="22">
      <x:c r="A22" s="28" t="str">
        <x:v>Anaesthesia</x:v>
      </x:c>
      <x:c r="B22" s="37" t="n">
        <x:v>46060</x:v>
      </x:c>
      <x:c r="C22" s="26" t="str">
        <x:v>RAH01-2026-002</x:v>
      </x:c>
      <x:c r="D22" s="36" t="n">
        <x:v>9</x:v>
      </x:c>
      <x:c r="E22" s="26" t="str">
        <x:v>Biological monitoring</x:v>
      </x:c>
      <x:c r="F22" s="25" t="str">
        <x:v>YES</x:v>
      </x:c>
      <x:c r="G22" s="25" t="str"/>
      <x:c r="H22" s="27" t="str">
        <x:v>occ_bio_exam</x:v>
      </x:c>
      <x:c r="I22" s="27" t="str">
        <x:v>ASM-2026-002</x:v>
      </x:c>
      <x:c r="J22" s="27" t="str">
        <x:v>CHK-2026-002-09</x:v>
      </x:c>
    </x:row>
    <x:row r="23">
      <x:c r="A23" s="28" t="str">
        <x:v>Anaesthesia</x:v>
      </x:c>
      <x:c r="B23" s="37" t="n">
        <x:v>46060</x:v>
      </x:c>
      <x:c r="C23" s="26" t="str">
        <x:v>RAH01-2026-002</x:v>
      </x:c>
      <x:c r="D23" s="36" t="n">
        <x:v>10</x:v>
      </x:c>
      <x:c r="E23" s="26" t="str">
        <x:v>Workplace environmental monitoring</x:v>
      </x:c>
      <x:c r="F23" s="25" t="str">
        <x:v>YES</x:v>
      </x:c>
      <x:c r="G23" s="25" t="str"/>
      <x:c r="H23" s="27" t="str">
        <x:v>occ_env_exam</x:v>
      </x:c>
      <x:c r="I23" s="27" t="str">
        <x:v>ASM-2026-002</x:v>
      </x:c>
      <x:c r="J23" s="27" t="str">
        <x:v>CHK-2026-002-10</x:v>
      </x:c>
    </x:row>
    <x:row r="24">
      <x:c r="A24" s="28" t="str">
        <x:v>Cardiology</x:v>
      </x:c>
      <x:c r="B24" s="37" t="n">
        <x:v>46091</x:v>
      </x:c>
      <x:c r="C24" s="26" t="str">
        <x:v>RAH01-2026-003</x:v>
      </x:c>
      <x:c r="D24" s="36" t="n">
        <x:v>1</x:v>
      </x:c>
      <x:c r="E24" s="26" t="str">
        <x:v>Fire prevention and suppression system</x:v>
      </x:c>
      <x:c r="F24" s="25" t="str">
        <x:v>YES</x:v>
      </x:c>
      <x:c r="G24" s="25" t="str"/>
      <x:c r="H24" s="27" t="str">
        <x:v>occ_fire_safety</x:v>
      </x:c>
      <x:c r="I24" s="27" t="str">
        <x:v>ASM-2026-003</x:v>
      </x:c>
      <x:c r="J24" s="27" t="str">
        <x:v>CHK-2026-003-01</x:v>
      </x:c>
    </x:row>
    <x:row r="25">
      <x:c r="A25" s="28" t="str">
        <x:v>Cardiology</x:v>
      </x:c>
      <x:c r="B25" s="37" t="n">
        <x:v>46091</x:v>
      </x:c>
      <x:c r="C25" s="26" t="str">
        <x:v>RAH01-2026-003</x:v>
      </x:c>
      <x:c r="D25" s="36" t="n">
        <x:v>2</x:v>
      </x:c>
      <x:c r="E25" s="26" t="str">
        <x:v>Occupational-health education</x:v>
      </x:c>
      <x:c r="F25" s="25" t="str">
        <x:v>YES</x:v>
      </x:c>
      <x:c r="G25" s="25" t="str"/>
      <x:c r="H25" s="27" t="str">
        <x:v>occ_health_education</x:v>
      </x:c>
      <x:c r="I25" s="27" t="str">
        <x:v>ASM-2026-003</x:v>
      </x:c>
      <x:c r="J25" s="27" t="str">
        <x:v>CHK-2026-003-02</x:v>
      </x:c>
    </x:row>
    <x:row r="26">
      <x:c r="A26" s="28" t="str">
        <x:v>Cardiology</x:v>
      </x:c>
      <x:c r="B26" s="37" t="n">
        <x:v>46091</x:v>
      </x:c>
      <x:c r="C26" s="26" t="str">
        <x:v>RAH01-2026-003</x:v>
      </x:c>
      <x:c r="D26" s="36" t="n">
        <x:v>3</x:v>
      </x:c>
      <x:c r="E26" s="26" t="str">
        <x:v>Hazardous-waste management system</x:v>
      </x:c>
      <x:c r="F26" s="25" t="str">
        <x:v>YES</x:v>
      </x:c>
      <x:c r="G26" s="25" t="str"/>
      <x:c r="H26" s="27" t="str">
        <x:v>occ_waste_management</x:v>
      </x:c>
      <x:c r="I26" s="27" t="str">
        <x:v>ASM-2026-003</x:v>
      </x:c>
      <x:c r="J26" s="27" t="str">
        <x:v>CHK-2026-003-03</x:v>
      </x:c>
    </x:row>
    <x:row r="27">
      <x:c r="A27" s="28" t="str">
        <x:v>Cardiology</x:v>
      </x:c>
      <x:c r="B27" s="37" t="n">
        <x:v>46091</x:v>
      </x:c>
      <x:c r="C27" s="26" t="str">
        <x:v>RAH01-2026-003</x:v>
      </x:c>
      <x:c r="D27" s="36" t="n">
        <x:v>4</x:v>
      </x:c>
      <x:c r="E27" s="26" t="str">
        <x:v>Personal protective equipment measures</x:v>
      </x:c>
      <x:c r="F27" s="25" t="str">
        <x:v>YES</x:v>
      </x:c>
      <x:c r="G27" s="25" t="str"/>
      <x:c r="H27" s="27" t="str">
        <x:v>occ_ppe_measures</x:v>
      </x:c>
      <x:c r="I27" s="27" t="str">
        <x:v>ASM-2026-003</x:v>
      </x:c>
      <x:c r="J27" s="27" t="str">
        <x:v>CHK-2026-003-04</x:v>
      </x:c>
    </x:row>
    <x:row r="28">
      <x:c r="A28" s="28" t="str">
        <x:v>Cardiology</x:v>
      </x:c>
      <x:c r="B28" s="37" t="n">
        <x:v>46091</x:v>
      </x:c>
      <x:c r="C28" s="26" t="str">
        <x:v>RAH01-2026-003</x:v>
      </x:c>
      <x:c r="D28" s="36" t="n">
        <x:v>5</x:v>
      </x:c>
      <x:c r="E28" s="26" t="str">
        <x:v>Annual health examination</x:v>
      </x:c>
      <x:c r="F28" s="25" t="str">
        <x:v>YES</x:v>
      </x:c>
      <x:c r="G28" s="25" t="str"/>
      <x:c r="H28" s="27" t="str">
        <x:v>occ_annual_health_exam</x:v>
      </x:c>
      <x:c r="I28" s="27" t="str">
        <x:v>ASM-2026-003</x:v>
      </x:c>
      <x:c r="J28" s="27" t="str">
        <x:v>CHK-2026-003-05</x:v>
      </x:c>
    </x:row>
    <x:row r="29">
      <x:c r="A29" s="28" t="str">
        <x:v>Cardiology</x:v>
      </x:c>
      <x:c r="B29" s="37" t="n">
        <x:v>46091</x:v>
      </x:c>
      <x:c r="C29" s="26" t="str">
        <x:v>RAH01-2026-003</x:v>
      </x:c>
      <x:c r="D29" s="36" t="n">
        <x:v>6</x:v>
      </x:c>
      <x:c r="E29" s="26" t="str">
        <x:v>Risk-based lung-function examination</x:v>
      </x:c>
      <x:c r="F29" s="25" t="str">
        <x:v>NOT_APPLICABLE</x:v>
      </x:c>
      <x:c r="G29" s="25" t="str">
        <x:v>No indicated risk exam lung exposure in this department's current risk profile.</x:v>
      </x:c>
      <x:c r="H29" s="27" t="str">
        <x:v>occ_risk_exam_lung</x:v>
      </x:c>
      <x:c r="I29" s="27" t="str">
        <x:v>ASM-2026-003</x:v>
      </x:c>
      <x:c r="J29" s="27" t="str">
        <x:v>CHK-2026-003-06</x:v>
      </x:c>
    </x:row>
    <x:row r="30">
      <x:c r="A30" s="28" t="str">
        <x:v>Cardiology</x:v>
      </x:c>
      <x:c r="B30" s="37" t="n">
        <x:v>46091</x:v>
      </x:c>
      <x:c r="C30" s="26" t="str">
        <x:v>RAH01-2026-003</x:v>
      </x:c>
      <x:c r="D30" s="36" t="n">
        <x:v>7</x:v>
      </x:c>
      <x:c r="E30" s="26" t="str">
        <x:v>Risk-based hearing examination</x:v>
      </x:c>
      <x:c r="F30" s="25" t="str">
        <x:v>YES</x:v>
      </x:c>
      <x:c r="G30" s="25" t="str"/>
      <x:c r="H30" s="27" t="str">
        <x:v>occ_risk_exam_hearing</x:v>
      </x:c>
      <x:c r="I30" s="27" t="str">
        <x:v>ASM-2026-003</x:v>
      </x:c>
      <x:c r="J30" s="27" t="str">
        <x:v>CHK-2026-003-07</x:v>
      </x:c>
    </x:row>
    <x:row r="31">
      <x:c r="A31" s="28" t="str">
        <x:v>Cardiology</x:v>
      </x:c>
      <x:c r="B31" s="37" t="n">
        <x:v>46091</x:v>
      </x:c>
      <x:c r="C31" s="26" t="str">
        <x:v>RAH01-2026-003</x:v>
      </x:c>
      <x:c r="D31" s="36" t="n">
        <x:v>8</x:v>
      </x:c>
      <x:c r="E31" s="26" t="str">
        <x:v>Risk-based vision examination</x:v>
      </x:c>
      <x:c r="F31" s="25" t="str">
        <x:v>YES</x:v>
      </x:c>
      <x:c r="G31" s="25" t="str"/>
      <x:c r="H31" s="27" t="str">
        <x:v>occ_risk_exam_vision</x:v>
      </x:c>
      <x:c r="I31" s="27" t="str">
        <x:v>ASM-2026-003</x:v>
      </x:c>
      <x:c r="J31" s="27" t="str">
        <x:v>CHK-2026-003-08</x:v>
      </x:c>
    </x:row>
    <x:row r="32">
      <x:c r="A32" s="28" t="str">
        <x:v>Cardiology</x:v>
      </x:c>
      <x:c r="B32" s="37" t="n">
        <x:v>46091</x:v>
      </x:c>
      <x:c r="C32" s="26" t="str">
        <x:v>RAH01-2026-003</x:v>
      </x:c>
      <x:c r="D32" s="36" t="n">
        <x:v>9</x:v>
      </x:c>
      <x:c r="E32" s="26" t="str">
        <x:v>Biological monitoring</x:v>
      </x:c>
      <x:c r="F32" s="25" t="str">
        <x:v>NO</x:v>
      </x:c>
      <x:c r="G32" s="25" t="str"/>
      <x:c r="H32" s="27" t="str">
        <x:v>occ_bio_exam</x:v>
      </x:c>
      <x:c r="I32" s="27" t="str">
        <x:v>ASM-2026-003</x:v>
      </x:c>
      <x:c r="J32" s="27" t="str">
        <x:v>CHK-2026-003-09</x:v>
      </x:c>
    </x:row>
    <x:row r="33">
      <x:c r="A33" s="28" t="str">
        <x:v>Cardiology</x:v>
      </x:c>
      <x:c r="B33" s="37" t="n">
        <x:v>46091</x:v>
      </x:c>
      <x:c r="C33" s="26" t="str">
        <x:v>RAH01-2026-003</x:v>
      </x:c>
      <x:c r="D33" s="36" t="n">
        <x:v>10</x:v>
      </x:c>
      <x:c r="E33" s="26" t="str">
        <x:v>Workplace environmental monitoring</x:v>
      </x:c>
      <x:c r="F33" s="25" t="str">
        <x:v>NOT_APPLICABLE</x:v>
      </x:c>
      <x:c r="G33" s="25" t="str">
        <x:v>No indicated env exam exposure in this department's current risk profile.</x:v>
      </x:c>
      <x:c r="H33" s="27" t="str">
        <x:v>occ_env_exam</x:v>
      </x:c>
      <x:c r="I33" s="27" t="str">
        <x:v>ASM-2026-003</x:v>
      </x:c>
      <x:c r="J33" s="27" t="str">
        <x:v>CHK-2026-003-10</x:v>
      </x:c>
    </x:row>
    <x:row r="34">
      <x:c r="A34" s="28" t="str">
        <x:v>Cardiothoracic Surgery</x:v>
      </x:c>
      <x:c r="B34" s="37" t="n">
        <x:v>46125</x:v>
      </x:c>
      <x:c r="C34" s="26" t="str">
        <x:v>RAH01-2026-004</x:v>
      </x:c>
      <x:c r="D34" s="36" t="n">
        <x:v>1</x:v>
      </x:c>
      <x:c r="E34" s="26" t="str">
        <x:v>Fire prevention and suppression system</x:v>
      </x:c>
      <x:c r="F34" s="25" t="str">
        <x:v>YES</x:v>
      </x:c>
      <x:c r="G34" s="25" t="str"/>
      <x:c r="H34" s="27" t="str">
        <x:v>occ_fire_safety</x:v>
      </x:c>
      <x:c r="I34" s="27" t="str">
        <x:v>ASM-2026-004</x:v>
      </x:c>
      <x:c r="J34" s="27" t="str">
        <x:v>CHK-2026-004-01</x:v>
      </x:c>
    </x:row>
    <x:row r="35">
      <x:c r="A35" s="28" t="str">
        <x:v>Cardiothoracic Surgery</x:v>
      </x:c>
      <x:c r="B35" s="37" t="n">
        <x:v>46125</x:v>
      </x:c>
      <x:c r="C35" s="26" t="str">
        <x:v>RAH01-2026-004</x:v>
      </x:c>
      <x:c r="D35" s="36" t="n">
        <x:v>2</x:v>
      </x:c>
      <x:c r="E35" s="26" t="str">
        <x:v>Occupational-health education</x:v>
      </x:c>
      <x:c r="F35" s="25" t="str">
        <x:v>YES</x:v>
      </x:c>
      <x:c r="G35" s="25" t="str"/>
      <x:c r="H35" s="27" t="str">
        <x:v>occ_health_education</x:v>
      </x:c>
      <x:c r="I35" s="27" t="str">
        <x:v>ASM-2026-004</x:v>
      </x:c>
      <x:c r="J35" s="27" t="str">
        <x:v>CHK-2026-004-02</x:v>
      </x:c>
    </x:row>
    <x:row r="36">
      <x:c r="A36" s="28" t="str">
        <x:v>Cardiothoracic Surgery</x:v>
      </x:c>
      <x:c r="B36" s="37" t="n">
        <x:v>46125</x:v>
      </x:c>
      <x:c r="C36" s="26" t="str">
        <x:v>RAH01-2026-004</x:v>
      </x:c>
      <x:c r="D36" s="36" t="n">
        <x:v>3</x:v>
      </x:c>
      <x:c r="E36" s="26" t="str">
        <x:v>Hazardous-waste management system</x:v>
      </x:c>
      <x:c r="F36" s="25" t="str">
        <x:v>YES</x:v>
      </x:c>
      <x:c r="G36" s="25" t="str"/>
      <x:c r="H36" s="27" t="str">
        <x:v>occ_waste_management</x:v>
      </x:c>
      <x:c r="I36" s="27" t="str">
        <x:v>ASM-2026-004</x:v>
      </x:c>
      <x:c r="J36" s="27" t="str">
        <x:v>CHK-2026-004-03</x:v>
      </x:c>
    </x:row>
    <x:row r="37">
      <x:c r="A37" s="28" t="str">
        <x:v>Cardiothoracic Surgery</x:v>
      </x:c>
      <x:c r="B37" s="37" t="n">
        <x:v>46125</x:v>
      </x:c>
      <x:c r="C37" s="26" t="str">
        <x:v>RAH01-2026-004</x:v>
      </x:c>
      <x:c r="D37" s="36" t="n">
        <x:v>4</x:v>
      </x:c>
      <x:c r="E37" s="26" t="str">
        <x:v>Personal protective equipment measures</x:v>
      </x:c>
      <x:c r="F37" s="25" t="str">
        <x:v>YES</x:v>
      </x:c>
      <x:c r="G37" s="25" t="str"/>
      <x:c r="H37" s="27" t="str">
        <x:v>occ_ppe_measures</x:v>
      </x:c>
      <x:c r="I37" s="27" t="str">
        <x:v>ASM-2026-004</x:v>
      </x:c>
      <x:c r="J37" s="27" t="str">
        <x:v>CHK-2026-004-04</x:v>
      </x:c>
    </x:row>
    <x:row r="38">
      <x:c r="A38" s="28" t="str">
        <x:v>Cardiothoracic Surgery</x:v>
      </x:c>
      <x:c r="B38" s="37" t="n">
        <x:v>46125</x:v>
      </x:c>
      <x:c r="C38" s="26" t="str">
        <x:v>RAH01-2026-004</x:v>
      </x:c>
      <x:c r="D38" s="36" t="n">
        <x:v>5</x:v>
      </x:c>
      <x:c r="E38" s="26" t="str">
        <x:v>Annual health examination</x:v>
      </x:c>
      <x:c r="F38" s="25" t="str">
        <x:v>YES</x:v>
      </x:c>
      <x:c r="G38" s="25" t="str"/>
      <x:c r="H38" s="27" t="str">
        <x:v>occ_annual_health_exam</x:v>
      </x:c>
      <x:c r="I38" s="27" t="str">
        <x:v>ASM-2026-004</x:v>
      </x:c>
      <x:c r="J38" s="27" t="str">
        <x:v>CHK-2026-004-05</x:v>
      </x:c>
    </x:row>
    <x:row r="39">
      <x:c r="A39" s="28" t="str">
        <x:v>Cardiothoracic Surgery</x:v>
      </x:c>
      <x:c r="B39" s="37" t="n">
        <x:v>46125</x:v>
      </x:c>
      <x:c r="C39" s="26" t="str">
        <x:v>RAH01-2026-004</x:v>
      </x:c>
      <x:c r="D39" s="36" t="n">
        <x:v>6</x:v>
      </x:c>
      <x:c r="E39" s="26" t="str">
        <x:v>Risk-based lung-function examination</x:v>
      </x:c>
      <x:c r="F39" s="25" t="str">
        <x:v>NO</x:v>
      </x:c>
      <x:c r="G39" s="25" t="str"/>
      <x:c r="H39" s="27" t="str">
        <x:v>occ_risk_exam_lung</x:v>
      </x:c>
      <x:c r="I39" s="27" t="str">
        <x:v>ASM-2026-004</x:v>
      </x:c>
      <x:c r="J39" s="27" t="str">
        <x:v>CHK-2026-004-06</x:v>
      </x:c>
    </x:row>
    <x:row r="40">
      <x:c r="A40" s="28" t="str">
        <x:v>Cardiothoracic Surgery</x:v>
      </x:c>
      <x:c r="B40" s="37" t="n">
        <x:v>46125</x:v>
      </x:c>
      <x:c r="C40" s="26" t="str">
        <x:v>RAH01-2026-004</x:v>
      </x:c>
      <x:c r="D40" s="36" t="n">
        <x:v>7</x:v>
      </x:c>
      <x:c r="E40" s="26" t="str">
        <x:v>Risk-based hearing examination</x:v>
      </x:c>
      <x:c r="F40" s="25" t="str">
        <x:v>YES</x:v>
      </x:c>
      <x:c r="G40" s="25" t="str"/>
      <x:c r="H40" s="27" t="str">
        <x:v>occ_risk_exam_hearing</x:v>
      </x:c>
      <x:c r="I40" s="27" t="str">
        <x:v>ASM-2026-004</x:v>
      </x:c>
      <x:c r="J40" s="27" t="str">
        <x:v>CHK-2026-004-07</x:v>
      </x:c>
    </x:row>
    <x:row r="41">
      <x:c r="A41" s="28" t="str">
        <x:v>Cardiothoracic Surgery</x:v>
      </x:c>
      <x:c r="B41" s="37" t="n">
        <x:v>46125</x:v>
      </x:c>
      <x:c r="C41" s="26" t="str">
        <x:v>RAH01-2026-004</x:v>
      </x:c>
      <x:c r="D41" s="36" t="n">
        <x:v>8</x:v>
      </x:c>
      <x:c r="E41" s="26" t="str">
        <x:v>Risk-based vision examination</x:v>
      </x:c>
      <x:c r="F41" s="25" t="str">
        <x:v>YES</x:v>
      </x:c>
      <x:c r="G41" s="25" t="str"/>
      <x:c r="H41" s="27" t="str">
        <x:v>occ_risk_exam_vision</x:v>
      </x:c>
      <x:c r="I41" s="27" t="str">
        <x:v>ASM-2026-004</x:v>
      </x:c>
      <x:c r="J41" s="27" t="str">
        <x:v>CHK-2026-004-08</x:v>
      </x:c>
    </x:row>
    <x:row r="42">
      <x:c r="A42" s="28" t="str">
        <x:v>Cardiothoracic Surgery</x:v>
      </x:c>
      <x:c r="B42" s="37" t="n">
        <x:v>46125</x:v>
      </x:c>
      <x:c r="C42" s="26" t="str">
        <x:v>RAH01-2026-004</x:v>
      </x:c>
      <x:c r="D42" s="36" t="n">
        <x:v>9</x:v>
      </x:c>
      <x:c r="E42" s="26" t="str">
        <x:v>Biological monitoring</x:v>
      </x:c>
      <x:c r="F42" s="25" t="str">
        <x:v>NOT_APPLICABLE</x:v>
      </x:c>
      <x:c r="G42" s="25" t="str">
        <x:v>No indicated bio exam exposure in this department's current risk profile.</x:v>
      </x:c>
      <x:c r="H42" s="27" t="str">
        <x:v>occ_bio_exam</x:v>
      </x:c>
      <x:c r="I42" s="27" t="str">
        <x:v>ASM-2026-004</x:v>
      </x:c>
      <x:c r="J42" s="27" t="str">
        <x:v>CHK-2026-004-09</x:v>
      </x:c>
    </x:row>
    <x:row r="43">
      <x:c r="A43" s="28" t="str">
        <x:v>Cardiothoracic Surgery</x:v>
      </x:c>
      <x:c r="B43" s="37" t="n">
        <x:v>46125</x:v>
      </x:c>
      <x:c r="C43" s="26" t="str">
        <x:v>RAH01-2026-004</x:v>
      </x:c>
      <x:c r="D43" s="36" t="n">
        <x:v>10</x:v>
      </x:c>
      <x:c r="E43" s="26" t="str">
        <x:v>Workplace environmental monitoring</x:v>
      </x:c>
      <x:c r="F43" s="25" t="str">
        <x:v>YES</x:v>
      </x:c>
      <x:c r="G43" s="25" t="str"/>
      <x:c r="H43" s="27" t="str">
        <x:v>occ_env_exam</x:v>
      </x:c>
      <x:c r="I43" s="27" t="str">
        <x:v>ASM-2026-004</x:v>
      </x:c>
      <x:c r="J43" s="27" t="str">
        <x:v>CHK-2026-004-10</x:v>
      </x:c>
    </x:row>
    <x:row r="44">
      <x:c r="A44" s="28" t="str">
        <x:v>Central Sterile Supply</x:v>
      </x:c>
      <x:c r="B44" s="37" t="n">
        <x:v>46158</x:v>
      </x:c>
      <x:c r="C44" s="26" t="str">
        <x:v>RAH01-2026-005</x:v>
      </x:c>
      <x:c r="D44" s="36" t="n">
        <x:v>1</x:v>
      </x:c>
      <x:c r="E44" s="26" t="str">
        <x:v>Fire prevention and suppression system</x:v>
      </x:c>
      <x:c r="F44" s="25" t="str">
        <x:v>YES</x:v>
      </x:c>
      <x:c r="G44" s="25" t="str"/>
      <x:c r="H44" s="27" t="str">
        <x:v>occ_fire_safety</x:v>
      </x:c>
      <x:c r="I44" s="27" t="str">
        <x:v>ASM-2026-005</x:v>
      </x:c>
      <x:c r="J44" s="27" t="str">
        <x:v>CHK-2026-005-01</x:v>
      </x:c>
    </x:row>
    <x:row r="45">
      <x:c r="A45" s="28" t="str">
        <x:v>Central Sterile Supply</x:v>
      </x:c>
      <x:c r="B45" s="37" t="n">
        <x:v>46158</x:v>
      </x:c>
      <x:c r="C45" s="26" t="str">
        <x:v>RAH01-2026-005</x:v>
      </x:c>
      <x:c r="D45" s="36" t="n">
        <x:v>2</x:v>
      </x:c>
      <x:c r="E45" s="26" t="str">
        <x:v>Occupational-health education</x:v>
      </x:c>
      <x:c r="F45" s="25" t="str">
        <x:v>YES</x:v>
      </x:c>
      <x:c r="G45" s="25" t="str"/>
      <x:c r="H45" s="27" t="str">
        <x:v>occ_health_education</x:v>
      </x:c>
      <x:c r="I45" s="27" t="str">
        <x:v>ASM-2026-005</x:v>
      </x:c>
      <x:c r="J45" s="27" t="str">
        <x:v>CHK-2026-005-02</x:v>
      </x:c>
    </x:row>
    <x:row r="46">
      <x:c r="A46" s="28" t="str">
        <x:v>Central Sterile Supply</x:v>
      </x:c>
      <x:c r="B46" s="37" t="n">
        <x:v>46158</x:v>
      </x:c>
      <x:c r="C46" s="26" t="str">
        <x:v>RAH01-2026-005</x:v>
      </x:c>
      <x:c r="D46" s="36" t="n">
        <x:v>3</x:v>
      </x:c>
      <x:c r="E46" s="26" t="str">
        <x:v>Hazardous-waste management system</x:v>
      </x:c>
      <x:c r="F46" s="25" t="str">
        <x:v>NO</x:v>
      </x:c>
      <x:c r="G46" s="25" t="str"/>
      <x:c r="H46" s="27" t="str">
        <x:v>occ_waste_management</x:v>
      </x:c>
      <x:c r="I46" s="27" t="str">
        <x:v>ASM-2026-005</x:v>
      </x:c>
      <x:c r="J46" s="27" t="str">
        <x:v>CHK-2026-005-03</x:v>
      </x:c>
    </x:row>
    <x:row r="47">
      <x:c r="A47" s="28" t="str">
        <x:v>Central Sterile Supply</x:v>
      </x:c>
      <x:c r="B47" s="37" t="n">
        <x:v>46158</x:v>
      </x:c>
      <x:c r="C47" s="26" t="str">
        <x:v>RAH01-2026-005</x:v>
      </x:c>
      <x:c r="D47" s="36" t="n">
        <x:v>4</x:v>
      </x:c>
      <x:c r="E47" s="26" t="str">
        <x:v>Personal protective equipment measures</x:v>
      </x:c>
      <x:c r="F47" s="25" t="str">
        <x:v>YES</x:v>
      </x:c>
      <x:c r="G47" s="25" t="str"/>
      <x:c r="H47" s="27" t="str">
        <x:v>occ_ppe_measures</x:v>
      </x:c>
      <x:c r="I47" s="27" t="str">
        <x:v>ASM-2026-005</x:v>
      </x:c>
      <x:c r="J47" s="27" t="str">
        <x:v>CHK-2026-005-04</x:v>
      </x:c>
    </x:row>
    <x:row r="48">
      <x:c r="A48" s="28" t="str">
        <x:v>Central Sterile Supply</x:v>
      </x:c>
      <x:c r="B48" s="37" t="n">
        <x:v>46158</x:v>
      </x:c>
      <x:c r="C48" s="26" t="str">
        <x:v>RAH01-2026-005</x:v>
      </x:c>
      <x:c r="D48" s="36" t="n">
        <x:v>5</x:v>
      </x:c>
      <x:c r="E48" s="26" t="str">
        <x:v>Annual health examination</x:v>
      </x:c>
      <x:c r="F48" s="25" t="str">
        <x:v>YES</x:v>
      </x:c>
      <x:c r="G48" s="25" t="str"/>
      <x:c r="H48" s="27" t="str">
        <x:v>occ_annual_health_exam</x:v>
      </x:c>
      <x:c r="I48" s="27" t="str">
        <x:v>ASM-2026-005</x:v>
      </x:c>
      <x:c r="J48" s="27" t="str">
        <x:v>CHK-2026-005-05</x:v>
      </x:c>
    </x:row>
    <x:row r="49">
      <x:c r="A49" s="28" t="str">
        <x:v>Central Sterile Supply</x:v>
      </x:c>
      <x:c r="B49" s="37" t="n">
        <x:v>46158</x:v>
      </x:c>
      <x:c r="C49" s="26" t="str">
        <x:v>RAH01-2026-005</x:v>
      </x:c>
      <x:c r="D49" s="36" t="n">
        <x:v>6</x:v>
      </x:c>
      <x:c r="E49" s="26" t="str">
        <x:v>Risk-based lung-function examination</x:v>
      </x:c>
      <x:c r="F49" s="25" t="str">
        <x:v>YES</x:v>
      </x:c>
      <x:c r="G49" s="25" t="str"/>
      <x:c r="H49" s="27" t="str">
        <x:v>occ_risk_exam_lung</x:v>
      </x:c>
      <x:c r="I49" s="27" t="str">
        <x:v>ASM-2026-005</x:v>
      </x:c>
      <x:c r="J49" s="27" t="str">
        <x:v>CHK-2026-005-06</x:v>
      </x:c>
    </x:row>
    <x:row r="50">
      <x:c r="A50" s="28" t="str">
        <x:v>Central Sterile Supply</x:v>
      </x:c>
      <x:c r="B50" s="37" t="n">
        <x:v>46158</x:v>
      </x:c>
      <x:c r="C50" s="26" t="str">
        <x:v>RAH01-2026-005</x:v>
      </x:c>
      <x:c r="D50" s="36" t="n">
        <x:v>7</x:v>
      </x:c>
      <x:c r="E50" s="26" t="str">
        <x:v>Risk-based hearing examination</x:v>
      </x:c>
      <x:c r="F50" s="25" t="str">
        <x:v>YES</x:v>
      </x:c>
      <x:c r="G50" s="25" t="str"/>
      <x:c r="H50" s="27" t="str">
        <x:v>occ_risk_exam_hearing</x:v>
      </x:c>
      <x:c r="I50" s="27" t="str">
        <x:v>ASM-2026-005</x:v>
      </x:c>
      <x:c r="J50" s="27" t="str">
        <x:v>CHK-2026-005-07</x:v>
      </x:c>
    </x:row>
    <x:row r="51">
      <x:c r="A51" s="28" t="str">
        <x:v>Central Sterile Supply</x:v>
      </x:c>
      <x:c r="B51" s="37" t="n">
        <x:v>46158</x:v>
      </x:c>
      <x:c r="C51" s="26" t="str">
        <x:v>RAH01-2026-005</x:v>
      </x:c>
      <x:c r="D51" s="36" t="n">
        <x:v>8</x:v>
      </x:c>
      <x:c r="E51" s="26" t="str">
        <x:v>Risk-based vision examination</x:v>
      </x:c>
      <x:c r="F51" s="25" t="str">
        <x:v>NOT_APPLICABLE</x:v>
      </x:c>
      <x:c r="G51" s="25" t="str">
        <x:v>No indicated risk exam vision exposure in this department's current risk profile.</x:v>
      </x:c>
      <x:c r="H51" s="27" t="str">
        <x:v>occ_risk_exam_vision</x:v>
      </x:c>
      <x:c r="I51" s="27" t="str">
        <x:v>ASM-2026-005</x:v>
      </x:c>
      <x:c r="J51" s="27" t="str">
        <x:v>CHK-2026-005-08</x:v>
      </x:c>
    </x:row>
    <x:row r="52">
      <x:c r="A52" s="28" t="str">
        <x:v>Central Sterile Supply</x:v>
      </x:c>
      <x:c r="B52" s="37" t="n">
        <x:v>46158</x:v>
      </x:c>
      <x:c r="C52" s="26" t="str">
        <x:v>RAH01-2026-005</x:v>
      </x:c>
      <x:c r="D52" s="36" t="n">
        <x:v>9</x:v>
      </x:c>
      <x:c r="E52" s="26" t="str">
        <x:v>Biological monitoring</x:v>
      </x:c>
      <x:c r="F52" s="25" t="str">
        <x:v>YES</x:v>
      </x:c>
      <x:c r="G52" s="25" t="str"/>
      <x:c r="H52" s="27" t="str">
        <x:v>occ_bio_exam</x:v>
      </x:c>
      <x:c r="I52" s="27" t="str">
        <x:v>ASM-2026-005</x:v>
      </x:c>
      <x:c r="J52" s="27" t="str">
        <x:v>CHK-2026-005-09</x:v>
      </x:c>
    </x:row>
    <x:row r="53">
      <x:c r="A53" s="28" t="str">
        <x:v>Central Sterile Supply</x:v>
      </x:c>
      <x:c r="B53" s="37" t="n">
        <x:v>46158</x:v>
      </x:c>
      <x:c r="C53" s="26" t="str">
        <x:v>RAH01-2026-005</x:v>
      </x:c>
      <x:c r="D53" s="36" t="n">
        <x:v>10</x:v>
      </x:c>
      <x:c r="E53" s="26" t="str">
        <x:v>Workplace environmental monitoring</x:v>
      </x:c>
      <x:c r="F53" s="25" t="str">
        <x:v>YES</x:v>
      </x:c>
      <x:c r="G53" s="25" t="str"/>
      <x:c r="H53" s="27" t="str">
        <x:v>occ_env_exam</x:v>
      </x:c>
      <x:c r="I53" s="27" t="str">
        <x:v>ASM-2026-005</x:v>
      </x:c>
      <x:c r="J53" s="27" t="str">
        <x:v>CHK-2026-005-10</x:v>
      </x:c>
    </x:row>
    <x:row r="54">
      <x:c r="A54" s="28" t="str">
        <x:v>Child Development</x:v>
      </x:c>
      <x:c r="B54" s="37" t="n">
        <x:v>46192</x:v>
      </x:c>
      <x:c r="C54" s="26" t="str">
        <x:v>RAH01-2026-006</x:v>
      </x:c>
      <x:c r="D54" s="36" t="n">
        <x:v>1</x:v>
      </x:c>
      <x:c r="E54" s="26" t="str">
        <x:v>Fire prevention and suppression system</x:v>
      </x:c>
      <x:c r="F54" s="25" t="str">
        <x:v>YES</x:v>
      </x:c>
      <x:c r="G54" s="25" t="str"/>
      <x:c r="H54" s="27" t="str">
        <x:v>occ_fire_safety</x:v>
      </x:c>
      <x:c r="I54" s="27" t="str">
        <x:v>ASM-2026-006</x:v>
      </x:c>
      <x:c r="J54" s="27" t="str">
        <x:v>CHK-2026-006-01</x:v>
      </x:c>
    </x:row>
    <x:row r="55">
      <x:c r="A55" s="28" t="str">
        <x:v>Child Development</x:v>
      </x:c>
      <x:c r="B55" s="37" t="n">
        <x:v>46192</x:v>
      </x:c>
      <x:c r="C55" s="26" t="str">
        <x:v>RAH01-2026-006</x:v>
      </x:c>
      <x:c r="D55" s="36" t="n">
        <x:v>2</x:v>
      </x:c>
      <x:c r="E55" s="26" t="str">
        <x:v>Occupational-health education</x:v>
      </x:c>
      <x:c r="F55" s="25" t="str">
        <x:v>YES</x:v>
      </x:c>
      <x:c r="G55" s="25" t="str"/>
      <x:c r="H55" s="27" t="str">
        <x:v>occ_health_education</x:v>
      </x:c>
      <x:c r="I55" s="27" t="str">
        <x:v>ASM-2026-006</x:v>
      </x:c>
      <x:c r="J55" s="27" t="str">
        <x:v>CHK-2026-006-02</x:v>
      </x:c>
    </x:row>
    <x:row r="56">
      <x:c r="A56" s="28" t="str">
        <x:v>Child Development</x:v>
      </x:c>
      <x:c r="B56" s="37" t="n">
        <x:v>46192</x:v>
      </x:c>
      <x:c r="C56" s="26" t="str">
        <x:v>RAH01-2026-006</x:v>
      </x:c>
      <x:c r="D56" s="36" t="n">
        <x:v>3</x:v>
      </x:c>
      <x:c r="E56" s="26" t="str">
        <x:v>Hazardous-waste management system</x:v>
      </x:c>
      <x:c r="F56" s="25" t="str">
        <x:v>YES</x:v>
      </x:c>
      <x:c r="G56" s="25" t="str"/>
      <x:c r="H56" s="27" t="str">
        <x:v>occ_waste_management</x:v>
      </x:c>
      <x:c r="I56" s="27" t="str">
        <x:v>ASM-2026-006</x:v>
      </x:c>
      <x:c r="J56" s="27" t="str">
        <x:v>CHK-2026-006-03</x:v>
      </x:c>
    </x:row>
    <x:row r="57">
      <x:c r="A57" s="28" t="str">
        <x:v>Child Development</x:v>
      </x:c>
      <x:c r="B57" s="37" t="n">
        <x:v>46192</x:v>
      </x:c>
      <x:c r="C57" s="26" t="str">
        <x:v>RAH01-2026-006</x:v>
      </x:c>
      <x:c r="D57" s="36" t="n">
        <x:v>4</x:v>
      </x:c>
      <x:c r="E57" s="26" t="str">
        <x:v>Personal protective equipment measures</x:v>
      </x:c>
      <x:c r="F57" s="25" t="str">
        <x:v>YES</x:v>
      </x:c>
      <x:c r="G57" s="25" t="str"/>
      <x:c r="H57" s="27" t="str">
        <x:v>occ_ppe_measures</x:v>
      </x:c>
      <x:c r="I57" s="27" t="str">
        <x:v>ASM-2026-006</x:v>
      </x:c>
      <x:c r="J57" s="27" t="str">
        <x:v>CHK-2026-006-04</x:v>
      </x:c>
    </x:row>
    <x:row r="58">
      <x:c r="A58" s="28" t="str">
        <x:v>Child Development</x:v>
      </x:c>
      <x:c r="B58" s="37" t="n">
        <x:v>46192</x:v>
      </x:c>
      <x:c r="C58" s="26" t="str">
        <x:v>RAH01-2026-006</x:v>
      </x:c>
      <x:c r="D58" s="36" t="n">
        <x:v>5</x:v>
      </x:c>
      <x:c r="E58" s="26" t="str">
        <x:v>Annual health examination</x:v>
      </x:c>
      <x:c r="F58" s="25" t="str">
        <x:v>YES</x:v>
      </x:c>
      <x:c r="G58" s="25" t="str"/>
      <x:c r="H58" s="27" t="str">
        <x:v>occ_annual_health_exam</x:v>
      </x:c>
      <x:c r="I58" s="27" t="str">
        <x:v>ASM-2026-006</x:v>
      </x:c>
      <x:c r="J58" s="27" t="str">
        <x:v>CHK-2026-006-05</x:v>
      </x:c>
    </x:row>
    <x:row r="59">
      <x:c r="A59" s="28" t="str">
        <x:v>Child Development</x:v>
      </x:c>
      <x:c r="B59" s="37" t="n">
        <x:v>46192</x:v>
      </x:c>
      <x:c r="C59" s="26" t="str">
        <x:v>RAH01-2026-006</x:v>
      </x:c>
      <x:c r="D59" s="36" t="n">
        <x:v>6</x:v>
      </x:c>
      <x:c r="E59" s="26" t="str">
        <x:v>Risk-based lung-function examination</x:v>
      </x:c>
      <x:c r="F59" s="25" t="str">
        <x:v>YES</x:v>
      </x:c>
      <x:c r="G59" s="25" t="str"/>
      <x:c r="H59" s="27" t="str">
        <x:v>occ_risk_exam_lung</x:v>
      </x:c>
      <x:c r="I59" s="27" t="str">
        <x:v>ASM-2026-006</x:v>
      </x:c>
      <x:c r="J59" s="27" t="str">
        <x:v>CHK-2026-006-06</x:v>
      </x:c>
    </x:row>
    <x:row r="60">
      <x:c r="A60" s="28" t="str">
        <x:v>Child Development</x:v>
      </x:c>
      <x:c r="B60" s="37" t="n">
        <x:v>46192</x:v>
      </x:c>
      <x:c r="C60" s="26" t="str">
        <x:v>RAH01-2026-006</x:v>
      </x:c>
      <x:c r="D60" s="36" t="n">
        <x:v>7</x:v>
      </x:c>
      <x:c r="E60" s="26" t="str">
        <x:v>Risk-based hearing examination</x:v>
      </x:c>
      <x:c r="F60" s="25" t="str">
        <x:v>NOT_APPLICABLE</x:v>
      </x:c>
      <x:c r="G60" s="25" t="str">
        <x:v>No indicated risk exam hearing exposure in this department's current risk profile.</x:v>
      </x:c>
      <x:c r="H60" s="27" t="str">
        <x:v>occ_risk_exam_hearing</x:v>
      </x:c>
      <x:c r="I60" s="27" t="str">
        <x:v>ASM-2026-006</x:v>
      </x:c>
      <x:c r="J60" s="27" t="str">
        <x:v>CHK-2026-006-07</x:v>
      </x:c>
    </x:row>
    <x:row r="61">
      <x:c r="A61" s="28" t="str">
        <x:v>Child Development</x:v>
      </x:c>
      <x:c r="B61" s="37" t="n">
        <x:v>46192</x:v>
      </x:c>
      <x:c r="C61" s="26" t="str">
        <x:v>RAH01-2026-006</x:v>
      </x:c>
      <x:c r="D61" s="36" t="n">
        <x:v>8</x:v>
      </x:c>
      <x:c r="E61" s="26" t="str">
        <x:v>Risk-based vision examination</x:v>
      </x:c>
      <x:c r="F61" s="25" t="str">
        <x:v>YES</x:v>
      </x:c>
      <x:c r="G61" s="25" t="str"/>
      <x:c r="H61" s="27" t="str">
        <x:v>occ_risk_exam_vision</x:v>
      </x:c>
      <x:c r="I61" s="27" t="str">
        <x:v>ASM-2026-006</x:v>
      </x:c>
      <x:c r="J61" s="27" t="str">
        <x:v>CHK-2026-006-08</x:v>
      </x:c>
    </x:row>
    <x:row r="62">
      <x:c r="A62" s="28" t="str">
        <x:v>Child Development</x:v>
      </x:c>
      <x:c r="B62" s="37" t="n">
        <x:v>46192</x:v>
      </x:c>
      <x:c r="C62" s="26" t="str">
        <x:v>RAH01-2026-006</x:v>
      </x:c>
      <x:c r="D62" s="36" t="n">
        <x:v>9</x:v>
      </x:c>
      <x:c r="E62" s="26" t="str">
        <x:v>Biological monitoring</x:v>
      </x:c>
      <x:c r="F62" s="25" t="str">
        <x:v>YES</x:v>
      </x:c>
      <x:c r="G62" s="25" t="str"/>
      <x:c r="H62" s="27" t="str">
        <x:v>occ_bio_exam</x:v>
      </x:c>
      <x:c r="I62" s="27" t="str">
        <x:v>ASM-2026-006</x:v>
      </x:c>
      <x:c r="J62" s="27" t="str">
        <x:v>CHK-2026-006-09</x:v>
      </x:c>
    </x:row>
    <x:row r="63">
      <x:c r="A63" s="28" t="str">
        <x:v>Child Development</x:v>
      </x:c>
      <x:c r="B63" s="37" t="n">
        <x:v>46192</x:v>
      </x:c>
      <x:c r="C63" s="26" t="str">
        <x:v>RAH01-2026-006</x:v>
      </x:c>
      <x:c r="D63" s="36" t="n">
        <x:v>10</x:v>
      </x:c>
      <x:c r="E63" s="26" t="str">
        <x:v>Workplace environmental monitoring</x:v>
      </x:c>
      <x:c r="F63" s="25" t="str">
        <x:v>YES</x:v>
      </x:c>
      <x:c r="G63" s="25" t="str"/>
      <x:c r="H63" s="27" t="str">
        <x:v>occ_env_exam</x:v>
      </x:c>
      <x:c r="I63" s="27" t="str">
        <x:v>ASM-2026-006</x:v>
      </x:c>
      <x:c r="J63" s="27" t="str">
        <x:v>CHK-2026-006-10</x:v>
      </x:c>
    </x:row>
    <x:row r="64">
      <x:c r="A64" s="28" t="str">
        <x:v>Clinical Nutrition</x:v>
      </x:c>
      <x:c r="B64" s="37" t="n">
        <x:v>46044</x:v>
      </x:c>
      <x:c r="C64" s="26" t="str">
        <x:v>RAH01-2026-007</x:v>
      </x:c>
      <x:c r="D64" s="36" t="n">
        <x:v>1</x:v>
      </x:c>
      <x:c r="E64" s="26" t="str">
        <x:v>Fire prevention and suppression system</x:v>
      </x:c>
      <x:c r="F64" s="25" t="str">
        <x:v>YES</x:v>
      </x:c>
      <x:c r="G64" s="25" t="str"/>
      <x:c r="H64" s="27" t="str">
        <x:v>occ_fire_safety</x:v>
      </x:c>
      <x:c r="I64" s="27" t="str">
        <x:v>ASM-2026-007</x:v>
      </x:c>
      <x:c r="J64" s="27" t="str">
        <x:v>CHK-2026-007-01</x:v>
      </x:c>
    </x:row>
    <x:row r="65">
      <x:c r="A65" s="28" t="str">
        <x:v>Clinical Nutrition</x:v>
      </x:c>
      <x:c r="B65" s="37" t="n">
        <x:v>46044</x:v>
      </x:c>
      <x:c r="C65" s="26" t="str">
        <x:v>RAH01-2026-007</x:v>
      </x:c>
      <x:c r="D65" s="36" t="n">
        <x:v>2</x:v>
      </x:c>
      <x:c r="E65" s="26" t="str">
        <x:v>Occupational-health education</x:v>
      </x:c>
      <x:c r="F65" s="25" t="str">
        <x:v>YES</x:v>
      </x:c>
      <x:c r="G65" s="25" t="str"/>
      <x:c r="H65" s="27" t="str">
        <x:v>occ_health_education</x:v>
      </x:c>
      <x:c r="I65" s="27" t="str">
        <x:v>ASM-2026-007</x:v>
      </x:c>
      <x:c r="J65" s="27" t="str">
        <x:v>CHK-2026-007-02</x:v>
      </x:c>
    </x:row>
    <x:row r="66">
      <x:c r="A66" s="28" t="str">
        <x:v>Clinical Nutrition</x:v>
      </x:c>
      <x:c r="B66" s="37" t="n">
        <x:v>46044</x:v>
      </x:c>
      <x:c r="C66" s="26" t="str">
        <x:v>RAH01-2026-007</x:v>
      </x:c>
      <x:c r="D66" s="36" t="n">
        <x:v>3</x:v>
      </x:c>
      <x:c r="E66" s="26" t="str">
        <x:v>Hazardous-waste management system</x:v>
      </x:c>
      <x:c r="F66" s="25" t="str">
        <x:v>YES</x:v>
      </x:c>
      <x:c r="G66" s="25" t="str"/>
      <x:c r="H66" s="27" t="str">
        <x:v>occ_waste_management</x:v>
      </x:c>
      <x:c r="I66" s="27" t="str">
        <x:v>ASM-2026-007</x:v>
      </x:c>
      <x:c r="J66" s="27" t="str">
        <x:v>CHK-2026-007-03</x:v>
      </x:c>
    </x:row>
    <x:row r="67">
      <x:c r="A67" s="28" t="str">
        <x:v>Clinical Nutrition</x:v>
      </x:c>
      <x:c r="B67" s="37" t="n">
        <x:v>46044</x:v>
      </x:c>
      <x:c r="C67" s="26" t="str">
        <x:v>RAH01-2026-007</x:v>
      </x:c>
      <x:c r="D67" s="36" t="n">
        <x:v>4</x:v>
      </x:c>
      <x:c r="E67" s="26" t="str">
        <x:v>Personal protective equipment measures</x:v>
      </x:c>
      <x:c r="F67" s="25" t="str">
        <x:v>YES</x:v>
      </x:c>
      <x:c r="G67" s="25" t="str"/>
      <x:c r="H67" s="27" t="str">
        <x:v>occ_ppe_measures</x:v>
      </x:c>
      <x:c r="I67" s="27" t="str">
        <x:v>ASM-2026-007</x:v>
      </x:c>
      <x:c r="J67" s="27" t="str">
        <x:v>CHK-2026-007-04</x:v>
      </x:c>
    </x:row>
    <x:row r="68">
      <x:c r="A68" s="28" t="str">
        <x:v>Clinical Nutrition</x:v>
      </x:c>
      <x:c r="B68" s="37" t="n">
        <x:v>46044</x:v>
      </x:c>
      <x:c r="C68" s="26" t="str">
        <x:v>RAH01-2026-007</x:v>
      </x:c>
      <x:c r="D68" s="36" t="n">
        <x:v>5</x:v>
      </x:c>
      <x:c r="E68" s="26" t="str">
        <x:v>Annual health examination</x:v>
      </x:c>
      <x:c r="F68" s="25" t="str">
        <x:v>YES</x:v>
      </x:c>
      <x:c r="G68" s="25" t="str"/>
      <x:c r="H68" s="27" t="str">
        <x:v>occ_annual_health_exam</x:v>
      </x:c>
      <x:c r="I68" s="27" t="str">
        <x:v>ASM-2026-007</x:v>
      </x:c>
      <x:c r="J68" s="27" t="str">
        <x:v>CHK-2026-007-05</x:v>
      </x:c>
    </x:row>
    <x:row r="69">
      <x:c r="A69" s="28" t="str">
        <x:v>Clinical Nutrition</x:v>
      </x:c>
      <x:c r="B69" s="37" t="n">
        <x:v>46044</x:v>
      </x:c>
      <x:c r="C69" s="26" t="str">
        <x:v>RAH01-2026-007</x:v>
      </x:c>
      <x:c r="D69" s="36" t="n">
        <x:v>6</x:v>
      </x:c>
      <x:c r="E69" s="26" t="str">
        <x:v>Risk-based lung-function examination</x:v>
      </x:c>
      <x:c r="F69" s="25" t="str">
        <x:v>NOT_APPLICABLE</x:v>
      </x:c>
      <x:c r="G69" s="25" t="str">
        <x:v>No indicated risk exam lung exposure in this department's current risk profile.</x:v>
      </x:c>
      <x:c r="H69" s="27" t="str">
        <x:v>occ_risk_exam_lung</x:v>
      </x:c>
      <x:c r="I69" s="27" t="str">
        <x:v>ASM-2026-007</x:v>
      </x:c>
      <x:c r="J69" s="27" t="str">
        <x:v>CHK-2026-007-06</x:v>
      </x:c>
    </x:row>
    <x:row r="70">
      <x:c r="A70" s="28" t="str">
        <x:v>Clinical Nutrition</x:v>
      </x:c>
      <x:c r="B70" s="37" t="n">
        <x:v>46044</x:v>
      </x:c>
      <x:c r="C70" s="26" t="str">
        <x:v>RAH01-2026-007</x:v>
      </x:c>
      <x:c r="D70" s="36" t="n">
        <x:v>7</x:v>
      </x:c>
      <x:c r="E70" s="26" t="str">
        <x:v>Risk-based hearing examination</x:v>
      </x:c>
      <x:c r="F70" s="25" t="str">
        <x:v>YES</x:v>
      </x:c>
      <x:c r="G70" s="25" t="str"/>
      <x:c r="H70" s="27" t="str">
        <x:v>occ_risk_exam_hearing</x:v>
      </x:c>
      <x:c r="I70" s="27" t="str">
        <x:v>ASM-2026-007</x:v>
      </x:c>
      <x:c r="J70" s="27" t="str">
        <x:v>CHK-2026-007-07</x:v>
      </x:c>
    </x:row>
    <x:row r="71">
      <x:c r="A71" s="28" t="str">
        <x:v>Clinical Nutrition</x:v>
      </x:c>
      <x:c r="B71" s="37" t="n">
        <x:v>46044</x:v>
      </x:c>
      <x:c r="C71" s="26" t="str">
        <x:v>RAH01-2026-007</x:v>
      </x:c>
      <x:c r="D71" s="36" t="n">
        <x:v>8</x:v>
      </x:c>
      <x:c r="E71" s="26" t="str">
        <x:v>Risk-based vision examination</x:v>
      </x:c>
      <x:c r="F71" s="25" t="str">
        <x:v>YES</x:v>
      </x:c>
      <x:c r="G71" s="25" t="str"/>
      <x:c r="H71" s="27" t="str">
        <x:v>occ_risk_exam_vision</x:v>
      </x:c>
      <x:c r="I71" s="27" t="str">
        <x:v>ASM-2026-007</x:v>
      </x:c>
      <x:c r="J71" s="27" t="str">
        <x:v>CHK-2026-007-08</x:v>
      </x:c>
    </x:row>
    <x:row r="72">
      <x:c r="A72" s="28" t="str">
        <x:v>Clinical Nutrition</x:v>
      </x:c>
      <x:c r="B72" s="37" t="n">
        <x:v>46044</x:v>
      </x:c>
      <x:c r="C72" s="26" t="str">
        <x:v>RAH01-2026-007</x:v>
      </x:c>
      <x:c r="D72" s="36" t="n">
        <x:v>9</x:v>
      </x:c>
      <x:c r="E72" s="26" t="str">
        <x:v>Biological monitoring</x:v>
      </x:c>
      <x:c r="F72" s="25" t="str">
        <x:v>YES</x:v>
      </x:c>
      <x:c r="G72" s="25" t="str"/>
      <x:c r="H72" s="27" t="str">
        <x:v>occ_bio_exam</x:v>
      </x:c>
      <x:c r="I72" s="27" t="str">
        <x:v>ASM-2026-007</x:v>
      </x:c>
      <x:c r="J72" s="27" t="str">
        <x:v>CHK-2026-007-09</x:v>
      </x:c>
    </x:row>
    <x:row r="73">
      <x:c r="A73" s="28" t="str">
        <x:v>Clinical Nutrition</x:v>
      </x:c>
      <x:c r="B73" s="37" t="n">
        <x:v>46044</x:v>
      </x:c>
      <x:c r="C73" s="26" t="str">
        <x:v>RAH01-2026-007</x:v>
      </x:c>
      <x:c r="D73" s="36" t="n">
        <x:v>10</x:v>
      </x:c>
      <x:c r="E73" s="26" t="str">
        <x:v>Workplace environmental monitoring</x:v>
      </x:c>
      <x:c r="F73" s="25" t="str">
        <x:v>NOT_APPLICABLE</x:v>
      </x:c>
      <x:c r="G73" s="25" t="str">
        <x:v>No indicated env exam exposure in this department's current risk profile.</x:v>
      </x:c>
      <x:c r="H73" s="27" t="str">
        <x:v>occ_env_exam</x:v>
      </x:c>
      <x:c r="I73" s="27" t="str">
        <x:v>ASM-2026-007</x:v>
      </x:c>
      <x:c r="J73" s="27" t="str">
        <x:v>CHK-2026-007-10</x:v>
      </x:c>
    </x:row>
    <x:row r="74">
      <x:c r="A74" s="28" t="str">
        <x:v>Dental</x:v>
      </x:c>
      <x:c r="B74" s="37" t="n">
        <x:v>46078</x:v>
      </x:c>
      <x:c r="C74" s="26" t="str">
        <x:v>RAH01-2026-008</x:v>
      </x:c>
      <x:c r="D74" s="36" t="n">
        <x:v>1</x:v>
      </x:c>
      <x:c r="E74" s="26" t="str">
        <x:v>Fire prevention and suppression system</x:v>
      </x:c>
      <x:c r="F74" s="25" t="str">
        <x:v>YES</x:v>
      </x:c>
      <x:c r="G74" s="25" t="str"/>
      <x:c r="H74" s="27" t="str">
        <x:v>occ_fire_safety</x:v>
      </x:c>
      <x:c r="I74" s="27" t="str">
        <x:v>ASM-2026-008</x:v>
      </x:c>
      <x:c r="J74" s="27" t="str">
        <x:v>CHK-2026-008-01</x:v>
      </x:c>
    </x:row>
    <x:row r="75">
      <x:c r="A75" s="28" t="str">
        <x:v>Dental</x:v>
      </x:c>
      <x:c r="B75" s="37" t="n">
        <x:v>46078</x:v>
      </x:c>
      <x:c r="C75" s="26" t="str">
        <x:v>RAH01-2026-008</x:v>
      </x:c>
      <x:c r="D75" s="36" t="n">
        <x:v>2</x:v>
      </x:c>
      <x:c r="E75" s="26" t="str">
        <x:v>Occupational-health education</x:v>
      </x:c>
      <x:c r="F75" s="25" t="str">
        <x:v>YES</x:v>
      </x:c>
      <x:c r="G75" s="25" t="str"/>
      <x:c r="H75" s="27" t="str">
        <x:v>occ_health_education</x:v>
      </x:c>
      <x:c r="I75" s="27" t="str">
        <x:v>ASM-2026-008</x:v>
      </x:c>
      <x:c r="J75" s="27" t="str">
        <x:v>CHK-2026-008-02</x:v>
      </x:c>
    </x:row>
    <x:row r="76">
      <x:c r="A76" s="28" t="str">
        <x:v>Dental</x:v>
      </x:c>
      <x:c r="B76" s="37" t="n">
        <x:v>46078</x:v>
      </x:c>
      <x:c r="C76" s="26" t="str">
        <x:v>RAH01-2026-008</x:v>
      </x:c>
      <x:c r="D76" s="36" t="n">
        <x:v>3</x:v>
      </x:c>
      <x:c r="E76" s="26" t="str">
        <x:v>Hazardous-waste management system</x:v>
      </x:c>
      <x:c r="F76" s="25" t="str">
        <x:v>YES</x:v>
      </x:c>
      <x:c r="G76" s="25" t="str"/>
      <x:c r="H76" s="27" t="str">
        <x:v>occ_waste_management</x:v>
      </x:c>
      <x:c r="I76" s="27" t="str">
        <x:v>ASM-2026-008</x:v>
      </x:c>
      <x:c r="J76" s="27" t="str">
        <x:v>CHK-2026-008-03</x:v>
      </x:c>
    </x:row>
    <x:row r="77">
      <x:c r="A77" s="28" t="str">
        <x:v>Dental</x:v>
      </x:c>
      <x:c r="B77" s="37" t="n">
        <x:v>46078</x:v>
      </x:c>
      <x:c r="C77" s="26" t="str">
        <x:v>RAH01-2026-008</x:v>
      </x:c>
      <x:c r="D77" s="36" t="n">
        <x:v>4</x:v>
      </x:c>
      <x:c r="E77" s="26" t="str">
        <x:v>Personal protective equipment measures</x:v>
      </x:c>
      <x:c r="F77" s="25" t="str">
        <x:v>YES</x:v>
      </x:c>
      <x:c r="G77" s="25" t="str"/>
      <x:c r="H77" s="27" t="str">
        <x:v>occ_ppe_measures</x:v>
      </x:c>
      <x:c r="I77" s="27" t="str">
        <x:v>ASM-2026-008</x:v>
      </x:c>
      <x:c r="J77" s="27" t="str">
        <x:v>CHK-2026-008-04</x:v>
      </x:c>
    </x:row>
    <x:row r="78">
      <x:c r="A78" s="28" t="str">
        <x:v>Dental</x:v>
      </x:c>
      <x:c r="B78" s="37" t="n">
        <x:v>46078</x:v>
      </x:c>
      <x:c r="C78" s="26" t="str">
        <x:v>RAH01-2026-008</x:v>
      </x:c>
      <x:c r="D78" s="36" t="n">
        <x:v>5</x:v>
      </x:c>
      <x:c r="E78" s="26" t="str">
        <x:v>Annual health examination</x:v>
      </x:c>
      <x:c r="F78" s="25" t="str">
        <x:v>YES</x:v>
      </x:c>
      <x:c r="G78" s="25" t="str"/>
      <x:c r="H78" s="27" t="str">
        <x:v>occ_annual_health_exam</x:v>
      </x:c>
      <x:c r="I78" s="27" t="str">
        <x:v>ASM-2026-008</x:v>
      </x:c>
      <x:c r="J78" s="27" t="str">
        <x:v>CHK-2026-008-05</x:v>
      </x:c>
    </x:row>
    <x:row r="79">
      <x:c r="A79" s="28" t="str">
        <x:v>Dental</x:v>
      </x:c>
      <x:c r="B79" s="37" t="n">
        <x:v>46078</x:v>
      </x:c>
      <x:c r="C79" s="26" t="str">
        <x:v>RAH01-2026-008</x:v>
      </x:c>
      <x:c r="D79" s="36" t="n">
        <x:v>6</x:v>
      </x:c>
      <x:c r="E79" s="26" t="str">
        <x:v>Risk-based lung-function examination</x:v>
      </x:c>
      <x:c r="F79" s="25" t="str">
        <x:v>YES</x:v>
      </x:c>
      <x:c r="G79" s="25" t="str"/>
      <x:c r="H79" s="27" t="str">
        <x:v>occ_risk_exam_lung</x:v>
      </x:c>
      <x:c r="I79" s="27" t="str">
        <x:v>ASM-2026-008</x:v>
      </x:c>
      <x:c r="J79" s="27" t="str">
        <x:v>CHK-2026-008-06</x:v>
      </x:c>
    </x:row>
    <x:row r="80">
      <x:c r="A80" s="28" t="str">
        <x:v>Dental</x:v>
      </x:c>
      <x:c r="B80" s="37" t="n">
        <x:v>46078</x:v>
      </x:c>
      <x:c r="C80" s="26" t="str">
        <x:v>RAH01-2026-008</x:v>
      </x:c>
      <x:c r="D80" s="36" t="n">
        <x:v>7</x:v>
      </x:c>
      <x:c r="E80" s="26" t="str">
        <x:v>Risk-based hearing examination</x:v>
      </x:c>
      <x:c r="F80" s="25" t="str">
        <x:v>YES</x:v>
      </x:c>
      <x:c r="G80" s="25" t="str"/>
      <x:c r="H80" s="27" t="str">
        <x:v>occ_risk_exam_hearing</x:v>
      </x:c>
      <x:c r="I80" s="27" t="str">
        <x:v>ASM-2026-008</x:v>
      </x:c>
      <x:c r="J80" s="27" t="str">
        <x:v>CHK-2026-008-07</x:v>
      </x:c>
    </x:row>
    <x:row r="81">
      <x:c r="A81" s="28" t="str">
        <x:v>Dental</x:v>
      </x:c>
      <x:c r="B81" s="37" t="n">
        <x:v>46078</x:v>
      </x:c>
      <x:c r="C81" s="26" t="str">
        <x:v>RAH01-2026-008</x:v>
      </x:c>
      <x:c r="D81" s="36" t="n">
        <x:v>8</x:v>
      </x:c>
      <x:c r="E81" s="26" t="str">
        <x:v>Risk-based vision examination</x:v>
      </x:c>
      <x:c r="F81" s="25" t="str">
        <x:v>YES</x:v>
      </x:c>
      <x:c r="G81" s="25" t="str"/>
      <x:c r="H81" s="27" t="str">
        <x:v>occ_risk_exam_vision</x:v>
      </x:c>
      <x:c r="I81" s="27" t="str">
        <x:v>ASM-2026-008</x:v>
      </x:c>
      <x:c r="J81" s="27" t="str">
        <x:v>CHK-2026-008-08</x:v>
      </x:c>
    </x:row>
    <x:row r="82">
      <x:c r="A82" s="28" t="str">
        <x:v>Dental</x:v>
      </x:c>
      <x:c r="B82" s="37" t="n">
        <x:v>46078</x:v>
      </x:c>
      <x:c r="C82" s="26" t="str">
        <x:v>RAH01-2026-008</x:v>
      </x:c>
      <x:c r="D82" s="36" t="n">
        <x:v>9</x:v>
      </x:c>
      <x:c r="E82" s="26" t="str">
        <x:v>Biological monitoring</x:v>
      </x:c>
      <x:c r="F82" s="25" t="str">
        <x:v>NOT_APPLICABLE</x:v>
      </x:c>
      <x:c r="G82" s="25" t="str">
        <x:v>No indicated bio exam exposure in this department's current risk profile.</x:v>
      </x:c>
      <x:c r="H82" s="27" t="str">
        <x:v>occ_bio_exam</x:v>
      </x:c>
      <x:c r="I82" s="27" t="str">
        <x:v>ASM-2026-008</x:v>
      </x:c>
      <x:c r="J82" s="27" t="str">
        <x:v>CHK-2026-008-09</x:v>
      </x:c>
    </x:row>
    <x:row r="83">
      <x:c r="A83" s="28" t="str">
        <x:v>Dental</x:v>
      </x:c>
      <x:c r="B83" s="37" t="n">
        <x:v>46078</x:v>
      </x:c>
      <x:c r="C83" s="26" t="str">
        <x:v>RAH01-2026-008</x:v>
      </x:c>
      <x:c r="D83" s="36" t="n">
        <x:v>10</x:v>
      </x:c>
      <x:c r="E83" s="26" t="str">
        <x:v>Workplace environmental monitoring</x:v>
      </x:c>
      <x:c r="F83" s="25" t="str">
        <x:v>YES</x:v>
      </x:c>
      <x:c r="G83" s="25" t="str"/>
      <x:c r="H83" s="27" t="str">
        <x:v>occ_env_exam</x:v>
      </x:c>
      <x:c r="I83" s="27" t="str">
        <x:v>ASM-2026-008</x:v>
      </x:c>
      <x:c r="J83" s="27" t="str">
        <x:v>CHK-2026-008-10</x:v>
      </x:c>
    </x:row>
    <x:row r="84">
      <x:c r="A84" s="28" t="str">
        <x:v>Dermatology</x:v>
      </x:c>
      <x:c r="B84" s="37" t="n">
        <x:v>46084</x:v>
      </x:c>
      <x:c r="C84" s="26" t="str">
        <x:v>RAH01-2026-009</x:v>
      </x:c>
      <x:c r="D84" s="36" t="n">
        <x:v>1</x:v>
      </x:c>
      <x:c r="E84" s="26" t="str">
        <x:v>Fire prevention and suppression system</x:v>
      </x:c>
      <x:c r="F84" s="25" t="str">
        <x:v>YES</x:v>
      </x:c>
      <x:c r="G84" s="25" t="str"/>
      <x:c r="H84" s="27" t="str">
        <x:v>occ_fire_safety</x:v>
      </x:c>
      <x:c r="I84" s="27" t="str">
        <x:v>ASM-2026-009</x:v>
      </x:c>
      <x:c r="J84" s="27" t="str">
        <x:v>CHK-2026-009-01</x:v>
      </x:c>
    </x:row>
    <x:row r="85">
      <x:c r="A85" s="28" t="str">
        <x:v>Dermatology</x:v>
      </x:c>
      <x:c r="B85" s="37" t="n">
        <x:v>46084</x:v>
      </x:c>
      <x:c r="C85" s="26" t="str">
        <x:v>RAH01-2026-009</x:v>
      </x:c>
      <x:c r="D85" s="36" t="n">
        <x:v>2</x:v>
      </x:c>
      <x:c r="E85" s="26" t="str">
        <x:v>Occupational-health education</x:v>
      </x:c>
      <x:c r="F85" s="25" t="str">
        <x:v>YES</x:v>
      </x:c>
      <x:c r="G85" s="25" t="str"/>
      <x:c r="H85" s="27" t="str">
        <x:v>occ_health_education</x:v>
      </x:c>
      <x:c r="I85" s="27" t="str">
        <x:v>ASM-2026-009</x:v>
      </x:c>
      <x:c r="J85" s="27" t="str">
        <x:v>CHK-2026-009-02</x:v>
      </x:c>
    </x:row>
    <x:row r="86">
      <x:c r="A86" s="28" t="str">
        <x:v>Dermatology</x:v>
      </x:c>
      <x:c r="B86" s="37" t="n">
        <x:v>46084</x:v>
      </x:c>
      <x:c r="C86" s="26" t="str">
        <x:v>RAH01-2026-009</x:v>
      </x:c>
      <x:c r="D86" s="36" t="n">
        <x:v>3</x:v>
      </x:c>
      <x:c r="E86" s="26" t="str">
        <x:v>Hazardous-waste management system</x:v>
      </x:c>
      <x:c r="F86" s="25" t="str">
        <x:v>YES</x:v>
      </x:c>
      <x:c r="G86" s="25" t="str"/>
      <x:c r="H86" s="27" t="str">
        <x:v>occ_waste_management</x:v>
      </x:c>
      <x:c r="I86" s="27" t="str">
        <x:v>ASM-2026-009</x:v>
      </x:c>
      <x:c r="J86" s="27" t="str">
        <x:v>CHK-2026-009-03</x:v>
      </x:c>
    </x:row>
    <x:row r="87">
      <x:c r="A87" s="28" t="str">
        <x:v>Dermatology</x:v>
      </x:c>
      <x:c r="B87" s="37" t="n">
        <x:v>46084</x:v>
      </x:c>
      <x:c r="C87" s="26" t="str">
        <x:v>RAH01-2026-009</x:v>
      </x:c>
      <x:c r="D87" s="36" t="n">
        <x:v>4</x:v>
      </x:c>
      <x:c r="E87" s="26" t="str">
        <x:v>Personal protective equipment measures</x:v>
      </x:c>
      <x:c r="F87" s="25" t="str">
        <x:v>YES</x:v>
      </x:c>
      <x:c r="G87" s="25" t="str"/>
      <x:c r="H87" s="27" t="str">
        <x:v>occ_ppe_measures</x:v>
      </x:c>
      <x:c r="I87" s="27" t="str">
        <x:v>ASM-2026-009</x:v>
      </x:c>
      <x:c r="J87" s="27" t="str">
        <x:v>CHK-2026-009-04</x:v>
      </x:c>
    </x:row>
    <x:row r="88">
      <x:c r="A88" s="28" t="str">
        <x:v>Dermatology</x:v>
      </x:c>
      <x:c r="B88" s="37" t="n">
        <x:v>46084</x:v>
      </x:c>
      <x:c r="C88" s="26" t="str">
        <x:v>RAH01-2026-009</x:v>
      </x:c>
      <x:c r="D88" s="36" t="n">
        <x:v>5</x:v>
      </x:c>
      <x:c r="E88" s="26" t="str">
        <x:v>Annual health examination</x:v>
      </x:c>
      <x:c r="F88" s="25" t="str">
        <x:v>YES</x:v>
      </x:c>
      <x:c r="G88" s="25" t="str"/>
      <x:c r="H88" s="27" t="str">
        <x:v>occ_annual_health_exam</x:v>
      </x:c>
      <x:c r="I88" s="27" t="str">
        <x:v>ASM-2026-009</x:v>
      </x:c>
      <x:c r="J88" s="27" t="str">
        <x:v>CHK-2026-009-05</x:v>
      </x:c>
    </x:row>
    <x:row r="89">
      <x:c r="A89" s="28" t="str">
        <x:v>Dermatology</x:v>
      </x:c>
      <x:c r="B89" s="37" t="n">
        <x:v>46084</x:v>
      </x:c>
      <x:c r="C89" s="26" t="str">
        <x:v>RAH01-2026-009</x:v>
      </x:c>
      <x:c r="D89" s="36" t="n">
        <x:v>6</x:v>
      </x:c>
      <x:c r="E89" s="26" t="str">
        <x:v>Risk-based lung-function examination</x:v>
      </x:c>
      <x:c r="F89" s="25" t="str">
        <x:v>YES</x:v>
      </x:c>
      <x:c r="G89" s="25" t="str"/>
      <x:c r="H89" s="27" t="str">
        <x:v>occ_risk_exam_lung</x:v>
      </x:c>
      <x:c r="I89" s="27" t="str">
        <x:v>ASM-2026-009</x:v>
      </x:c>
      <x:c r="J89" s="27" t="str">
        <x:v>CHK-2026-009-06</x:v>
      </x:c>
    </x:row>
    <x:row r="90">
      <x:c r="A90" s="28" t="str">
        <x:v>Dermatology</x:v>
      </x:c>
      <x:c r="B90" s="37" t="n">
        <x:v>46084</x:v>
      </x:c>
      <x:c r="C90" s="26" t="str">
        <x:v>RAH01-2026-009</x:v>
      </x:c>
      <x:c r="D90" s="36" t="n">
        <x:v>7</x:v>
      </x:c>
      <x:c r="E90" s="26" t="str">
        <x:v>Risk-based hearing examination</x:v>
      </x:c>
      <x:c r="F90" s="25" t="str">
        <x:v>YES</x:v>
      </x:c>
      <x:c r="G90" s="25" t="str"/>
      <x:c r="H90" s="27" t="str">
        <x:v>occ_risk_exam_hearing</x:v>
      </x:c>
      <x:c r="I90" s="27" t="str">
        <x:v>ASM-2026-009</x:v>
      </x:c>
      <x:c r="J90" s="27" t="str">
        <x:v>CHK-2026-009-07</x:v>
      </x:c>
    </x:row>
    <x:row r="91">
      <x:c r="A91" s="28" t="str">
        <x:v>Dermatology</x:v>
      </x:c>
      <x:c r="B91" s="37" t="n">
        <x:v>46084</x:v>
      </x:c>
      <x:c r="C91" s="26" t="str">
        <x:v>RAH01-2026-009</x:v>
      </x:c>
      <x:c r="D91" s="36" t="n">
        <x:v>8</x:v>
      </x:c>
      <x:c r="E91" s="26" t="str">
        <x:v>Risk-based vision examination</x:v>
      </x:c>
      <x:c r="F91" s="25" t="str">
        <x:v>NOT_APPLICABLE</x:v>
      </x:c>
      <x:c r="G91" s="25" t="str">
        <x:v>No indicated risk exam vision exposure in this department's current risk profile.</x:v>
      </x:c>
      <x:c r="H91" s="27" t="str">
        <x:v>occ_risk_exam_vision</x:v>
      </x:c>
      <x:c r="I91" s="27" t="str">
        <x:v>ASM-2026-009</x:v>
      </x:c>
      <x:c r="J91" s="27" t="str">
        <x:v>CHK-2026-009-08</x:v>
      </x:c>
    </x:row>
    <x:row r="92">
      <x:c r="A92" s="28" t="str">
        <x:v>Dermatology</x:v>
      </x:c>
      <x:c r="B92" s="37" t="n">
        <x:v>46084</x:v>
      </x:c>
      <x:c r="C92" s="26" t="str">
        <x:v>RAH01-2026-009</x:v>
      </x:c>
      <x:c r="D92" s="36" t="n">
        <x:v>9</x:v>
      </x:c>
      <x:c r="E92" s="26" t="str">
        <x:v>Biological monitoring</x:v>
      </x:c>
      <x:c r="F92" s="25" t="str">
        <x:v>YES</x:v>
      </x:c>
      <x:c r="G92" s="25" t="str"/>
      <x:c r="H92" s="27" t="str">
        <x:v>occ_bio_exam</x:v>
      </x:c>
      <x:c r="I92" s="27" t="str">
        <x:v>ASM-2026-009</x:v>
      </x:c>
      <x:c r="J92" s="27" t="str">
        <x:v>CHK-2026-009-09</x:v>
      </x:c>
    </x:row>
    <x:row r="93">
      <x:c r="A93" s="28" t="str">
        <x:v>Dermatology</x:v>
      </x:c>
      <x:c r="B93" s="37" t="n">
        <x:v>46084</x:v>
      </x:c>
      <x:c r="C93" s="26" t="str">
        <x:v>RAH01-2026-009</x:v>
      </x:c>
      <x:c r="D93" s="36" t="n">
        <x:v>10</x:v>
      </x:c>
      <x:c r="E93" s="26" t="str">
        <x:v>Workplace environmental monitoring</x:v>
      </x:c>
      <x:c r="F93" s="25" t="str">
        <x:v>YES</x:v>
      </x:c>
      <x:c r="G93" s="25" t="str"/>
      <x:c r="H93" s="27" t="str">
        <x:v>occ_env_exam</x:v>
      </x:c>
      <x:c r="I93" s="27" t="str">
        <x:v>ASM-2026-009</x:v>
      </x:c>
      <x:c r="J93" s="27" t="str">
        <x:v>CHK-2026-009-10</x:v>
      </x:c>
    </x:row>
    <x:row r="94">
      <x:c r="A94" s="28" t="str">
        <x:v>Diagnostic Imaging</x:v>
      </x:c>
      <x:c r="B94" s="37" t="n">
        <x:v>46118</x:v>
      </x:c>
      <x:c r="C94" s="26" t="str">
        <x:v>RAH01-2026-010</x:v>
      </x:c>
      <x:c r="D94" s="36" t="n">
        <x:v>1</x:v>
      </x:c>
      <x:c r="E94" s="26" t="str">
        <x:v>Fire prevention and suppression system</x:v>
      </x:c>
      <x:c r="F94" s="25" t="str">
        <x:v>YES</x:v>
      </x:c>
      <x:c r="G94" s="25" t="str"/>
      <x:c r="H94" s="27" t="str">
        <x:v>occ_fire_safety</x:v>
      </x:c>
      <x:c r="I94" s="27" t="str">
        <x:v>ASM-2026-010</x:v>
      </x:c>
      <x:c r="J94" s="27" t="str">
        <x:v>CHK-2026-010-01</x:v>
      </x:c>
    </x:row>
    <x:row r="95">
      <x:c r="A95" s="28" t="str">
        <x:v>Diagnostic Imaging</x:v>
      </x:c>
      <x:c r="B95" s="37" t="n">
        <x:v>46118</x:v>
      </x:c>
      <x:c r="C95" s="26" t="str">
        <x:v>RAH01-2026-010</x:v>
      </x:c>
      <x:c r="D95" s="36" t="n">
        <x:v>2</x:v>
      </x:c>
      <x:c r="E95" s="26" t="str">
        <x:v>Occupational-health education</x:v>
      </x:c>
      <x:c r="F95" s="25" t="str">
        <x:v>YES</x:v>
      </x:c>
      <x:c r="G95" s="25" t="str"/>
      <x:c r="H95" s="27" t="str">
        <x:v>occ_health_education</x:v>
      </x:c>
      <x:c r="I95" s="27" t="str">
        <x:v>ASM-2026-010</x:v>
      </x:c>
      <x:c r="J95" s="27" t="str">
        <x:v>CHK-2026-010-02</x:v>
      </x:c>
    </x:row>
    <x:row r="96">
      <x:c r="A96" s="28" t="str">
        <x:v>Diagnostic Imaging</x:v>
      </x:c>
      <x:c r="B96" s="37" t="n">
        <x:v>46118</x:v>
      </x:c>
      <x:c r="C96" s="26" t="str">
        <x:v>RAH01-2026-010</x:v>
      </x:c>
      <x:c r="D96" s="36" t="n">
        <x:v>3</x:v>
      </x:c>
      <x:c r="E96" s="26" t="str">
        <x:v>Hazardous-waste management system</x:v>
      </x:c>
      <x:c r="F96" s="25" t="str">
        <x:v>YES</x:v>
      </x:c>
      <x:c r="G96" s="25" t="str"/>
      <x:c r="H96" s="27" t="str">
        <x:v>occ_waste_management</x:v>
      </x:c>
      <x:c r="I96" s="27" t="str">
        <x:v>ASM-2026-010</x:v>
      </x:c>
      <x:c r="J96" s="27" t="str">
        <x:v>CHK-2026-010-03</x:v>
      </x:c>
    </x:row>
    <x:row r="97">
      <x:c r="A97" s="28" t="str">
        <x:v>Diagnostic Imaging</x:v>
      </x:c>
      <x:c r="B97" s="37" t="n">
        <x:v>46118</x:v>
      </x:c>
      <x:c r="C97" s="26" t="str">
        <x:v>RAH01-2026-010</x:v>
      </x:c>
      <x:c r="D97" s="36" t="n">
        <x:v>4</x:v>
      </x:c>
      <x:c r="E97" s="26" t="str">
        <x:v>Personal protective equipment measures</x:v>
      </x:c>
      <x:c r="F97" s="25" t="str">
        <x:v>YES</x:v>
      </x:c>
      <x:c r="G97" s="25" t="str"/>
      <x:c r="H97" s="27" t="str">
        <x:v>occ_ppe_measures</x:v>
      </x:c>
      <x:c r="I97" s="27" t="str">
        <x:v>ASM-2026-010</x:v>
      </x:c>
      <x:c r="J97" s="27" t="str">
        <x:v>CHK-2026-010-04</x:v>
      </x:c>
    </x:row>
    <x:row r="98">
      <x:c r="A98" s="28" t="str">
        <x:v>Diagnostic Imaging</x:v>
      </x:c>
      <x:c r="B98" s="37" t="n">
        <x:v>46118</x:v>
      </x:c>
      <x:c r="C98" s="26" t="str">
        <x:v>RAH01-2026-010</x:v>
      </x:c>
      <x:c r="D98" s="36" t="n">
        <x:v>5</x:v>
      </x:c>
      <x:c r="E98" s="26" t="str">
        <x:v>Annual health examination</x:v>
      </x:c>
      <x:c r="F98" s="25" t="str">
        <x:v>NO</x:v>
      </x:c>
      <x:c r="G98" s="25" t="str"/>
      <x:c r="H98" s="27" t="str">
        <x:v>occ_annual_health_exam</x:v>
      </x:c>
      <x:c r="I98" s="27" t="str">
        <x:v>ASM-2026-010</x:v>
      </x:c>
      <x:c r="J98" s="27" t="str">
        <x:v>CHK-2026-010-05</x:v>
      </x:c>
    </x:row>
    <x:row r="99">
      <x:c r="A99" s="28" t="str">
        <x:v>Diagnostic Imaging</x:v>
      </x:c>
      <x:c r="B99" s="37" t="n">
        <x:v>46118</x:v>
      </x:c>
      <x:c r="C99" s="26" t="str">
        <x:v>RAH01-2026-010</x:v>
      </x:c>
      <x:c r="D99" s="36" t="n">
        <x:v>6</x:v>
      </x:c>
      <x:c r="E99" s="26" t="str">
        <x:v>Risk-based lung-function examination</x:v>
      </x:c>
      <x:c r="F99" s="25" t="str">
        <x:v>YES</x:v>
      </x:c>
      <x:c r="G99" s="25" t="str"/>
      <x:c r="H99" s="27" t="str">
        <x:v>occ_risk_exam_lung</x:v>
      </x:c>
      <x:c r="I99" s="27" t="str">
        <x:v>ASM-2026-010</x:v>
      </x:c>
      <x:c r="J99" s="27" t="str">
        <x:v>CHK-2026-010-06</x:v>
      </x:c>
    </x:row>
    <x:row r="100">
      <x:c r="A100" s="28" t="str">
        <x:v>Diagnostic Imaging</x:v>
      </x:c>
      <x:c r="B100" s="37" t="n">
        <x:v>46118</x:v>
      </x:c>
      <x:c r="C100" s="26" t="str">
        <x:v>RAH01-2026-010</x:v>
      </x:c>
      <x:c r="D100" s="36" t="n">
        <x:v>7</x:v>
      </x:c>
      <x:c r="E100" s="26" t="str">
        <x:v>Risk-based hearing examination</x:v>
      </x:c>
      <x:c r="F100" s="25" t="str">
        <x:v>NOT_APPLICABLE</x:v>
      </x:c>
      <x:c r="G100" s="25" t="str">
        <x:v>No indicated risk exam hearing exposure in this department's current risk profile.</x:v>
      </x:c>
      <x:c r="H100" s="27" t="str">
        <x:v>occ_risk_exam_hearing</x:v>
      </x:c>
      <x:c r="I100" s="27" t="str">
        <x:v>ASM-2026-010</x:v>
      </x:c>
      <x:c r="J100" s="27" t="str">
        <x:v>CHK-2026-010-07</x:v>
      </x:c>
    </x:row>
    <x:row r="101">
      <x:c r="A101" s="28" t="str">
        <x:v>Diagnostic Imaging</x:v>
      </x:c>
      <x:c r="B101" s="37" t="n">
        <x:v>46118</x:v>
      </x:c>
      <x:c r="C101" s="26" t="str">
        <x:v>RAH01-2026-010</x:v>
      </x:c>
      <x:c r="D101" s="36" t="n">
        <x:v>8</x:v>
      </x:c>
      <x:c r="E101" s="26" t="str">
        <x:v>Risk-based vision examination</x:v>
      </x:c>
      <x:c r="F101" s="25" t="str">
        <x:v>YES</x:v>
      </x:c>
      <x:c r="G101" s="25" t="str"/>
      <x:c r="H101" s="27" t="str">
        <x:v>occ_risk_exam_vision</x:v>
      </x:c>
      <x:c r="I101" s="27" t="str">
        <x:v>ASM-2026-010</x:v>
      </x:c>
      <x:c r="J101" s="27" t="str">
        <x:v>CHK-2026-010-08</x:v>
      </x:c>
    </x:row>
    <x:row r="102">
      <x:c r="A102" s="28" t="str">
        <x:v>Diagnostic Imaging</x:v>
      </x:c>
      <x:c r="B102" s="37" t="n">
        <x:v>46118</x:v>
      </x:c>
      <x:c r="C102" s="26" t="str">
        <x:v>RAH01-2026-010</x:v>
      </x:c>
      <x:c r="D102" s="36" t="n">
        <x:v>9</x:v>
      </x:c>
      <x:c r="E102" s="26" t="str">
        <x:v>Biological monitoring</x:v>
      </x:c>
      <x:c r="F102" s="25" t="str">
        <x:v>YES</x:v>
      </x:c>
      <x:c r="G102" s="25" t="str"/>
      <x:c r="H102" s="27" t="str">
        <x:v>occ_bio_exam</x:v>
      </x:c>
      <x:c r="I102" s="27" t="str">
        <x:v>ASM-2026-010</x:v>
      </x:c>
      <x:c r="J102" s="27" t="str">
        <x:v>CHK-2026-010-09</x:v>
      </x:c>
    </x:row>
    <x:row r="103">
      <x:c r="A103" s="28" t="str">
        <x:v>Diagnostic Imaging</x:v>
      </x:c>
      <x:c r="B103" s="37" t="n">
        <x:v>46118</x:v>
      </x:c>
      <x:c r="C103" s="26" t="str">
        <x:v>RAH01-2026-010</x:v>
      </x:c>
      <x:c r="D103" s="36" t="n">
        <x:v>10</x:v>
      </x:c>
      <x:c r="E103" s="26" t="str">
        <x:v>Workplace environmental monitoring</x:v>
      </x:c>
      <x:c r="F103" s="25" t="str">
        <x:v>YES</x:v>
      </x:c>
      <x:c r="G103" s="25" t="str"/>
      <x:c r="H103" s="27" t="str">
        <x:v>occ_env_exam</x:v>
      </x:c>
      <x:c r="I103" s="27" t="str">
        <x:v>ASM-2026-010</x:v>
      </x:c>
      <x:c r="J103" s="27" t="str">
        <x:v>CHK-2026-010-10</x:v>
      </x:c>
    </x:row>
    <x:row r="104">
      <x:c r="A104" s="28" t="str">
        <x:v>Emergency Medical Service</x:v>
      </x:c>
      <x:c r="B104" s="37" t="n">
        <x:v>46151</x:v>
      </x:c>
      <x:c r="C104" s="26" t="str">
        <x:v>RAH01-2026-011</x:v>
      </x:c>
      <x:c r="D104" s="36" t="n">
        <x:v>1</x:v>
      </x:c>
      <x:c r="E104" s="26" t="str">
        <x:v>Fire prevention and suppression system</x:v>
      </x:c>
      <x:c r="F104" s="25" t="str">
        <x:v>YES</x:v>
      </x:c>
      <x:c r="G104" s="25" t="str"/>
      <x:c r="H104" s="27" t="str">
        <x:v>occ_fire_safety</x:v>
      </x:c>
      <x:c r="I104" s="27" t="str">
        <x:v>ASM-2026-011</x:v>
      </x:c>
      <x:c r="J104" s="27" t="str">
        <x:v>CHK-2026-011-01</x:v>
      </x:c>
    </x:row>
    <x:row r="105">
      <x:c r="A105" s="28" t="str">
        <x:v>Emergency Medical Service</x:v>
      </x:c>
      <x:c r="B105" s="37" t="n">
        <x:v>46151</x:v>
      </x:c>
      <x:c r="C105" s="26" t="str">
        <x:v>RAH01-2026-011</x:v>
      </x:c>
      <x:c r="D105" s="36" t="n">
        <x:v>2</x:v>
      </x:c>
      <x:c r="E105" s="26" t="str">
        <x:v>Occupational-health education</x:v>
      </x:c>
      <x:c r="F105" s="25" t="str">
        <x:v>NO</x:v>
      </x:c>
      <x:c r="G105" s="25" t="str"/>
      <x:c r="H105" s="27" t="str">
        <x:v>occ_health_education</x:v>
      </x:c>
      <x:c r="I105" s="27" t="str">
        <x:v>ASM-2026-011</x:v>
      </x:c>
      <x:c r="J105" s="27" t="str">
        <x:v>CHK-2026-011-02</x:v>
      </x:c>
    </x:row>
    <x:row r="106">
      <x:c r="A106" s="28" t="str">
        <x:v>Emergency Medical Service</x:v>
      </x:c>
      <x:c r="B106" s="37" t="n">
        <x:v>46151</x:v>
      </x:c>
      <x:c r="C106" s="26" t="str">
        <x:v>RAH01-2026-011</x:v>
      </x:c>
      <x:c r="D106" s="36" t="n">
        <x:v>3</x:v>
      </x:c>
      <x:c r="E106" s="26" t="str">
        <x:v>Hazardous-waste management system</x:v>
      </x:c>
      <x:c r="F106" s="25" t="str">
        <x:v>YES</x:v>
      </x:c>
      <x:c r="G106" s="25" t="str"/>
      <x:c r="H106" s="27" t="str">
        <x:v>occ_waste_management</x:v>
      </x:c>
      <x:c r="I106" s="27" t="str">
        <x:v>ASM-2026-011</x:v>
      </x:c>
      <x:c r="J106" s="27" t="str">
        <x:v>CHK-2026-011-03</x:v>
      </x:c>
    </x:row>
    <x:row r="107">
      <x:c r="A107" s="28" t="str">
        <x:v>Emergency Medical Service</x:v>
      </x:c>
      <x:c r="B107" s="37" t="n">
        <x:v>46151</x:v>
      </x:c>
      <x:c r="C107" s="26" t="str">
        <x:v>RAH01-2026-011</x:v>
      </x:c>
      <x:c r="D107" s="36" t="n">
        <x:v>4</x:v>
      </x:c>
      <x:c r="E107" s="26" t="str">
        <x:v>Personal protective equipment measures</x:v>
      </x:c>
      <x:c r="F107" s="25" t="str">
        <x:v>YES</x:v>
      </x:c>
      <x:c r="G107" s="25" t="str"/>
      <x:c r="H107" s="27" t="str">
        <x:v>occ_ppe_measures</x:v>
      </x:c>
      <x:c r="I107" s="27" t="str">
        <x:v>ASM-2026-011</x:v>
      </x:c>
      <x:c r="J107" s="27" t="str">
        <x:v>CHK-2026-011-04</x:v>
      </x:c>
    </x:row>
    <x:row r="108">
      <x:c r="A108" s="28" t="str">
        <x:v>Emergency Medical Service</x:v>
      </x:c>
      <x:c r="B108" s="37" t="n">
        <x:v>46151</x:v>
      </x:c>
      <x:c r="C108" s="26" t="str">
        <x:v>RAH01-2026-011</x:v>
      </x:c>
      <x:c r="D108" s="36" t="n">
        <x:v>5</x:v>
      </x:c>
      <x:c r="E108" s="26" t="str">
        <x:v>Annual health examination</x:v>
      </x:c>
      <x:c r="F108" s="25" t="str">
        <x:v>YES</x:v>
      </x:c>
      <x:c r="G108" s="25" t="str"/>
      <x:c r="H108" s="27" t="str">
        <x:v>occ_annual_health_exam</x:v>
      </x:c>
      <x:c r="I108" s="27" t="str">
        <x:v>ASM-2026-011</x:v>
      </x:c>
      <x:c r="J108" s="27" t="str">
        <x:v>CHK-2026-011-05</x:v>
      </x:c>
    </x:row>
    <x:row r="109">
      <x:c r="A109" s="28" t="str">
        <x:v>Emergency Medical Service</x:v>
      </x:c>
      <x:c r="B109" s="37" t="n">
        <x:v>46151</x:v>
      </x:c>
      <x:c r="C109" s="26" t="str">
        <x:v>RAH01-2026-011</x:v>
      </x:c>
      <x:c r="D109" s="36" t="n">
        <x:v>6</x:v>
      </x:c>
      <x:c r="E109" s="26" t="str">
        <x:v>Risk-based lung-function examination</x:v>
      </x:c>
      <x:c r="F109" s="25" t="str">
        <x:v>NOT_APPLICABLE</x:v>
      </x:c>
      <x:c r="G109" s="25" t="str">
        <x:v>No indicated risk exam lung exposure in this department's current risk profile.</x:v>
      </x:c>
      <x:c r="H109" s="27" t="str">
        <x:v>occ_risk_exam_lung</x:v>
      </x:c>
      <x:c r="I109" s="27" t="str">
        <x:v>ASM-2026-011</x:v>
      </x:c>
      <x:c r="J109" s="27" t="str">
        <x:v>CHK-2026-011-06</x:v>
      </x:c>
    </x:row>
    <x:row r="110">
      <x:c r="A110" s="28" t="str">
        <x:v>Emergency Medical Service</x:v>
      </x:c>
      <x:c r="B110" s="37" t="n">
        <x:v>46151</x:v>
      </x:c>
      <x:c r="C110" s="26" t="str">
        <x:v>RAH01-2026-011</x:v>
      </x:c>
      <x:c r="D110" s="36" t="n">
        <x:v>7</x:v>
      </x:c>
      <x:c r="E110" s="26" t="str">
        <x:v>Risk-based hearing examination</x:v>
      </x:c>
      <x:c r="F110" s="25" t="str">
        <x:v>YES</x:v>
      </x:c>
      <x:c r="G110" s="25" t="str"/>
      <x:c r="H110" s="27" t="str">
        <x:v>occ_risk_exam_hearing</x:v>
      </x:c>
      <x:c r="I110" s="27" t="str">
        <x:v>ASM-2026-011</x:v>
      </x:c>
      <x:c r="J110" s="27" t="str">
        <x:v>CHK-2026-011-07</x:v>
      </x:c>
    </x:row>
    <x:row r="111">
      <x:c r="A111" s="28" t="str">
        <x:v>Emergency Medical Service</x:v>
      </x:c>
      <x:c r="B111" s="37" t="n">
        <x:v>46151</x:v>
      </x:c>
      <x:c r="C111" s="26" t="str">
        <x:v>RAH01-2026-011</x:v>
      </x:c>
      <x:c r="D111" s="36" t="n">
        <x:v>8</x:v>
      </x:c>
      <x:c r="E111" s="26" t="str">
        <x:v>Risk-based vision examination</x:v>
      </x:c>
      <x:c r="F111" s="25" t="str">
        <x:v>YES</x:v>
      </x:c>
      <x:c r="G111" s="25" t="str"/>
      <x:c r="H111" s="27" t="str">
        <x:v>occ_risk_exam_vision</x:v>
      </x:c>
      <x:c r="I111" s="27" t="str">
        <x:v>ASM-2026-011</x:v>
      </x:c>
      <x:c r="J111" s="27" t="str">
        <x:v>CHK-2026-011-08</x:v>
      </x:c>
    </x:row>
    <x:row r="112">
      <x:c r="A112" s="28" t="str">
        <x:v>Emergency Medical Service</x:v>
      </x:c>
      <x:c r="B112" s="37" t="n">
        <x:v>46151</x:v>
      </x:c>
      <x:c r="C112" s="26" t="str">
        <x:v>RAH01-2026-011</x:v>
      </x:c>
      <x:c r="D112" s="36" t="n">
        <x:v>9</x:v>
      </x:c>
      <x:c r="E112" s="26" t="str">
        <x:v>Biological monitoring</x:v>
      </x:c>
      <x:c r="F112" s="25" t="str">
        <x:v>YES</x:v>
      </x:c>
      <x:c r="G112" s="25" t="str"/>
      <x:c r="H112" s="27" t="str">
        <x:v>occ_bio_exam</x:v>
      </x:c>
      <x:c r="I112" s="27" t="str">
        <x:v>ASM-2026-011</x:v>
      </x:c>
      <x:c r="J112" s="27" t="str">
        <x:v>CHK-2026-011-09</x:v>
      </x:c>
    </x:row>
    <x:row r="113">
      <x:c r="A113" s="28" t="str">
        <x:v>Emergency Medical Service</x:v>
      </x:c>
      <x:c r="B113" s="37" t="n">
        <x:v>46151</x:v>
      </x:c>
      <x:c r="C113" s="26" t="str">
        <x:v>RAH01-2026-011</x:v>
      </x:c>
      <x:c r="D113" s="36" t="n">
        <x:v>10</x:v>
      </x:c>
      <x:c r="E113" s="26" t="str">
        <x:v>Workplace environmental monitoring</x:v>
      </x:c>
      <x:c r="F113" s="25" t="str">
        <x:v>NOT_APPLICABLE</x:v>
      </x:c>
      <x:c r="G113" s="25" t="str">
        <x:v>No indicated env exam exposure in this department's current risk profile.</x:v>
      </x:c>
      <x:c r="H113" s="27" t="str">
        <x:v>occ_env_exam</x:v>
      </x:c>
      <x:c r="I113" s="27" t="str">
        <x:v>ASM-2026-011</x:v>
      </x:c>
      <x:c r="J113" s="27" t="str">
        <x:v>CHK-2026-011-10</x:v>
      </x:c>
    </x:row>
    <x:row r="114">
      <x:c r="A114" s="28" t="str">
        <x:v>Endocrinology</x:v>
      </x:c>
      <x:c r="B114" s="37" t="n">
        <x:v>46185</x:v>
      </x:c>
      <x:c r="C114" s="26" t="str">
        <x:v>RAH01-2026-012</x:v>
      </x:c>
      <x:c r="D114" s="36" t="n">
        <x:v>1</x:v>
      </x:c>
      <x:c r="E114" s="26" t="str">
        <x:v>Fire prevention and suppression system</x:v>
      </x:c>
      <x:c r="F114" s="25" t="str">
        <x:v>YES</x:v>
      </x:c>
      <x:c r="G114" s="25" t="str"/>
      <x:c r="H114" s="27" t="str">
        <x:v>occ_fire_safety</x:v>
      </x:c>
      <x:c r="I114" s="27" t="str">
        <x:v>ASM-2026-012</x:v>
      </x:c>
      <x:c r="J114" s="27" t="str">
        <x:v>CHK-2026-012-01</x:v>
      </x:c>
    </x:row>
    <x:row r="115">
      <x:c r="A115" s="28" t="str">
        <x:v>Endocrinology</x:v>
      </x:c>
      <x:c r="B115" s="37" t="n">
        <x:v>46185</x:v>
      </x:c>
      <x:c r="C115" s="26" t="str">
        <x:v>RAH01-2026-012</x:v>
      </x:c>
      <x:c r="D115" s="36" t="n">
        <x:v>2</x:v>
      </x:c>
      <x:c r="E115" s="26" t="str">
        <x:v>Occupational-health education</x:v>
      </x:c>
      <x:c r="F115" s="25" t="str">
        <x:v>YES</x:v>
      </x:c>
      <x:c r="G115" s="25" t="str"/>
      <x:c r="H115" s="27" t="str">
        <x:v>occ_health_education</x:v>
      </x:c>
      <x:c r="I115" s="27" t="str">
        <x:v>ASM-2026-012</x:v>
      </x:c>
      <x:c r="J115" s="27" t="str">
        <x:v>CHK-2026-012-02</x:v>
      </x:c>
    </x:row>
    <x:row r="116">
      <x:c r="A116" s="28" t="str">
        <x:v>Endocrinology</x:v>
      </x:c>
      <x:c r="B116" s="37" t="n">
        <x:v>46185</x:v>
      </x:c>
      <x:c r="C116" s="26" t="str">
        <x:v>RAH01-2026-012</x:v>
      </x:c>
      <x:c r="D116" s="36" t="n">
        <x:v>3</x:v>
      </x:c>
      <x:c r="E116" s="26" t="str">
        <x:v>Hazardous-waste management system</x:v>
      </x:c>
      <x:c r="F116" s="25" t="str">
        <x:v>YES</x:v>
      </x:c>
      <x:c r="G116" s="25" t="str"/>
      <x:c r="H116" s="27" t="str">
        <x:v>occ_waste_management</x:v>
      </x:c>
      <x:c r="I116" s="27" t="str">
        <x:v>ASM-2026-012</x:v>
      </x:c>
      <x:c r="J116" s="27" t="str">
        <x:v>CHK-2026-012-03</x:v>
      </x:c>
    </x:row>
    <x:row r="117">
      <x:c r="A117" s="28" t="str">
        <x:v>Endocrinology</x:v>
      </x:c>
      <x:c r="B117" s="37" t="n">
        <x:v>46185</x:v>
      </x:c>
      <x:c r="C117" s="26" t="str">
        <x:v>RAH01-2026-012</x:v>
      </x:c>
      <x:c r="D117" s="36" t="n">
        <x:v>4</x:v>
      </x:c>
      <x:c r="E117" s="26" t="str">
        <x:v>Personal protective equipment measures</x:v>
      </x:c>
      <x:c r="F117" s="25" t="str">
        <x:v>YES</x:v>
      </x:c>
      <x:c r="G117" s="25" t="str"/>
      <x:c r="H117" s="27" t="str">
        <x:v>occ_ppe_measures</x:v>
      </x:c>
      <x:c r="I117" s="27" t="str">
        <x:v>ASM-2026-012</x:v>
      </x:c>
      <x:c r="J117" s="27" t="str">
        <x:v>CHK-2026-012-04</x:v>
      </x:c>
    </x:row>
    <x:row r="118">
      <x:c r="A118" s="28" t="str">
        <x:v>Endocrinology</x:v>
      </x:c>
      <x:c r="B118" s="37" t="n">
        <x:v>46185</x:v>
      </x:c>
      <x:c r="C118" s="26" t="str">
        <x:v>RAH01-2026-012</x:v>
      </x:c>
      <x:c r="D118" s="36" t="n">
        <x:v>5</x:v>
      </x:c>
      <x:c r="E118" s="26" t="str">
        <x:v>Annual health examination</x:v>
      </x:c>
      <x:c r="F118" s="25" t="str">
        <x:v>YES</x:v>
      </x:c>
      <x:c r="G118" s="25" t="str"/>
      <x:c r="H118" s="27" t="str">
        <x:v>occ_annual_health_exam</x:v>
      </x:c>
      <x:c r="I118" s="27" t="str">
        <x:v>ASM-2026-012</x:v>
      </x:c>
      <x:c r="J118" s="27" t="str">
        <x:v>CHK-2026-012-05</x:v>
      </x:c>
    </x:row>
    <x:row r="119">
      <x:c r="A119" s="28" t="str">
        <x:v>Endocrinology</x:v>
      </x:c>
      <x:c r="B119" s="37" t="n">
        <x:v>46185</x:v>
      </x:c>
      <x:c r="C119" s="26" t="str">
        <x:v>RAH01-2026-012</x:v>
      </x:c>
      <x:c r="D119" s="36" t="n">
        <x:v>6</x:v>
      </x:c>
      <x:c r="E119" s="26" t="str">
        <x:v>Risk-based lung-function examination</x:v>
      </x:c>
      <x:c r="F119" s="25" t="str">
        <x:v>YES</x:v>
      </x:c>
      <x:c r="G119" s="25" t="str"/>
      <x:c r="H119" s="27" t="str">
        <x:v>occ_risk_exam_lung</x:v>
      </x:c>
      <x:c r="I119" s="27" t="str">
        <x:v>ASM-2026-012</x:v>
      </x:c>
      <x:c r="J119" s="27" t="str">
        <x:v>CHK-2026-012-06</x:v>
      </x:c>
    </x:row>
    <x:row r="120">
      <x:c r="A120" s="28" t="str">
        <x:v>Endocrinology</x:v>
      </x:c>
      <x:c r="B120" s="37" t="n">
        <x:v>46185</x:v>
      </x:c>
      <x:c r="C120" s="26" t="str">
        <x:v>RAH01-2026-012</x:v>
      </x:c>
      <x:c r="D120" s="36" t="n">
        <x:v>7</x:v>
      </x:c>
      <x:c r="E120" s="26" t="str">
        <x:v>Risk-based hearing examination</x:v>
      </x:c>
      <x:c r="F120" s="25" t="str">
        <x:v>YES</x:v>
      </x:c>
      <x:c r="G120" s="25" t="str"/>
      <x:c r="H120" s="27" t="str">
        <x:v>occ_risk_exam_hearing</x:v>
      </x:c>
      <x:c r="I120" s="27" t="str">
        <x:v>ASM-2026-012</x:v>
      </x:c>
      <x:c r="J120" s="27" t="str">
        <x:v>CHK-2026-012-07</x:v>
      </x:c>
    </x:row>
    <x:row r="121">
      <x:c r="A121" s="28" t="str">
        <x:v>Endocrinology</x:v>
      </x:c>
      <x:c r="B121" s="37" t="n">
        <x:v>46185</x:v>
      </x:c>
      <x:c r="C121" s="26" t="str">
        <x:v>RAH01-2026-012</x:v>
      </x:c>
      <x:c r="D121" s="36" t="n">
        <x:v>8</x:v>
      </x:c>
      <x:c r="E121" s="26" t="str">
        <x:v>Risk-based vision examination</x:v>
      </x:c>
      <x:c r="F121" s="25" t="str">
        <x:v>YES</x:v>
      </x:c>
      <x:c r="G121" s="25" t="str"/>
      <x:c r="H121" s="27" t="str">
        <x:v>occ_risk_exam_vision</x:v>
      </x:c>
      <x:c r="I121" s="27" t="str">
        <x:v>ASM-2026-012</x:v>
      </x:c>
      <x:c r="J121" s="27" t="str">
        <x:v>CHK-2026-012-08</x:v>
      </x:c>
    </x:row>
    <x:row r="122">
      <x:c r="A122" s="28" t="str">
        <x:v>Endocrinology</x:v>
      </x:c>
      <x:c r="B122" s="37" t="n">
        <x:v>46185</x:v>
      </x:c>
      <x:c r="C122" s="26" t="str">
        <x:v>RAH01-2026-012</x:v>
      </x:c>
      <x:c r="D122" s="36" t="n">
        <x:v>9</x:v>
      </x:c>
      <x:c r="E122" s="26" t="str">
        <x:v>Biological monitoring</x:v>
      </x:c>
      <x:c r="F122" s="25" t="str">
        <x:v>NOT_APPLICABLE</x:v>
      </x:c>
      <x:c r="G122" s="25" t="str">
        <x:v>No indicated bio exam exposure in this department's current risk profile.</x:v>
      </x:c>
      <x:c r="H122" s="27" t="str">
        <x:v>occ_bio_exam</x:v>
      </x:c>
      <x:c r="I122" s="27" t="str">
        <x:v>ASM-2026-012</x:v>
      </x:c>
      <x:c r="J122" s="27" t="str">
        <x:v>CHK-2026-012-09</x:v>
      </x:c>
    </x:row>
    <x:row r="123">
      <x:c r="A123" s="28" t="str">
        <x:v>Endocrinology</x:v>
      </x:c>
      <x:c r="B123" s="37" t="n">
        <x:v>46185</x:v>
      </x:c>
      <x:c r="C123" s="26" t="str">
        <x:v>RAH01-2026-012</x:v>
      </x:c>
      <x:c r="D123" s="36" t="n">
        <x:v>10</x:v>
      </x:c>
      <x:c r="E123" s="26" t="str">
        <x:v>Workplace environmental monitoring</x:v>
      </x:c>
      <x:c r="F123" s="25" t="str">
        <x:v>YES</x:v>
      </x:c>
      <x:c r="G123" s="25" t="str"/>
      <x:c r="H123" s="27" t="str">
        <x:v>occ_env_exam</x:v>
      </x:c>
      <x:c r="I123" s="27" t="str">
        <x:v>ASM-2026-012</x:v>
      </x:c>
      <x:c r="J123" s="27" t="str">
        <x:v>CHK-2026-012-10</x:v>
      </x:c>
    </x:row>
    <x:row r="124">
      <x:c r="A124" s="28" t="str">
        <x:v>ENT</x:v>
      </x:c>
      <x:c r="B124" s="37" t="n">
        <x:v>46037</x:v>
      </x:c>
      <x:c r="C124" s="26" t="str">
        <x:v>RAH01-2026-013</x:v>
      </x:c>
      <x:c r="D124" s="36" t="n">
        <x:v>1</x:v>
      </x:c>
      <x:c r="E124" s="26" t="str">
        <x:v>Fire prevention and suppression system</x:v>
      </x:c>
      <x:c r="F124" s="25" t="str">
        <x:v>YES</x:v>
      </x:c>
      <x:c r="G124" s="25" t="str"/>
      <x:c r="H124" s="27" t="str">
        <x:v>occ_fire_safety</x:v>
      </x:c>
      <x:c r="I124" s="27" t="str">
        <x:v>ASM-2026-013</x:v>
      </x:c>
      <x:c r="J124" s="27" t="str">
        <x:v>CHK-2026-013-01</x:v>
      </x:c>
    </x:row>
    <x:row r="125">
      <x:c r="A125" s="28" t="str">
        <x:v>ENT</x:v>
      </x:c>
      <x:c r="B125" s="37" t="n">
        <x:v>46037</x:v>
      </x:c>
      <x:c r="C125" s="26" t="str">
        <x:v>RAH01-2026-013</x:v>
      </x:c>
      <x:c r="D125" s="36" t="n">
        <x:v>2</x:v>
      </x:c>
      <x:c r="E125" s="26" t="str">
        <x:v>Occupational-health education</x:v>
      </x:c>
      <x:c r="F125" s="25" t="str">
        <x:v>YES</x:v>
      </x:c>
      <x:c r="G125" s="25" t="str"/>
      <x:c r="H125" s="27" t="str">
        <x:v>occ_health_education</x:v>
      </x:c>
      <x:c r="I125" s="27" t="str">
        <x:v>ASM-2026-013</x:v>
      </x:c>
      <x:c r="J125" s="27" t="str">
        <x:v>CHK-2026-013-02</x:v>
      </x:c>
    </x:row>
    <x:row r="126">
      <x:c r="A126" s="28" t="str">
        <x:v>ENT</x:v>
      </x:c>
      <x:c r="B126" s="37" t="n">
        <x:v>46037</x:v>
      </x:c>
      <x:c r="C126" s="26" t="str">
        <x:v>RAH01-2026-013</x:v>
      </x:c>
      <x:c r="D126" s="36" t="n">
        <x:v>3</x:v>
      </x:c>
      <x:c r="E126" s="26" t="str">
        <x:v>Hazardous-waste management system</x:v>
      </x:c>
      <x:c r="F126" s="25" t="str">
        <x:v>YES</x:v>
      </x:c>
      <x:c r="G126" s="25" t="str"/>
      <x:c r="H126" s="27" t="str">
        <x:v>occ_waste_management</x:v>
      </x:c>
      <x:c r="I126" s="27" t="str">
        <x:v>ASM-2026-013</x:v>
      </x:c>
      <x:c r="J126" s="27" t="str">
        <x:v>CHK-2026-013-03</x:v>
      </x:c>
    </x:row>
    <x:row r="127">
      <x:c r="A127" s="28" t="str">
        <x:v>ENT</x:v>
      </x:c>
      <x:c r="B127" s="37" t="n">
        <x:v>46037</x:v>
      </x:c>
      <x:c r="C127" s="26" t="str">
        <x:v>RAH01-2026-013</x:v>
      </x:c>
      <x:c r="D127" s="36" t="n">
        <x:v>4</x:v>
      </x:c>
      <x:c r="E127" s="26" t="str">
        <x:v>Personal protective equipment measures</x:v>
      </x:c>
      <x:c r="F127" s="25" t="str">
        <x:v>YES</x:v>
      </x:c>
      <x:c r="G127" s="25" t="str"/>
      <x:c r="H127" s="27" t="str">
        <x:v>occ_ppe_measures</x:v>
      </x:c>
      <x:c r="I127" s="27" t="str">
        <x:v>ASM-2026-013</x:v>
      </x:c>
      <x:c r="J127" s="27" t="str">
        <x:v>CHK-2026-013-04</x:v>
      </x:c>
    </x:row>
    <x:row r="128">
      <x:c r="A128" s="28" t="str">
        <x:v>ENT</x:v>
      </x:c>
      <x:c r="B128" s="37" t="n">
        <x:v>46037</x:v>
      </x:c>
      <x:c r="C128" s="26" t="str">
        <x:v>RAH01-2026-013</x:v>
      </x:c>
      <x:c r="D128" s="36" t="n">
        <x:v>5</x:v>
      </x:c>
      <x:c r="E128" s="26" t="str">
        <x:v>Annual health examination</x:v>
      </x:c>
      <x:c r="F128" s="25" t="str">
        <x:v>YES</x:v>
      </x:c>
      <x:c r="G128" s="25" t="str"/>
      <x:c r="H128" s="27" t="str">
        <x:v>occ_annual_health_exam</x:v>
      </x:c>
      <x:c r="I128" s="27" t="str">
        <x:v>ASM-2026-013</x:v>
      </x:c>
      <x:c r="J128" s="27" t="str">
        <x:v>CHK-2026-013-05</x:v>
      </x:c>
    </x:row>
    <x:row r="129">
      <x:c r="A129" s="28" t="str">
        <x:v>ENT</x:v>
      </x:c>
      <x:c r="B129" s="37" t="n">
        <x:v>46037</x:v>
      </x:c>
      <x:c r="C129" s="26" t="str">
        <x:v>RAH01-2026-013</x:v>
      </x:c>
      <x:c r="D129" s="36" t="n">
        <x:v>6</x:v>
      </x:c>
      <x:c r="E129" s="26" t="str">
        <x:v>Risk-based lung-function examination</x:v>
      </x:c>
      <x:c r="F129" s="25" t="str">
        <x:v>YES</x:v>
      </x:c>
      <x:c r="G129" s="25" t="str"/>
      <x:c r="H129" s="27" t="str">
        <x:v>occ_risk_exam_lung</x:v>
      </x:c>
      <x:c r="I129" s="27" t="str">
        <x:v>ASM-2026-013</x:v>
      </x:c>
      <x:c r="J129" s="27" t="str">
        <x:v>CHK-2026-013-06</x:v>
      </x:c>
    </x:row>
    <x:row r="130">
      <x:c r="A130" s="28" t="str">
        <x:v>ENT</x:v>
      </x:c>
      <x:c r="B130" s="37" t="n">
        <x:v>46037</x:v>
      </x:c>
      <x:c r="C130" s="26" t="str">
        <x:v>RAH01-2026-013</x:v>
      </x:c>
      <x:c r="D130" s="36" t="n">
        <x:v>7</x:v>
      </x:c>
      <x:c r="E130" s="26" t="str">
        <x:v>Risk-based hearing examination</x:v>
      </x:c>
      <x:c r="F130" s="25" t="str">
        <x:v>YES</x:v>
      </x:c>
      <x:c r="G130" s="25" t="str"/>
      <x:c r="H130" s="27" t="str">
        <x:v>occ_risk_exam_hearing</x:v>
      </x:c>
      <x:c r="I130" s="27" t="str">
        <x:v>ASM-2026-013</x:v>
      </x:c>
      <x:c r="J130" s="27" t="str">
        <x:v>CHK-2026-013-07</x:v>
      </x:c>
    </x:row>
    <x:row r="131">
      <x:c r="A131" s="28" t="str">
        <x:v>ENT</x:v>
      </x:c>
      <x:c r="B131" s="37" t="n">
        <x:v>46037</x:v>
      </x:c>
      <x:c r="C131" s="26" t="str">
        <x:v>RAH01-2026-013</x:v>
      </x:c>
      <x:c r="D131" s="36" t="n">
        <x:v>8</x:v>
      </x:c>
      <x:c r="E131" s="26" t="str">
        <x:v>Risk-based vision examination</x:v>
      </x:c>
      <x:c r="F131" s="25" t="str">
        <x:v>NOT_APPLICABLE</x:v>
      </x:c>
      <x:c r="G131" s="25" t="str">
        <x:v>No indicated risk exam vision exposure in this department's current risk profile.</x:v>
      </x:c>
      <x:c r="H131" s="27" t="str">
        <x:v>occ_risk_exam_vision</x:v>
      </x:c>
      <x:c r="I131" s="27" t="str">
        <x:v>ASM-2026-013</x:v>
      </x:c>
      <x:c r="J131" s="27" t="str">
        <x:v>CHK-2026-013-08</x:v>
      </x:c>
    </x:row>
    <x:row r="132">
      <x:c r="A132" s="28" t="str">
        <x:v>ENT</x:v>
      </x:c>
      <x:c r="B132" s="37" t="n">
        <x:v>46037</x:v>
      </x:c>
      <x:c r="C132" s="26" t="str">
        <x:v>RAH01-2026-013</x:v>
      </x:c>
      <x:c r="D132" s="36" t="n">
        <x:v>9</x:v>
      </x:c>
      <x:c r="E132" s="26" t="str">
        <x:v>Biological monitoring</x:v>
      </x:c>
      <x:c r="F132" s="25" t="str">
        <x:v>YES</x:v>
      </x:c>
      <x:c r="G132" s="25" t="str"/>
      <x:c r="H132" s="27" t="str">
        <x:v>occ_bio_exam</x:v>
      </x:c>
      <x:c r="I132" s="27" t="str">
        <x:v>ASM-2026-013</x:v>
      </x:c>
      <x:c r="J132" s="27" t="str">
        <x:v>CHK-2026-013-09</x:v>
      </x:c>
    </x:row>
    <x:row r="133">
      <x:c r="A133" s="28" t="str">
        <x:v>ENT</x:v>
      </x:c>
      <x:c r="B133" s="37" t="n">
        <x:v>46037</x:v>
      </x:c>
      <x:c r="C133" s="26" t="str">
        <x:v>RAH01-2026-013</x:v>
      </x:c>
      <x:c r="D133" s="36" t="n">
        <x:v>10</x:v>
      </x:c>
      <x:c r="E133" s="26" t="str">
        <x:v>Workplace environmental monitoring</x:v>
      </x:c>
      <x:c r="F133" s="25" t="str">
        <x:v>YES</x:v>
      </x:c>
      <x:c r="G133" s="25" t="str"/>
      <x:c r="H133" s="27" t="str">
        <x:v>occ_env_exam</x:v>
      </x:c>
      <x:c r="I133" s="27" t="str">
        <x:v>ASM-2026-013</x:v>
      </x:c>
      <x:c r="J133" s="27" t="str">
        <x:v>CHK-2026-013-10</x:v>
      </x:c>
    </x:row>
    <x:row r="134">
      <x:c r="A134" s="28" t="str">
        <x:v>Environmental Health</x:v>
      </x:c>
      <x:c r="B134" s="37" t="n">
        <x:v>46071</x:v>
      </x:c>
      <x:c r="C134" s="26" t="str">
        <x:v>RAH01-2026-014</x:v>
      </x:c>
      <x:c r="D134" s="36" t="n">
        <x:v>1</x:v>
      </x:c>
      <x:c r="E134" s="26" t="str">
        <x:v>Fire prevention and suppression system</x:v>
      </x:c>
      <x:c r="F134" s="25" t="str">
        <x:v>YES</x:v>
      </x:c>
      <x:c r="G134" s="25" t="str"/>
      <x:c r="H134" s="27" t="str">
        <x:v>occ_fire_safety</x:v>
      </x:c>
      <x:c r="I134" s="27" t="str">
        <x:v>ASM-2026-014</x:v>
      </x:c>
      <x:c r="J134" s="27" t="str">
        <x:v>CHK-2026-014-01</x:v>
      </x:c>
    </x:row>
    <x:row r="135">
      <x:c r="A135" s="28" t="str">
        <x:v>Environmental Health</x:v>
      </x:c>
      <x:c r="B135" s="37" t="n">
        <x:v>46071</x:v>
      </x:c>
      <x:c r="C135" s="26" t="str">
        <x:v>RAH01-2026-014</x:v>
      </x:c>
      <x:c r="D135" s="36" t="n">
        <x:v>2</x:v>
      </x:c>
      <x:c r="E135" s="26" t="str">
        <x:v>Occupational-health education</x:v>
      </x:c>
      <x:c r="F135" s="25" t="str">
        <x:v>YES</x:v>
      </x:c>
      <x:c r="G135" s="25" t="str"/>
      <x:c r="H135" s="27" t="str">
        <x:v>occ_health_education</x:v>
      </x:c>
      <x:c r="I135" s="27" t="str">
        <x:v>ASM-2026-014</x:v>
      </x:c>
      <x:c r="J135" s="27" t="str">
        <x:v>CHK-2026-014-02</x:v>
      </x:c>
    </x:row>
    <x:row r="136">
      <x:c r="A136" s="28" t="str">
        <x:v>Environmental Health</x:v>
      </x:c>
      <x:c r="B136" s="37" t="n">
        <x:v>46071</x:v>
      </x:c>
      <x:c r="C136" s="26" t="str">
        <x:v>RAH01-2026-014</x:v>
      </x:c>
      <x:c r="D136" s="36" t="n">
        <x:v>3</x:v>
      </x:c>
      <x:c r="E136" s="26" t="str">
        <x:v>Hazardous-waste management system</x:v>
      </x:c>
      <x:c r="F136" s="25" t="str">
        <x:v>YES</x:v>
      </x:c>
      <x:c r="G136" s="25" t="str"/>
      <x:c r="H136" s="27" t="str">
        <x:v>occ_waste_management</x:v>
      </x:c>
      <x:c r="I136" s="27" t="str">
        <x:v>ASM-2026-014</x:v>
      </x:c>
      <x:c r="J136" s="27" t="str">
        <x:v>CHK-2026-014-03</x:v>
      </x:c>
    </x:row>
    <x:row r="137">
      <x:c r="A137" s="28" t="str">
        <x:v>Environmental Health</x:v>
      </x:c>
      <x:c r="B137" s="37" t="n">
        <x:v>46071</x:v>
      </x:c>
      <x:c r="C137" s="26" t="str">
        <x:v>RAH01-2026-014</x:v>
      </x:c>
      <x:c r="D137" s="36" t="n">
        <x:v>4</x:v>
      </x:c>
      <x:c r="E137" s="26" t="str">
        <x:v>Personal protective equipment measures</x:v>
      </x:c>
      <x:c r="F137" s="25" t="str">
        <x:v>YES</x:v>
      </x:c>
      <x:c r="G137" s="25" t="str"/>
      <x:c r="H137" s="27" t="str">
        <x:v>occ_ppe_measures</x:v>
      </x:c>
      <x:c r="I137" s="27" t="str">
        <x:v>ASM-2026-014</x:v>
      </x:c>
      <x:c r="J137" s="27" t="str">
        <x:v>CHK-2026-014-04</x:v>
      </x:c>
    </x:row>
    <x:row r="138">
      <x:c r="A138" s="28" t="str">
        <x:v>Environmental Health</x:v>
      </x:c>
      <x:c r="B138" s="37" t="n">
        <x:v>46071</x:v>
      </x:c>
      <x:c r="C138" s="26" t="str">
        <x:v>RAH01-2026-014</x:v>
      </x:c>
      <x:c r="D138" s="36" t="n">
        <x:v>5</x:v>
      </x:c>
      <x:c r="E138" s="26" t="str">
        <x:v>Annual health examination</x:v>
      </x:c>
      <x:c r="F138" s="25" t="str">
        <x:v>YES</x:v>
      </x:c>
      <x:c r="G138" s="25" t="str"/>
      <x:c r="H138" s="27" t="str">
        <x:v>occ_annual_health_exam</x:v>
      </x:c>
      <x:c r="I138" s="27" t="str">
        <x:v>ASM-2026-014</x:v>
      </x:c>
      <x:c r="J138" s="27" t="str">
        <x:v>CHK-2026-014-05</x:v>
      </x:c>
    </x:row>
    <x:row r="139">
      <x:c r="A139" s="28" t="str">
        <x:v>Environmental Health</x:v>
      </x:c>
      <x:c r="B139" s="37" t="n">
        <x:v>46071</x:v>
      </x:c>
      <x:c r="C139" s="26" t="str">
        <x:v>RAH01-2026-014</x:v>
      </x:c>
      <x:c r="D139" s="36" t="n">
        <x:v>6</x:v>
      </x:c>
      <x:c r="E139" s="26" t="str">
        <x:v>Risk-based lung-function examination</x:v>
      </x:c>
      <x:c r="F139" s="25" t="str">
        <x:v>YES</x:v>
      </x:c>
      <x:c r="G139" s="25" t="str"/>
      <x:c r="H139" s="27" t="str">
        <x:v>occ_risk_exam_lung</x:v>
      </x:c>
      <x:c r="I139" s="27" t="str">
        <x:v>ASM-2026-014</x:v>
      </x:c>
      <x:c r="J139" s="27" t="str">
        <x:v>CHK-2026-014-06</x:v>
      </x:c>
    </x:row>
    <x:row r="140">
      <x:c r="A140" s="28" t="str">
        <x:v>Environmental Health</x:v>
      </x:c>
      <x:c r="B140" s="37" t="n">
        <x:v>46071</x:v>
      </x:c>
      <x:c r="C140" s="26" t="str">
        <x:v>RAH01-2026-014</x:v>
      </x:c>
      <x:c r="D140" s="36" t="n">
        <x:v>7</x:v>
      </x:c>
      <x:c r="E140" s="26" t="str">
        <x:v>Risk-based hearing examination</x:v>
      </x:c>
      <x:c r="F140" s="25" t="str">
        <x:v>NOT_APPLICABLE</x:v>
      </x:c>
      <x:c r="G140" s="25" t="str">
        <x:v>No indicated risk exam hearing exposure in this department's current risk profile.</x:v>
      </x:c>
      <x:c r="H140" s="27" t="str">
        <x:v>occ_risk_exam_hearing</x:v>
      </x:c>
      <x:c r="I140" s="27" t="str">
        <x:v>ASM-2026-014</x:v>
      </x:c>
      <x:c r="J140" s="27" t="str">
        <x:v>CHK-2026-014-07</x:v>
      </x:c>
    </x:row>
    <x:row r="141">
      <x:c r="A141" s="28" t="str">
        <x:v>Environmental Health</x:v>
      </x:c>
      <x:c r="B141" s="37" t="n">
        <x:v>46071</x:v>
      </x:c>
      <x:c r="C141" s="26" t="str">
        <x:v>RAH01-2026-014</x:v>
      </x:c>
      <x:c r="D141" s="36" t="n">
        <x:v>8</x:v>
      </x:c>
      <x:c r="E141" s="26" t="str">
        <x:v>Risk-based vision examination</x:v>
      </x:c>
      <x:c r="F141" s="25" t="str">
        <x:v>YES</x:v>
      </x:c>
      <x:c r="G141" s="25" t="str"/>
      <x:c r="H141" s="27" t="str">
        <x:v>occ_risk_exam_vision</x:v>
      </x:c>
      <x:c r="I141" s="27" t="str">
        <x:v>ASM-2026-014</x:v>
      </x:c>
      <x:c r="J141" s="27" t="str">
        <x:v>CHK-2026-014-08</x:v>
      </x:c>
    </x:row>
    <x:row r="142">
      <x:c r="A142" s="28" t="str">
        <x:v>Environmental Health</x:v>
      </x:c>
      <x:c r="B142" s="37" t="n">
        <x:v>46071</x:v>
      </x:c>
      <x:c r="C142" s="26" t="str">
        <x:v>RAH01-2026-014</x:v>
      </x:c>
      <x:c r="D142" s="36" t="n">
        <x:v>9</x:v>
      </x:c>
      <x:c r="E142" s="26" t="str">
        <x:v>Biological monitoring</x:v>
      </x:c>
      <x:c r="F142" s="25" t="str">
        <x:v>YES</x:v>
      </x:c>
      <x:c r="G142" s="25" t="str"/>
      <x:c r="H142" s="27" t="str">
        <x:v>occ_bio_exam</x:v>
      </x:c>
      <x:c r="I142" s="27" t="str">
        <x:v>ASM-2026-014</x:v>
      </x:c>
      <x:c r="J142" s="27" t="str">
        <x:v>CHK-2026-014-09</x:v>
      </x:c>
    </x:row>
    <x:row r="143">
      <x:c r="A143" s="28" t="str">
        <x:v>Environmental Health</x:v>
      </x:c>
      <x:c r="B143" s="37" t="n">
        <x:v>46071</x:v>
      </x:c>
      <x:c r="C143" s="26" t="str">
        <x:v>RAH01-2026-014</x:v>
      </x:c>
      <x:c r="D143" s="36" t="n">
        <x:v>10</x:v>
      </x:c>
      <x:c r="E143" s="26" t="str">
        <x:v>Workplace environmental monitoring</x:v>
      </x:c>
      <x:c r="F143" s="25" t="str">
        <x:v>NO</x:v>
      </x:c>
      <x:c r="G143" s="25" t="str"/>
      <x:c r="H143" s="27" t="str">
        <x:v>occ_env_exam</x:v>
      </x:c>
      <x:c r="I143" s="27" t="str">
        <x:v>ASM-2026-014</x:v>
      </x:c>
      <x:c r="J143" s="27" t="str">
        <x:v>CHK-2026-014-10</x:v>
      </x:c>
    </x:row>
    <x:row r="144">
      <x:c r="A144" s="28" t="str">
        <x:v>Eye Clinic</x:v>
      </x:c>
      <x:c r="B144" s="37" t="n">
        <x:v>46102</x:v>
      </x:c>
      <x:c r="C144" s="26" t="str">
        <x:v>RAH01-2026-015</x:v>
      </x:c>
      <x:c r="D144" s="36" t="n">
        <x:v>1</x:v>
      </x:c>
      <x:c r="E144" s="26" t="str">
        <x:v>Fire prevention and suppression system</x:v>
      </x:c>
      <x:c r="F144" s="25" t="str">
        <x:v>YES</x:v>
      </x:c>
      <x:c r="G144" s="25" t="str"/>
      <x:c r="H144" s="27" t="str">
        <x:v>occ_fire_safety</x:v>
      </x:c>
      <x:c r="I144" s="27" t="str">
        <x:v>ASM-2026-015</x:v>
      </x:c>
      <x:c r="J144" s="27" t="str">
        <x:v>CHK-2026-015-01</x:v>
      </x:c>
    </x:row>
    <x:row r="145">
      <x:c r="A145" s="28" t="str">
        <x:v>Eye Clinic</x:v>
      </x:c>
      <x:c r="B145" s="37" t="n">
        <x:v>46102</x:v>
      </x:c>
      <x:c r="C145" s="26" t="str">
        <x:v>RAH01-2026-015</x:v>
      </x:c>
      <x:c r="D145" s="36" t="n">
        <x:v>2</x:v>
      </x:c>
      <x:c r="E145" s="26" t="str">
        <x:v>Occupational-health education</x:v>
      </x:c>
      <x:c r="F145" s="25" t="str">
        <x:v>YES</x:v>
      </x:c>
      <x:c r="G145" s="25" t="str"/>
      <x:c r="H145" s="27" t="str">
        <x:v>occ_health_education</x:v>
      </x:c>
      <x:c r="I145" s="27" t="str">
        <x:v>ASM-2026-015</x:v>
      </x:c>
      <x:c r="J145" s="27" t="str">
        <x:v>CHK-2026-015-02</x:v>
      </x:c>
    </x:row>
    <x:row r="146">
      <x:c r="A146" s="28" t="str">
        <x:v>Eye Clinic</x:v>
      </x:c>
      <x:c r="B146" s="37" t="n">
        <x:v>46102</x:v>
      </x:c>
      <x:c r="C146" s="26" t="str">
        <x:v>RAH01-2026-015</x:v>
      </x:c>
      <x:c r="D146" s="36" t="n">
        <x:v>3</x:v>
      </x:c>
      <x:c r="E146" s="26" t="str">
        <x:v>Hazardous-waste management system</x:v>
      </x:c>
      <x:c r="F146" s="25" t="str">
        <x:v>YES</x:v>
      </x:c>
      <x:c r="G146" s="25" t="str"/>
      <x:c r="H146" s="27" t="str">
        <x:v>occ_waste_management</x:v>
      </x:c>
      <x:c r="I146" s="27" t="str">
        <x:v>ASM-2026-015</x:v>
      </x:c>
      <x:c r="J146" s="27" t="str">
        <x:v>CHK-2026-015-03</x:v>
      </x:c>
    </x:row>
    <x:row r="147">
      <x:c r="A147" s="28" t="str">
        <x:v>Eye Clinic</x:v>
      </x:c>
      <x:c r="B147" s="37" t="n">
        <x:v>46102</x:v>
      </x:c>
      <x:c r="C147" s="26" t="str">
        <x:v>RAH01-2026-015</x:v>
      </x:c>
      <x:c r="D147" s="36" t="n">
        <x:v>4</x:v>
      </x:c>
      <x:c r="E147" s="26" t="str">
        <x:v>Personal protective equipment measures</x:v>
      </x:c>
      <x:c r="F147" s="25" t="str">
        <x:v>YES</x:v>
      </x:c>
      <x:c r="G147" s="25" t="str"/>
      <x:c r="H147" s="27" t="str">
        <x:v>occ_ppe_measures</x:v>
      </x:c>
      <x:c r="I147" s="27" t="str">
        <x:v>ASM-2026-015</x:v>
      </x:c>
      <x:c r="J147" s="27" t="str">
        <x:v>CHK-2026-015-04</x:v>
      </x:c>
    </x:row>
    <x:row r="148">
      <x:c r="A148" s="28" t="str">
        <x:v>Eye Clinic</x:v>
      </x:c>
      <x:c r="B148" s="37" t="n">
        <x:v>46102</x:v>
      </x:c>
      <x:c r="C148" s="26" t="str">
        <x:v>RAH01-2026-015</x:v>
      </x:c>
      <x:c r="D148" s="36" t="n">
        <x:v>5</x:v>
      </x:c>
      <x:c r="E148" s="26" t="str">
        <x:v>Annual health examination</x:v>
      </x:c>
      <x:c r="F148" s="25" t="str">
        <x:v>YES</x:v>
      </x:c>
      <x:c r="G148" s="25" t="str"/>
      <x:c r="H148" s="27" t="str">
        <x:v>occ_annual_health_exam</x:v>
      </x:c>
      <x:c r="I148" s="27" t="str">
        <x:v>ASM-2026-015</x:v>
      </x:c>
      <x:c r="J148" s="27" t="str">
        <x:v>CHK-2026-015-05</x:v>
      </x:c>
    </x:row>
    <x:row r="149">
      <x:c r="A149" s="28" t="str">
        <x:v>Eye Clinic</x:v>
      </x:c>
      <x:c r="B149" s="37" t="n">
        <x:v>46102</x:v>
      </x:c>
      <x:c r="C149" s="26" t="str">
        <x:v>RAH01-2026-015</x:v>
      </x:c>
      <x:c r="D149" s="36" t="n">
        <x:v>6</x:v>
      </x:c>
      <x:c r="E149" s="26" t="str">
        <x:v>Risk-based lung-function examination</x:v>
      </x:c>
      <x:c r="F149" s="25" t="str">
        <x:v>NOT_APPLICABLE</x:v>
      </x:c>
      <x:c r="G149" s="25" t="str">
        <x:v>No indicated risk exam lung exposure in this department's current risk profile.</x:v>
      </x:c>
      <x:c r="H149" s="27" t="str">
        <x:v>occ_risk_exam_lung</x:v>
      </x:c>
      <x:c r="I149" s="27" t="str">
        <x:v>ASM-2026-015</x:v>
      </x:c>
      <x:c r="J149" s="27" t="str">
        <x:v>CHK-2026-015-06</x:v>
      </x:c>
    </x:row>
    <x:row r="150">
      <x:c r="A150" s="28" t="str">
        <x:v>Eye Clinic</x:v>
      </x:c>
      <x:c r="B150" s="37" t="n">
        <x:v>46102</x:v>
      </x:c>
      <x:c r="C150" s="26" t="str">
        <x:v>RAH01-2026-015</x:v>
      </x:c>
      <x:c r="D150" s="36" t="n">
        <x:v>7</x:v>
      </x:c>
      <x:c r="E150" s="26" t="str">
        <x:v>Risk-based hearing examination</x:v>
      </x:c>
      <x:c r="F150" s="25" t="str">
        <x:v>NO</x:v>
      </x:c>
      <x:c r="G150" s="25" t="str"/>
      <x:c r="H150" s="27" t="str">
        <x:v>occ_risk_exam_hearing</x:v>
      </x:c>
      <x:c r="I150" s="27" t="str">
        <x:v>ASM-2026-015</x:v>
      </x:c>
      <x:c r="J150" s="27" t="str">
        <x:v>CHK-2026-015-07</x:v>
      </x:c>
    </x:row>
    <x:row r="151">
      <x:c r="A151" s="28" t="str">
        <x:v>Eye Clinic</x:v>
      </x:c>
      <x:c r="B151" s="37" t="n">
        <x:v>46102</x:v>
      </x:c>
      <x:c r="C151" s="26" t="str">
        <x:v>RAH01-2026-015</x:v>
      </x:c>
      <x:c r="D151" s="36" t="n">
        <x:v>8</x:v>
      </x:c>
      <x:c r="E151" s="26" t="str">
        <x:v>Risk-based vision examination</x:v>
      </x:c>
      <x:c r="F151" s="25" t="str">
        <x:v>YES</x:v>
      </x:c>
      <x:c r="G151" s="25" t="str"/>
      <x:c r="H151" s="27" t="str">
        <x:v>occ_risk_exam_vision</x:v>
      </x:c>
      <x:c r="I151" s="27" t="str">
        <x:v>ASM-2026-015</x:v>
      </x:c>
      <x:c r="J151" s="27" t="str">
        <x:v>CHK-2026-015-08</x:v>
      </x:c>
    </x:row>
    <x:row r="152">
      <x:c r="A152" s="28" t="str">
        <x:v>Eye Clinic</x:v>
      </x:c>
      <x:c r="B152" s="37" t="n">
        <x:v>46102</x:v>
      </x:c>
      <x:c r="C152" s="26" t="str">
        <x:v>RAH01-2026-015</x:v>
      </x:c>
      <x:c r="D152" s="36" t="n">
        <x:v>9</x:v>
      </x:c>
      <x:c r="E152" s="26" t="str">
        <x:v>Biological monitoring</x:v>
      </x:c>
      <x:c r="F152" s="25" t="str">
        <x:v>YES</x:v>
      </x:c>
      <x:c r="G152" s="25" t="str"/>
      <x:c r="H152" s="27" t="str">
        <x:v>occ_bio_exam</x:v>
      </x:c>
      <x:c r="I152" s="27" t="str">
        <x:v>ASM-2026-015</x:v>
      </x:c>
      <x:c r="J152" s="27" t="str">
        <x:v>CHK-2026-015-09</x:v>
      </x:c>
    </x:row>
    <x:row r="153">
      <x:c r="A153" s="28" t="str">
        <x:v>Eye Clinic</x:v>
      </x:c>
      <x:c r="B153" s="37" t="n">
        <x:v>46102</x:v>
      </x:c>
      <x:c r="C153" s="26" t="str">
        <x:v>RAH01-2026-015</x:v>
      </x:c>
      <x:c r="D153" s="36" t="n">
        <x:v>10</x:v>
      </x:c>
      <x:c r="E153" s="26" t="str">
        <x:v>Workplace environmental monitoring</x:v>
      </x:c>
      <x:c r="F153" s="25" t="str">
        <x:v>NOT_APPLICABLE</x:v>
      </x:c>
      <x:c r="G153" s="25" t="str">
        <x:v>No indicated env exam exposure in this department's current risk profile.</x:v>
      </x:c>
      <x:c r="H153" s="27" t="str">
        <x:v>occ_env_exam</x:v>
      </x:c>
      <x:c r="I153" s="27" t="str">
        <x:v>ASM-2026-015</x:v>
      </x:c>
      <x:c r="J153" s="27" t="str">
        <x:v>CHK-2026-015-10</x:v>
      </x:c>
    </x:row>
    <x:row r="154">
      <x:c r="A154" s="28" t="str">
        <x:v>Family Medicine</x:v>
      </x:c>
      <x:c r="B154" s="37" t="n">
        <x:v>46136</x:v>
      </x:c>
      <x:c r="C154" s="26" t="str">
        <x:v>RAH01-2026-016</x:v>
      </x:c>
      <x:c r="D154" s="36" t="n">
        <x:v>1</x:v>
      </x:c>
      <x:c r="E154" s="26" t="str">
        <x:v>Fire prevention and suppression system</x:v>
      </x:c>
      <x:c r="F154" s="25" t="str">
        <x:v>YES</x:v>
      </x:c>
      <x:c r="G154" s="25" t="str"/>
      <x:c r="H154" s="27" t="str">
        <x:v>occ_fire_safety</x:v>
      </x:c>
      <x:c r="I154" s="27" t="str">
        <x:v>ASM-2026-016</x:v>
      </x:c>
      <x:c r="J154" s="27" t="str">
        <x:v>CHK-2026-016-01</x:v>
      </x:c>
    </x:row>
    <x:row r="155">
      <x:c r="A155" s="28" t="str">
        <x:v>Family Medicine</x:v>
      </x:c>
      <x:c r="B155" s="37" t="n">
        <x:v>46136</x:v>
      </x:c>
      <x:c r="C155" s="26" t="str">
        <x:v>RAH01-2026-016</x:v>
      </x:c>
      <x:c r="D155" s="36" t="n">
        <x:v>2</x:v>
      </x:c>
      <x:c r="E155" s="26" t="str">
        <x:v>Occupational-health education</x:v>
      </x:c>
      <x:c r="F155" s="25" t="str">
        <x:v>YES</x:v>
      </x:c>
      <x:c r="G155" s="25" t="str"/>
      <x:c r="H155" s="27" t="str">
        <x:v>occ_health_education</x:v>
      </x:c>
      <x:c r="I155" s="27" t="str">
        <x:v>ASM-2026-016</x:v>
      </x:c>
      <x:c r="J155" s="27" t="str">
        <x:v>CHK-2026-016-02</x:v>
      </x:c>
    </x:row>
    <x:row r="156">
      <x:c r="A156" s="28" t="str">
        <x:v>Family Medicine</x:v>
      </x:c>
      <x:c r="B156" s="37" t="n">
        <x:v>46136</x:v>
      </x:c>
      <x:c r="C156" s="26" t="str">
        <x:v>RAH01-2026-016</x:v>
      </x:c>
      <x:c r="D156" s="36" t="n">
        <x:v>3</x:v>
      </x:c>
      <x:c r="E156" s="26" t="str">
        <x:v>Hazardous-waste management system</x:v>
      </x:c>
      <x:c r="F156" s="25" t="str">
        <x:v>YES</x:v>
      </x:c>
      <x:c r="G156" s="25" t="str"/>
      <x:c r="H156" s="27" t="str">
        <x:v>occ_waste_management</x:v>
      </x:c>
      <x:c r="I156" s="27" t="str">
        <x:v>ASM-2026-016</x:v>
      </x:c>
      <x:c r="J156" s="27" t="str">
        <x:v>CHK-2026-016-03</x:v>
      </x:c>
    </x:row>
    <x:row r="157">
      <x:c r="A157" s="28" t="str">
        <x:v>Family Medicine</x:v>
      </x:c>
      <x:c r="B157" s="37" t="n">
        <x:v>46136</x:v>
      </x:c>
      <x:c r="C157" s="26" t="str">
        <x:v>RAH01-2026-016</x:v>
      </x:c>
      <x:c r="D157" s="36" t="n">
        <x:v>4</x:v>
      </x:c>
      <x:c r="E157" s="26" t="str">
        <x:v>Personal protective equipment measures</x:v>
      </x:c>
      <x:c r="F157" s="25" t="str">
        <x:v>NO</x:v>
      </x:c>
      <x:c r="G157" s="25" t="str"/>
      <x:c r="H157" s="27" t="str">
        <x:v>occ_ppe_measures</x:v>
      </x:c>
      <x:c r="I157" s="27" t="str">
        <x:v>ASM-2026-016</x:v>
      </x:c>
      <x:c r="J157" s="27" t="str">
        <x:v>CHK-2026-016-04</x:v>
      </x:c>
    </x:row>
    <x:row r="158">
      <x:c r="A158" s="28" t="str">
        <x:v>Family Medicine</x:v>
      </x:c>
      <x:c r="B158" s="37" t="n">
        <x:v>46136</x:v>
      </x:c>
      <x:c r="C158" s="26" t="str">
        <x:v>RAH01-2026-016</x:v>
      </x:c>
      <x:c r="D158" s="36" t="n">
        <x:v>5</x:v>
      </x:c>
      <x:c r="E158" s="26" t="str">
        <x:v>Annual health examination</x:v>
      </x:c>
      <x:c r="F158" s="25" t="str">
        <x:v>YES</x:v>
      </x:c>
      <x:c r="G158" s="25" t="str"/>
      <x:c r="H158" s="27" t="str">
        <x:v>occ_annual_health_exam</x:v>
      </x:c>
      <x:c r="I158" s="27" t="str">
        <x:v>ASM-2026-016</x:v>
      </x:c>
      <x:c r="J158" s="27" t="str">
        <x:v>CHK-2026-016-05</x:v>
      </x:c>
    </x:row>
    <x:row r="159">
      <x:c r="A159" s="28" t="str">
        <x:v>Family Medicine</x:v>
      </x:c>
      <x:c r="B159" s="37" t="n">
        <x:v>46136</x:v>
      </x:c>
      <x:c r="C159" s="26" t="str">
        <x:v>RAH01-2026-016</x:v>
      </x:c>
      <x:c r="D159" s="36" t="n">
        <x:v>6</x:v>
      </x:c>
      <x:c r="E159" s="26" t="str">
        <x:v>Risk-based lung-function examination</x:v>
      </x:c>
      <x:c r="F159" s="25" t="str">
        <x:v>YES</x:v>
      </x:c>
      <x:c r="G159" s="25" t="str"/>
      <x:c r="H159" s="27" t="str">
        <x:v>occ_risk_exam_lung</x:v>
      </x:c>
      <x:c r="I159" s="27" t="str">
        <x:v>ASM-2026-016</x:v>
      </x:c>
      <x:c r="J159" s="27" t="str">
        <x:v>CHK-2026-016-06</x:v>
      </x:c>
    </x:row>
    <x:row r="160">
      <x:c r="A160" s="28" t="str">
        <x:v>Family Medicine</x:v>
      </x:c>
      <x:c r="B160" s="37" t="n">
        <x:v>46136</x:v>
      </x:c>
      <x:c r="C160" s="26" t="str">
        <x:v>RAH01-2026-016</x:v>
      </x:c>
      <x:c r="D160" s="36" t="n">
        <x:v>7</x:v>
      </x:c>
      <x:c r="E160" s="26" t="str">
        <x:v>Risk-based hearing examination</x:v>
      </x:c>
      <x:c r="F160" s="25" t="str">
        <x:v>YES</x:v>
      </x:c>
      <x:c r="G160" s="25" t="str"/>
      <x:c r="H160" s="27" t="str">
        <x:v>occ_risk_exam_hearing</x:v>
      </x:c>
      <x:c r="I160" s="27" t="str">
        <x:v>ASM-2026-016</x:v>
      </x:c>
      <x:c r="J160" s="27" t="str">
        <x:v>CHK-2026-016-07</x:v>
      </x:c>
    </x:row>
    <x:row r="161">
      <x:c r="A161" s="28" t="str">
        <x:v>Family Medicine</x:v>
      </x:c>
      <x:c r="B161" s="37" t="n">
        <x:v>46136</x:v>
      </x:c>
      <x:c r="C161" s="26" t="str">
        <x:v>RAH01-2026-016</x:v>
      </x:c>
      <x:c r="D161" s="36" t="n">
        <x:v>8</x:v>
      </x:c>
      <x:c r="E161" s="26" t="str">
        <x:v>Risk-based vision examination</x:v>
      </x:c>
      <x:c r="F161" s="25" t="str">
        <x:v>YES</x:v>
      </x:c>
      <x:c r="G161" s="25" t="str"/>
      <x:c r="H161" s="27" t="str">
        <x:v>occ_risk_exam_vision</x:v>
      </x:c>
      <x:c r="I161" s="27" t="str">
        <x:v>ASM-2026-016</x:v>
      </x:c>
      <x:c r="J161" s="27" t="str">
        <x:v>CHK-2026-016-08</x:v>
      </x:c>
    </x:row>
    <x:row r="162">
      <x:c r="A162" s="28" t="str">
        <x:v>Family Medicine</x:v>
      </x:c>
      <x:c r="B162" s="37" t="n">
        <x:v>46136</x:v>
      </x:c>
      <x:c r="C162" s="26" t="str">
        <x:v>RAH01-2026-016</x:v>
      </x:c>
      <x:c r="D162" s="36" t="n">
        <x:v>9</x:v>
      </x:c>
      <x:c r="E162" s="26" t="str">
        <x:v>Biological monitoring</x:v>
      </x:c>
      <x:c r="F162" s="25" t="str">
        <x:v>NOT_APPLICABLE</x:v>
      </x:c>
      <x:c r="G162" s="25" t="str">
        <x:v>No indicated bio exam exposure in this department's current risk profile.</x:v>
      </x:c>
      <x:c r="H162" s="27" t="str">
        <x:v>occ_bio_exam</x:v>
      </x:c>
      <x:c r="I162" s="27" t="str">
        <x:v>ASM-2026-016</x:v>
      </x:c>
      <x:c r="J162" s="27" t="str">
        <x:v>CHK-2026-016-09</x:v>
      </x:c>
    </x:row>
    <x:row r="163">
      <x:c r="A163" s="28" t="str">
        <x:v>Family Medicine</x:v>
      </x:c>
      <x:c r="B163" s="37" t="n">
        <x:v>46136</x:v>
      </x:c>
      <x:c r="C163" s="26" t="str">
        <x:v>RAH01-2026-016</x:v>
      </x:c>
      <x:c r="D163" s="36" t="n">
        <x:v>10</x:v>
      </x:c>
      <x:c r="E163" s="26" t="str">
        <x:v>Workplace environmental monitoring</x:v>
      </x:c>
      <x:c r="F163" s="25" t="str">
        <x:v>YES</x:v>
      </x:c>
      <x:c r="G163" s="25" t="str"/>
      <x:c r="H163" s="27" t="str">
        <x:v>occ_env_exam</x:v>
      </x:c>
      <x:c r="I163" s="27" t="str">
        <x:v>ASM-2026-016</x:v>
      </x:c>
      <x:c r="J163" s="27" t="str">
        <x:v>CHK-2026-016-10</x:v>
      </x:c>
    </x:row>
    <x:row r="164">
      <x:c r="A164" s="28" t="str">
        <x:v>Gastroenterology</x:v>
      </x:c>
      <x:c r="B164" s="37" t="n">
        <x:v>46144</x:v>
      </x:c>
      <x:c r="C164" s="26" t="str">
        <x:v>RAH01-2026-017</x:v>
      </x:c>
      <x:c r="D164" s="36" t="n">
        <x:v>1</x:v>
      </x:c>
      <x:c r="E164" s="26" t="str">
        <x:v>Fire prevention and suppression system</x:v>
      </x:c>
      <x:c r="F164" s="25" t="str">
        <x:v>NO</x:v>
      </x:c>
      <x:c r="G164" s="25" t="str"/>
      <x:c r="H164" s="27" t="str">
        <x:v>occ_fire_safety</x:v>
      </x:c>
      <x:c r="I164" s="27" t="str">
        <x:v>ASM-2026-017</x:v>
      </x:c>
      <x:c r="J164" s="27" t="str">
        <x:v>CHK-2026-017-01</x:v>
      </x:c>
    </x:row>
    <x:row r="165">
      <x:c r="A165" s="28" t="str">
        <x:v>Gastroenterology</x:v>
      </x:c>
      <x:c r="B165" s="37" t="n">
        <x:v>46144</x:v>
      </x:c>
      <x:c r="C165" s="26" t="str">
        <x:v>RAH01-2026-017</x:v>
      </x:c>
      <x:c r="D165" s="36" t="n">
        <x:v>2</x:v>
      </x:c>
      <x:c r="E165" s="26" t="str">
        <x:v>Occupational-health education</x:v>
      </x:c>
      <x:c r="F165" s="25" t="str">
        <x:v>YES</x:v>
      </x:c>
      <x:c r="G165" s="25" t="str"/>
      <x:c r="H165" s="27" t="str">
        <x:v>occ_health_education</x:v>
      </x:c>
      <x:c r="I165" s="27" t="str">
        <x:v>ASM-2026-017</x:v>
      </x:c>
      <x:c r="J165" s="27" t="str">
        <x:v>CHK-2026-017-02</x:v>
      </x:c>
    </x:row>
    <x:row r="166">
      <x:c r="A166" s="28" t="str">
        <x:v>Gastroenterology</x:v>
      </x:c>
      <x:c r="B166" s="37" t="n">
        <x:v>46144</x:v>
      </x:c>
      <x:c r="C166" s="26" t="str">
        <x:v>RAH01-2026-017</x:v>
      </x:c>
      <x:c r="D166" s="36" t="n">
        <x:v>3</x:v>
      </x:c>
      <x:c r="E166" s="26" t="str">
        <x:v>Hazardous-waste management system</x:v>
      </x:c>
      <x:c r="F166" s="25" t="str">
        <x:v>YES</x:v>
      </x:c>
      <x:c r="G166" s="25" t="str"/>
      <x:c r="H166" s="27" t="str">
        <x:v>occ_waste_management</x:v>
      </x:c>
      <x:c r="I166" s="27" t="str">
        <x:v>ASM-2026-017</x:v>
      </x:c>
      <x:c r="J166" s="27" t="str">
        <x:v>CHK-2026-017-03</x:v>
      </x:c>
    </x:row>
    <x:row r="167">
      <x:c r="A167" s="28" t="str">
        <x:v>Gastroenterology</x:v>
      </x:c>
      <x:c r="B167" s="37" t="n">
        <x:v>46144</x:v>
      </x:c>
      <x:c r="C167" s="26" t="str">
        <x:v>RAH01-2026-017</x:v>
      </x:c>
      <x:c r="D167" s="36" t="n">
        <x:v>4</x:v>
      </x:c>
      <x:c r="E167" s="26" t="str">
        <x:v>Personal protective equipment measures</x:v>
      </x:c>
      <x:c r="F167" s="25" t="str">
        <x:v>YES</x:v>
      </x:c>
      <x:c r="G167" s="25" t="str"/>
      <x:c r="H167" s="27" t="str">
        <x:v>occ_ppe_measures</x:v>
      </x:c>
      <x:c r="I167" s="27" t="str">
        <x:v>ASM-2026-017</x:v>
      </x:c>
      <x:c r="J167" s="27" t="str">
        <x:v>CHK-2026-017-04</x:v>
      </x:c>
    </x:row>
    <x:row r="168">
      <x:c r="A168" s="28" t="str">
        <x:v>Gastroenterology</x:v>
      </x:c>
      <x:c r="B168" s="37" t="n">
        <x:v>46144</x:v>
      </x:c>
      <x:c r="C168" s="26" t="str">
        <x:v>RAH01-2026-017</x:v>
      </x:c>
      <x:c r="D168" s="36" t="n">
        <x:v>5</x:v>
      </x:c>
      <x:c r="E168" s="26" t="str">
        <x:v>Annual health examination</x:v>
      </x:c>
      <x:c r="F168" s="25" t="str">
        <x:v>YES</x:v>
      </x:c>
      <x:c r="G168" s="25" t="str"/>
      <x:c r="H168" s="27" t="str">
        <x:v>occ_annual_health_exam</x:v>
      </x:c>
      <x:c r="I168" s="27" t="str">
        <x:v>ASM-2026-017</x:v>
      </x:c>
      <x:c r="J168" s="27" t="str">
        <x:v>CHK-2026-017-05</x:v>
      </x:c>
    </x:row>
    <x:row r="169">
      <x:c r="A169" s="28" t="str">
        <x:v>Gastroenterology</x:v>
      </x:c>
      <x:c r="B169" s="37" t="n">
        <x:v>46144</x:v>
      </x:c>
      <x:c r="C169" s="26" t="str">
        <x:v>RAH01-2026-017</x:v>
      </x:c>
      <x:c r="D169" s="36" t="n">
        <x:v>6</x:v>
      </x:c>
      <x:c r="E169" s="26" t="str">
        <x:v>Risk-based lung-function examination</x:v>
      </x:c>
      <x:c r="F169" s="25" t="str">
        <x:v>YES</x:v>
      </x:c>
      <x:c r="G169" s="25" t="str"/>
      <x:c r="H169" s="27" t="str">
        <x:v>occ_risk_exam_lung</x:v>
      </x:c>
      <x:c r="I169" s="27" t="str">
        <x:v>ASM-2026-017</x:v>
      </x:c>
      <x:c r="J169" s="27" t="str">
        <x:v>CHK-2026-017-06</x:v>
      </x:c>
    </x:row>
    <x:row r="170">
      <x:c r="A170" s="28" t="str">
        <x:v>Gastroenterology</x:v>
      </x:c>
      <x:c r="B170" s="37" t="n">
        <x:v>46144</x:v>
      </x:c>
      <x:c r="C170" s="26" t="str">
        <x:v>RAH01-2026-017</x:v>
      </x:c>
      <x:c r="D170" s="36" t="n">
        <x:v>7</x:v>
      </x:c>
      <x:c r="E170" s="26" t="str">
        <x:v>Risk-based hearing examination</x:v>
      </x:c>
      <x:c r="F170" s="25" t="str">
        <x:v>YES</x:v>
      </x:c>
      <x:c r="G170" s="25" t="str"/>
      <x:c r="H170" s="27" t="str">
        <x:v>occ_risk_exam_hearing</x:v>
      </x:c>
      <x:c r="I170" s="27" t="str">
        <x:v>ASM-2026-017</x:v>
      </x:c>
      <x:c r="J170" s="27" t="str">
        <x:v>CHK-2026-017-07</x:v>
      </x:c>
    </x:row>
    <x:row r="171">
      <x:c r="A171" s="28" t="str">
        <x:v>Gastroenterology</x:v>
      </x:c>
      <x:c r="B171" s="37" t="n">
        <x:v>46144</x:v>
      </x:c>
      <x:c r="C171" s="26" t="str">
        <x:v>RAH01-2026-017</x:v>
      </x:c>
      <x:c r="D171" s="36" t="n">
        <x:v>8</x:v>
      </x:c>
      <x:c r="E171" s="26" t="str">
        <x:v>Risk-based vision examination</x:v>
      </x:c>
      <x:c r="F171" s="25" t="str">
        <x:v>NOT_APPLICABLE</x:v>
      </x:c>
      <x:c r="G171" s="25" t="str">
        <x:v>No indicated risk exam vision exposure in this department's current risk profile.</x:v>
      </x:c>
      <x:c r="H171" s="27" t="str">
        <x:v>occ_risk_exam_vision</x:v>
      </x:c>
      <x:c r="I171" s="27" t="str">
        <x:v>ASM-2026-017</x:v>
      </x:c>
      <x:c r="J171" s="27" t="str">
        <x:v>CHK-2026-017-08</x:v>
      </x:c>
    </x:row>
    <x:row r="172">
      <x:c r="A172" s="28" t="str">
        <x:v>Gastroenterology</x:v>
      </x:c>
      <x:c r="B172" s="37" t="n">
        <x:v>46144</x:v>
      </x:c>
      <x:c r="C172" s="26" t="str">
        <x:v>RAH01-2026-017</x:v>
      </x:c>
      <x:c r="D172" s="36" t="n">
        <x:v>9</x:v>
      </x:c>
      <x:c r="E172" s="26" t="str">
        <x:v>Biological monitoring</x:v>
      </x:c>
      <x:c r="F172" s="25" t="str">
        <x:v>YES</x:v>
      </x:c>
      <x:c r="G172" s="25" t="str"/>
      <x:c r="H172" s="27" t="str">
        <x:v>occ_bio_exam</x:v>
      </x:c>
      <x:c r="I172" s="27" t="str">
        <x:v>ASM-2026-017</x:v>
      </x:c>
      <x:c r="J172" s="27" t="str">
        <x:v>CHK-2026-017-09</x:v>
      </x:c>
    </x:row>
    <x:row r="173">
      <x:c r="A173" s="28" t="str">
        <x:v>Gastroenterology</x:v>
      </x:c>
      <x:c r="B173" s="37" t="n">
        <x:v>46144</x:v>
      </x:c>
      <x:c r="C173" s="26" t="str">
        <x:v>RAH01-2026-017</x:v>
      </x:c>
      <x:c r="D173" s="36" t="n">
        <x:v>10</x:v>
      </x:c>
      <x:c r="E173" s="26" t="str">
        <x:v>Workplace environmental monitoring</x:v>
      </x:c>
      <x:c r="F173" s="25" t="str">
        <x:v>YES</x:v>
      </x:c>
      <x:c r="G173" s="25" t="str"/>
      <x:c r="H173" s="27" t="str">
        <x:v>occ_env_exam</x:v>
      </x:c>
      <x:c r="I173" s="27" t="str">
        <x:v>ASM-2026-017</x:v>
      </x:c>
      <x:c r="J173" s="27" t="str">
        <x:v>CHK-2026-017-10</x:v>
      </x:c>
    </x:row>
    <x:row r="174">
      <x:c r="A174" s="28" t="str">
        <x:v>General Surgery</x:v>
      </x:c>
      <x:c r="B174" s="37" t="n">
        <x:v>46178</x:v>
      </x:c>
      <x:c r="C174" s="26" t="str">
        <x:v>RAH01-2026-018</x:v>
      </x:c>
      <x:c r="D174" s="36" t="n">
        <x:v>1</x:v>
      </x:c>
      <x:c r="E174" s="26" t="str">
        <x:v>Fire prevention and suppression system</x:v>
      </x:c>
      <x:c r="F174" s="25" t="str">
        <x:v>YES</x:v>
      </x:c>
      <x:c r="G174" s="25" t="str"/>
      <x:c r="H174" s="27" t="str">
        <x:v>occ_fire_safety</x:v>
      </x:c>
      <x:c r="I174" s="27" t="str">
        <x:v>ASM-2026-018</x:v>
      </x:c>
      <x:c r="J174" s="27" t="str">
        <x:v>CHK-2026-018-01</x:v>
      </x:c>
    </x:row>
    <x:row r="175">
      <x:c r="A175" s="28" t="str">
        <x:v>General Surgery</x:v>
      </x:c>
      <x:c r="B175" s="37" t="n">
        <x:v>46178</x:v>
      </x:c>
      <x:c r="C175" s="26" t="str">
        <x:v>RAH01-2026-018</x:v>
      </x:c>
      <x:c r="D175" s="36" t="n">
        <x:v>2</x:v>
      </x:c>
      <x:c r="E175" s="26" t="str">
        <x:v>Occupational-health education</x:v>
      </x:c>
      <x:c r="F175" s="25" t="str">
        <x:v>YES</x:v>
      </x:c>
      <x:c r="G175" s="25" t="str"/>
      <x:c r="H175" s="27" t="str">
        <x:v>occ_health_education</x:v>
      </x:c>
      <x:c r="I175" s="27" t="str">
        <x:v>ASM-2026-018</x:v>
      </x:c>
      <x:c r="J175" s="27" t="str">
        <x:v>CHK-2026-018-02</x:v>
      </x:c>
    </x:row>
    <x:row r="176">
      <x:c r="A176" s="28" t="str">
        <x:v>General Surgery</x:v>
      </x:c>
      <x:c r="B176" s="37" t="n">
        <x:v>46178</x:v>
      </x:c>
      <x:c r="C176" s="26" t="str">
        <x:v>RAH01-2026-018</x:v>
      </x:c>
      <x:c r="D176" s="36" t="n">
        <x:v>3</x:v>
      </x:c>
      <x:c r="E176" s="26" t="str">
        <x:v>Hazardous-waste management system</x:v>
      </x:c>
      <x:c r="F176" s="25" t="str">
        <x:v>YES</x:v>
      </x:c>
      <x:c r="G176" s="25" t="str"/>
      <x:c r="H176" s="27" t="str">
        <x:v>occ_waste_management</x:v>
      </x:c>
      <x:c r="I176" s="27" t="str">
        <x:v>ASM-2026-018</x:v>
      </x:c>
      <x:c r="J176" s="27" t="str">
        <x:v>CHK-2026-018-03</x:v>
      </x:c>
    </x:row>
    <x:row r="177">
      <x:c r="A177" s="28" t="str">
        <x:v>General Surgery</x:v>
      </x:c>
      <x:c r="B177" s="37" t="n">
        <x:v>46178</x:v>
      </x:c>
      <x:c r="C177" s="26" t="str">
        <x:v>RAH01-2026-018</x:v>
      </x:c>
      <x:c r="D177" s="36" t="n">
        <x:v>4</x:v>
      </x:c>
      <x:c r="E177" s="26" t="str">
        <x:v>Personal protective equipment measures</x:v>
      </x:c>
      <x:c r="F177" s="25" t="str">
        <x:v>YES</x:v>
      </x:c>
      <x:c r="G177" s="25" t="str"/>
      <x:c r="H177" s="27" t="str">
        <x:v>occ_ppe_measures</x:v>
      </x:c>
      <x:c r="I177" s="27" t="str">
        <x:v>ASM-2026-018</x:v>
      </x:c>
      <x:c r="J177" s="27" t="str">
        <x:v>CHK-2026-018-04</x:v>
      </x:c>
    </x:row>
    <x:row r="178">
      <x:c r="A178" s="28" t="str">
        <x:v>General Surgery</x:v>
      </x:c>
      <x:c r="B178" s="37" t="n">
        <x:v>46178</x:v>
      </x:c>
      <x:c r="C178" s="26" t="str">
        <x:v>RAH01-2026-018</x:v>
      </x:c>
      <x:c r="D178" s="36" t="n">
        <x:v>5</x:v>
      </x:c>
      <x:c r="E178" s="26" t="str">
        <x:v>Annual health examination</x:v>
      </x:c>
      <x:c r="F178" s="25" t="str">
        <x:v>YES</x:v>
      </x:c>
      <x:c r="G178" s="25" t="str"/>
      <x:c r="H178" s="27" t="str">
        <x:v>occ_annual_health_exam</x:v>
      </x:c>
      <x:c r="I178" s="27" t="str">
        <x:v>ASM-2026-018</x:v>
      </x:c>
      <x:c r="J178" s="27" t="str">
        <x:v>CHK-2026-018-05</x:v>
      </x:c>
    </x:row>
    <x:row r="179">
      <x:c r="A179" s="28" t="str">
        <x:v>General Surgery</x:v>
      </x:c>
      <x:c r="B179" s="37" t="n">
        <x:v>46178</x:v>
      </x:c>
      <x:c r="C179" s="26" t="str">
        <x:v>RAH01-2026-018</x:v>
      </x:c>
      <x:c r="D179" s="36" t="n">
        <x:v>6</x:v>
      </x:c>
      <x:c r="E179" s="26" t="str">
        <x:v>Risk-based lung-function examination</x:v>
      </x:c>
      <x:c r="F179" s="25" t="str">
        <x:v>YES</x:v>
      </x:c>
      <x:c r="G179" s="25" t="str"/>
      <x:c r="H179" s="27" t="str">
        <x:v>occ_risk_exam_lung</x:v>
      </x:c>
      <x:c r="I179" s="27" t="str">
        <x:v>ASM-2026-018</x:v>
      </x:c>
      <x:c r="J179" s="27" t="str">
        <x:v>CHK-2026-018-06</x:v>
      </x:c>
    </x:row>
    <x:row r="180">
      <x:c r="A180" s="28" t="str">
        <x:v>General Surgery</x:v>
      </x:c>
      <x:c r="B180" s="37" t="n">
        <x:v>46178</x:v>
      </x:c>
      <x:c r="C180" s="26" t="str">
        <x:v>RAH01-2026-018</x:v>
      </x:c>
      <x:c r="D180" s="36" t="n">
        <x:v>7</x:v>
      </x:c>
      <x:c r="E180" s="26" t="str">
        <x:v>Risk-based hearing examination</x:v>
      </x:c>
      <x:c r="F180" s="25" t="str">
        <x:v>NOT_APPLICABLE</x:v>
      </x:c>
      <x:c r="G180" s="25" t="str">
        <x:v>No indicated risk exam hearing exposure in this department's current risk profile.</x:v>
      </x:c>
      <x:c r="H180" s="27" t="str">
        <x:v>occ_risk_exam_hearing</x:v>
      </x:c>
      <x:c r="I180" s="27" t="str">
        <x:v>ASM-2026-018</x:v>
      </x:c>
      <x:c r="J180" s="27" t="str">
        <x:v>CHK-2026-018-07</x:v>
      </x:c>
    </x:row>
    <x:row r="181">
      <x:c r="A181" s="28" t="str">
        <x:v>General Surgery</x:v>
      </x:c>
      <x:c r="B181" s="37" t="n">
        <x:v>46178</x:v>
      </x:c>
      <x:c r="C181" s="26" t="str">
        <x:v>RAH01-2026-018</x:v>
      </x:c>
      <x:c r="D181" s="36" t="n">
        <x:v>8</x:v>
      </x:c>
      <x:c r="E181" s="26" t="str">
        <x:v>Risk-based vision examination</x:v>
      </x:c>
      <x:c r="F181" s="25" t="str">
        <x:v>YES</x:v>
      </x:c>
      <x:c r="G181" s="25" t="str"/>
      <x:c r="H181" s="27" t="str">
        <x:v>occ_risk_exam_vision</x:v>
      </x:c>
      <x:c r="I181" s="27" t="str">
        <x:v>ASM-2026-018</x:v>
      </x:c>
      <x:c r="J181" s="27" t="str">
        <x:v>CHK-2026-018-08</x:v>
      </x:c>
    </x:row>
    <x:row r="182">
      <x:c r="A182" s="28" t="str">
        <x:v>General Surgery</x:v>
      </x:c>
      <x:c r="B182" s="37" t="n">
        <x:v>46178</x:v>
      </x:c>
      <x:c r="C182" s="26" t="str">
        <x:v>RAH01-2026-018</x:v>
      </x:c>
      <x:c r="D182" s="36" t="n">
        <x:v>9</x:v>
      </x:c>
      <x:c r="E182" s="26" t="str">
        <x:v>Biological monitoring</x:v>
      </x:c>
      <x:c r="F182" s="25" t="str">
        <x:v>YES</x:v>
      </x:c>
      <x:c r="G182" s="25" t="str"/>
      <x:c r="H182" s="27" t="str">
        <x:v>occ_bio_exam</x:v>
      </x:c>
      <x:c r="I182" s="27" t="str">
        <x:v>ASM-2026-018</x:v>
      </x:c>
      <x:c r="J182" s="27" t="str">
        <x:v>CHK-2026-018-09</x:v>
      </x:c>
    </x:row>
    <x:row r="183">
      <x:c r="A183" s="28" t="str">
        <x:v>General Surgery</x:v>
      </x:c>
      <x:c r="B183" s="37" t="n">
        <x:v>46178</x:v>
      </x:c>
      <x:c r="C183" s="26" t="str">
        <x:v>RAH01-2026-018</x:v>
      </x:c>
      <x:c r="D183" s="36" t="n">
        <x:v>10</x:v>
      </x:c>
      <x:c r="E183" s="26" t="str">
        <x:v>Workplace environmental monitoring</x:v>
      </x:c>
      <x:c r="F183" s="25" t="str">
        <x:v>YES</x:v>
      </x:c>
      <x:c r="G183" s="25" t="str"/>
      <x:c r="H183" s="27" t="str">
        <x:v>occ_env_exam</x:v>
      </x:c>
      <x:c r="I183" s="27" t="str">
        <x:v>ASM-2026-018</x:v>
      </x:c>
      <x:c r="J183" s="27" t="str">
        <x:v>CHK-2026-018-10</x:v>
      </x:c>
    </x:row>
    <x:row r="184">
      <x:c r="A184" s="28" t="str">
        <x:v>Haemodialysis</x:v>
      </x:c>
      <x:c r="B184" s="37" t="n">
        <x:v>46030</x:v>
      </x:c>
      <x:c r="C184" s="26" t="str">
        <x:v>RAH01-2026-019</x:v>
      </x:c>
      <x:c r="D184" s="36" t="n">
        <x:v>1</x:v>
      </x:c>
      <x:c r="E184" s="26" t="str">
        <x:v>Fire prevention and suppression system</x:v>
      </x:c>
      <x:c r="F184" s="25" t="str">
        <x:v>YES</x:v>
      </x:c>
      <x:c r="G184" s="25" t="str"/>
      <x:c r="H184" s="27" t="str">
        <x:v>occ_fire_safety</x:v>
      </x:c>
      <x:c r="I184" s="27" t="str">
        <x:v>ASM-2026-019</x:v>
      </x:c>
      <x:c r="J184" s="27" t="str">
        <x:v>CHK-2026-019-01</x:v>
      </x:c>
    </x:row>
    <x:row r="185">
      <x:c r="A185" s="28" t="str">
        <x:v>Haemodialysis</x:v>
      </x:c>
      <x:c r="B185" s="37" t="n">
        <x:v>46030</x:v>
      </x:c>
      <x:c r="C185" s="26" t="str">
        <x:v>RAH01-2026-019</x:v>
      </x:c>
      <x:c r="D185" s="36" t="n">
        <x:v>2</x:v>
      </x:c>
      <x:c r="E185" s="26" t="str">
        <x:v>Occupational-health education</x:v>
      </x:c>
      <x:c r="F185" s="25" t="str">
        <x:v>YES</x:v>
      </x:c>
      <x:c r="G185" s="25" t="str"/>
      <x:c r="H185" s="27" t="str">
        <x:v>occ_health_education</x:v>
      </x:c>
      <x:c r="I185" s="27" t="str">
        <x:v>ASM-2026-019</x:v>
      </x:c>
      <x:c r="J185" s="27" t="str">
        <x:v>CHK-2026-019-02</x:v>
      </x:c>
    </x:row>
    <x:row r="186">
      <x:c r="A186" s="28" t="str">
        <x:v>Haemodialysis</x:v>
      </x:c>
      <x:c r="B186" s="37" t="n">
        <x:v>46030</x:v>
      </x:c>
      <x:c r="C186" s="26" t="str">
        <x:v>RAH01-2026-019</x:v>
      </x:c>
      <x:c r="D186" s="36" t="n">
        <x:v>3</x:v>
      </x:c>
      <x:c r="E186" s="26" t="str">
        <x:v>Hazardous-waste management system</x:v>
      </x:c>
      <x:c r="F186" s="25" t="str">
        <x:v>YES</x:v>
      </x:c>
      <x:c r="G186" s="25" t="str"/>
      <x:c r="H186" s="27" t="str">
        <x:v>occ_waste_management</x:v>
      </x:c>
      <x:c r="I186" s="27" t="str">
        <x:v>ASM-2026-019</x:v>
      </x:c>
      <x:c r="J186" s="27" t="str">
        <x:v>CHK-2026-019-03</x:v>
      </x:c>
    </x:row>
    <x:row r="187">
      <x:c r="A187" s="28" t="str">
        <x:v>Haemodialysis</x:v>
      </x:c>
      <x:c r="B187" s="37" t="n">
        <x:v>46030</x:v>
      </x:c>
      <x:c r="C187" s="26" t="str">
        <x:v>RAH01-2026-019</x:v>
      </x:c>
      <x:c r="D187" s="36" t="n">
        <x:v>4</x:v>
      </x:c>
      <x:c r="E187" s="26" t="str">
        <x:v>Personal protective equipment measures</x:v>
      </x:c>
      <x:c r="F187" s="25" t="str">
        <x:v>YES</x:v>
      </x:c>
      <x:c r="G187" s="25" t="str"/>
      <x:c r="H187" s="27" t="str">
        <x:v>occ_ppe_measures</x:v>
      </x:c>
      <x:c r="I187" s="27" t="str">
        <x:v>ASM-2026-019</x:v>
      </x:c>
      <x:c r="J187" s="27" t="str">
        <x:v>CHK-2026-019-04</x:v>
      </x:c>
    </x:row>
    <x:row r="188">
      <x:c r="A188" s="28" t="str">
        <x:v>Haemodialysis</x:v>
      </x:c>
      <x:c r="B188" s="37" t="n">
        <x:v>46030</x:v>
      </x:c>
      <x:c r="C188" s="26" t="str">
        <x:v>RAH01-2026-019</x:v>
      </x:c>
      <x:c r="D188" s="36" t="n">
        <x:v>5</x:v>
      </x:c>
      <x:c r="E188" s="26" t="str">
        <x:v>Annual health examination</x:v>
      </x:c>
      <x:c r="F188" s="25" t="str">
        <x:v>YES</x:v>
      </x:c>
      <x:c r="G188" s="25" t="str"/>
      <x:c r="H188" s="27" t="str">
        <x:v>occ_annual_health_exam</x:v>
      </x:c>
      <x:c r="I188" s="27" t="str">
        <x:v>ASM-2026-019</x:v>
      </x:c>
      <x:c r="J188" s="27" t="str">
        <x:v>CHK-2026-019-05</x:v>
      </x:c>
    </x:row>
    <x:row r="189">
      <x:c r="A189" s="28" t="str">
        <x:v>Haemodialysis</x:v>
      </x:c>
      <x:c r="B189" s="37" t="n">
        <x:v>46030</x:v>
      </x:c>
      <x:c r="C189" s="26" t="str">
        <x:v>RAH01-2026-019</x:v>
      </x:c>
      <x:c r="D189" s="36" t="n">
        <x:v>6</x:v>
      </x:c>
      <x:c r="E189" s="26" t="str">
        <x:v>Risk-based lung-function examination</x:v>
      </x:c>
      <x:c r="F189" s="25" t="str">
        <x:v>NOT_APPLICABLE</x:v>
      </x:c>
      <x:c r="G189" s="25" t="str">
        <x:v>No indicated risk exam lung exposure in this department's current risk profile.</x:v>
      </x:c>
      <x:c r="H189" s="27" t="str">
        <x:v>occ_risk_exam_lung</x:v>
      </x:c>
      <x:c r="I189" s="27" t="str">
        <x:v>ASM-2026-019</x:v>
      </x:c>
      <x:c r="J189" s="27" t="str">
        <x:v>CHK-2026-019-06</x:v>
      </x:c>
    </x:row>
    <x:row r="190">
      <x:c r="A190" s="28" t="str">
        <x:v>Haemodialysis</x:v>
      </x:c>
      <x:c r="B190" s="37" t="n">
        <x:v>46030</x:v>
      </x:c>
      <x:c r="C190" s="26" t="str">
        <x:v>RAH01-2026-019</x:v>
      </x:c>
      <x:c r="D190" s="36" t="n">
        <x:v>7</x:v>
      </x:c>
      <x:c r="E190" s="26" t="str">
        <x:v>Risk-based hearing examination</x:v>
      </x:c>
      <x:c r="F190" s="25" t="str">
        <x:v>YES</x:v>
      </x:c>
      <x:c r="G190" s="25" t="str"/>
      <x:c r="H190" s="27" t="str">
        <x:v>occ_risk_exam_hearing</x:v>
      </x:c>
      <x:c r="I190" s="27" t="str">
        <x:v>ASM-2026-019</x:v>
      </x:c>
      <x:c r="J190" s="27" t="str">
        <x:v>CHK-2026-019-07</x:v>
      </x:c>
    </x:row>
    <x:row r="191">
      <x:c r="A191" s="28" t="str">
        <x:v>Haemodialysis</x:v>
      </x:c>
      <x:c r="B191" s="37" t="n">
        <x:v>46030</x:v>
      </x:c>
      <x:c r="C191" s="26" t="str">
        <x:v>RAH01-2026-019</x:v>
      </x:c>
      <x:c r="D191" s="36" t="n">
        <x:v>8</x:v>
      </x:c>
      <x:c r="E191" s="26" t="str">
        <x:v>Risk-based vision examination</x:v>
      </x:c>
      <x:c r="F191" s="25" t="str">
        <x:v>YES</x:v>
      </x:c>
      <x:c r="G191" s="25" t="str"/>
      <x:c r="H191" s="27" t="str">
        <x:v>occ_risk_exam_vision</x:v>
      </x:c>
      <x:c r="I191" s="27" t="str">
        <x:v>ASM-2026-019</x:v>
      </x:c>
      <x:c r="J191" s="27" t="str">
        <x:v>CHK-2026-019-08</x:v>
      </x:c>
    </x:row>
    <x:row r="192">
      <x:c r="A192" s="28" t="str">
        <x:v>Haemodialysis</x:v>
      </x:c>
      <x:c r="B192" s="37" t="n">
        <x:v>46030</x:v>
      </x:c>
      <x:c r="C192" s="26" t="str">
        <x:v>RAH01-2026-019</x:v>
      </x:c>
      <x:c r="D192" s="36" t="n">
        <x:v>9</x:v>
      </x:c>
      <x:c r="E192" s="26" t="str">
        <x:v>Biological monitoring</x:v>
      </x:c>
      <x:c r="F192" s="25" t="str">
        <x:v>YES</x:v>
      </x:c>
      <x:c r="G192" s="25" t="str"/>
      <x:c r="H192" s="27" t="str">
        <x:v>occ_bio_exam</x:v>
      </x:c>
      <x:c r="I192" s="27" t="str">
        <x:v>ASM-2026-019</x:v>
      </x:c>
      <x:c r="J192" s="27" t="str">
        <x:v>CHK-2026-019-09</x:v>
      </x:c>
    </x:row>
    <x:row r="193">
      <x:c r="A193" s="28" t="str">
        <x:v>Haemodialysis</x:v>
      </x:c>
      <x:c r="B193" s="37" t="n">
        <x:v>46030</x:v>
      </x:c>
      <x:c r="C193" s="26" t="str">
        <x:v>RAH01-2026-019</x:v>
      </x:c>
      <x:c r="D193" s="36" t="n">
        <x:v>10</x:v>
      </x:c>
      <x:c r="E193" s="26" t="str">
        <x:v>Workplace environmental monitoring</x:v>
      </x:c>
      <x:c r="F193" s="25" t="str">
        <x:v>NOT_APPLICABLE</x:v>
      </x:c>
      <x:c r="G193" s="25" t="str">
        <x:v>No indicated env exam exposure in this department's current risk profile.</x:v>
      </x:c>
      <x:c r="H193" s="27" t="str">
        <x:v>occ_env_exam</x:v>
      </x:c>
      <x:c r="I193" s="27" t="str">
        <x:v>ASM-2026-019</x:v>
      </x:c>
      <x:c r="J193" s="27" t="str">
        <x:v>CHK-2026-019-10</x:v>
      </x:c>
    </x:row>
    <x:row r="194">
      <x:c r="A194" s="28" t="str">
        <x:v>Health Promotion</x:v>
      </x:c>
      <x:c r="B194" s="37" t="n">
        <x:v>46064</x:v>
      </x:c>
      <x:c r="C194" s="26" t="str">
        <x:v>RAH01-2026-020</x:v>
      </x:c>
      <x:c r="D194" s="36" t="n">
        <x:v>1</x:v>
      </x:c>
      <x:c r="E194" s="26" t="str">
        <x:v>Fire prevention and suppression system</x:v>
      </x:c>
      <x:c r="F194" s="25" t="str">
        <x:v>YES</x:v>
      </x:c>
      <x:c r="G194" s="25" t="str"/>
      <x:c r="H194" s="27" t="str">
        <x:v>occ_fire_safety</x:v>
      </x:c>
      <x:c r="I194" s="27" t="str">
        <x:v>ASM-2026-020</x:v>
      </x:c>
      <x:c r="J194" s="27" t="str">
        <x:v>CHK-2026-020-01</x:v>
      </x:c>
    </x:row>
    <x:row r="195">
      <x:c r="A195" s="28" t="str">
        <x:v>Health Promotion</x:v>
      </x:c>
      <x:c r="B195" s="37" t="n">
        <x:v>46064</x:v>
      </x:c>
      <x:c r="C195" s="26" t="str">
        <x:v>RAH01-2026-020</x:v>
      </x:c>
      <x:c r="D195" s="36" t="n">
        <x:v>2</x:v>
      </x:c>
      <x:c r="E195" s="26" t="str">
        <x:v>Occupational-health education</x:v>
      </x:c>
      <x:c r="F195" s="25" t="str">
        <x:v>YES</x:v>
      </x:c>
      <x:c r="G195" s="25" t="str"/>
      <x:c r="H195" s="27" t="str">
        <x:v>occ_health_education</x:v>
      </x:c>
      <x:c r="I195" s="27" t="str">
        <x:v>ASM-2026-020</x:v>
      </x:c>
      <x:c r="J195" s="27" t="str">
        <x:v>CHK-2026-020-02</x:v>
      </x:c>
    </x:row>
    <x:row r="196">
      <x:c r="A196" s="28" t="str">
        <x:v>Health Promotion</x:v>
      </x:c>
      <x:c r="B196" s="37" t="n">
        <x:v>46064</x:v>
      </x:c>
      <x:c r="C196" s="26" t="str">
        <x:v>RAH01-2026-020</x:v>
      </x:c>
      <x:c r="D196" s="36" t="n">
        <x:v>3</x:v>
      </x:c>
      <x:c r="E196" s="26" t="str">
        <x:v>Hazardous-waste management system</x:v>
      </x:c>
      <x:c r="F196" s="25" t="str">
        <x:v>YES</x:v>
      </x:c>
      <x:c r="G196" s="25" t="str"/>
      <x:c r="H196" s="27" t="str">
        <x:v>occ_waste_management</x:v>
      </x:c>
      <x:c r="I196" s="27" t="str">
        <x:v>ASM-2026-020</x:v>
      </x:c>
      <x:c r="J196" s="27" t="str">
        <x:v>CHK-2026-020-03</x:v>
      </x:c>
    </x:row>
    <x:row r="197">
      <x:c r="A197" s="28" t="str">
        <x:v>Health Promotion</x:v>
      </x:c>
      <x:c r="B197" s="37" t="n">
        <x:v>46064</x:v>
      </x:c>
      <x:c r="C197" s="26" t="str">
        <x:v>RAH01-2026-020</x:v>
      </x:c>
      <x:c r="D197" s="36" t="n">
        <x:v>4</x:v>
      </x:c>
      <x:c r="E197" s="26" t="str">
        <x:v>Personal protective equipment measures</x:v>
      </x:c>
      <x:c r="F197" s="25" t="str">
        <x:v>YES</x:v>
      </x:c>
      <x:c r="G197" s="25" t="str"/>
      <x:c r="H197" s="27" t="str">
        <x:v>occ_ppe_measures</x:v>
      </x:c>
      <x:c r="I197" s="27" t="str">
        <x:v>ASM-2026-020</x:v>
      </x:c>
      <x:c r="J197" s="27" t="str">
        <x:v>CHK-2026-020-04</x:v>
      </x:c>
    </x:row>
    <x:row r="198">
      <x:c r="A198" s="28" t="str">
        <x:v>Health Promotion</x:v>
      </x:c>
      <x:c r="B198" s="37" t="n">
        <x:v>46064</x:v>
      </x:c>
      <x:c r="C198" s="26" t="str">
        <x:v>RAH01-2026-020</x:v>
      </x:c>
      <x:c r="D198" s="36" t="n">
        <x:v>5</x:v>
      </x:c>
      <x:c r="E198" s="26" t="str">
        <x:v>Annual health examination</x:v>
      </x:c>
      <x:c r="F198" s="25" t="str">
        <x:v>YES</x:v>
      </x:c>
      <x:c r="G198" s="25" t="str"/>
      <x:c r="H198" s="27" t="str">
        <x:v>occ_annual_health_exam</x:v>
      </x:c>
      <x:c r="I198" s="27" t="str">
        <x:v>ASM-2026-020</x:v>
      </x:c>
      <x:c r="J198" s="27" t="str">
        <x:v>CHK-2026-020-05</x:v>
      </x:c>
    </x:row>
    <x:row r="199">
      <x:c r="A199" s="28" t="str">
        <x:v>Health Promotion</x:v>
      </x:c>
      <x:c r="B199" s="37" t="n">
        <x:v>46064</x:v>
      </x:c>
      <x:c r="C199" s="26" t="str">
        <x:v>RAH01-2026-020</x:v>
      </x:c>
      <x:c r="D199" s="36" t="n">
        <x:v>6</x:v>
      </x:c>
      <x:c r="E199" s="26" t="str">
        <x:v>Risk-based lung-function examination</x:v>
      </x:c>
      <x:c r="F199" s="25" t="str">
        <x:v>YES</x:v>
      </x:c>
      <x:c r="G199" s="25" t="str"/>
      <x:c r="H199" s="27" t="str">
        <x:v>occ_risk_exam_lung</x:v>
      </x:c>
      <x:c r="I199" s="27" t="str">
        <x:v>ASM-2026-020</x:v>
      </x:c>
      <x:c r="J199" s="27" t="str">
        <x:v>CHK-2026-020-06</x:v>
      </x:c>
    </x:row>
    <x:row r="200">
      <x:c r="A200" s="28" t="str">
        <x:v>Health Promotion</x:v>
      </x:c>
      <x:c r="B200" s="37" t="n">
        <x:v>46064</x:v>
      </x:c>
      <x:c r="C200" s="26" t="str">
        <x:v>RAH01-2026-020</x:v>
      </x:c>
      <x:c r="D200" s="36" t="n">
        <x:v>7</x:v>
      </x:c>
      <x:c r="E200" s="26" t="str">
        <x:v>Risk-based hearing examination</x:v>
      </x:c>
      <x:c r="F200" s="25" t="str">
        <x:v>YES</x:v>
      </x:c>
      <x:c r="G200" s="25" t="str"/>
      <x:c r="H200" s="27" t="str">
        <x:v>occ_risk_exam_hearing</x:v>
      </x:c>
      <x:c r="I200" s="27" t="str">
        <x:v>ASM-2026-020</x:v>
      </x:c>
      <x:c r="J200" s="27" t="str">
        <x:v>CHK-2026-020-07</x:v>
      </x:c>
    </x:row>
    <x:row r="201">
      <x:c r="A201" s="28" t="str">
        <x:v>Health Promotion</x:v>
      </x:c>
      <x:c r="B201" s="37" t="n">
        <x:v>46064</x:v>
      </x:c>
      <x:c r="C201" s="26" t="str">
        <x:v>RAH01-2026-020</x:v>
      </x:c>
      <x:c r="D201" s="36" t="n">
        <x:v>8</x:v>
      </x:c>
      <x:c r="E201" s="26" t="str">
        <x:v>Risk-based vision examination</x:v>
      </x:c>
      <x:c r="F201" s="25" t="str">
        <x:v>YES</x:v>
      </x:c>
      <x:c r="G201" s="25" t="str"/>
      <x:c r="H201" s="27" t="str">
        <x:v>occ_risk_exam_vision</x:v>
      </x:c>
      <x:c r="I201" s="27" t="str">
        <x:v>ASM-2026-020</x:v>
      </x:c>
      <x:c r="J201" s="27" t="str">
        <x:v>CHK-2026-020-08</x:v>
      </x:c>
    </x:row>
    <x:row r="202">
      <x:c r="A202" s="28" t="str">
        <x:v>Health Promotion</x:v>
      </x:c>
      <x:c r="B202" s="37" t="n">
        <x:v>46064</x:v>
      </x:c>
      <x:c r="C202" s="26" t="str">
        <x:v>RAH01-2026-020</x:v>
      </x:c>
      <x:c r="D202" s="36" t="n">
        <x:v>9</x:v>
      </x:c>
      <x:c r="E202" s="26" t="str">
        <x:v>Biological monitoring</x:v>
      </x:c>
      <x:c r="F202" s="25" t="str">
        <x:v>NOT_APPLICABLE</x:v>
      </x:c>
      <x:c r="G202" s="25" t="str">
        <x:v>No indicated bio exam exposure in this department's current risk profile.</x:v>
      </x:c>
      <x:c r="H202" s="27" t="str">
        <x:v>occ_bio_exam</x:v>
      </x:c>
      <x:c r="I202" s="27" t="str">
        <x:v>ASM-2026-020</x:v>
      </x:c>
      <x:c r="J202" s="27" t="str">
        <x:v>CHK-2026-020-09</x:v>
      </x:c>
    </x:row>
    <x:row r="203">
      <x:c r="A203" s="28" t="str">
        <x:v>Health Promotion</x:v>
      </x:c>
      <x:c r="B203" s="37" t="n">
        <x:v>46064</x:v>
      </x:c>
      <x:c r="C203" s="26" t="str">
        <x:v>RAH01-2026-020</x:v>
      </x:c>
      <x:c r="D203" s="36" t="n">
        <x:v>10</x:v>
      </x:c>
      <x:c r="E203" s="26" t="str">
        <x:v>Workplace environmental monitoring</x:v>
      </x:c>
      <x:c r="F203" s="25" t="str">
        <x:v>YES</x:v>
      </x:c>
      <x:c r="G203" s="25" t="str"/>
      <x:c r="H203" s="27" t="str">
        <x:v>occ_env_exam</x:v>
      </x:c>
      <x:c r="I203" s="27" t="str">
        <x:v>ASM-2026-020</x:v>
      </x:c>
      <x:c r="J203" s="27" t="str">
        <x:v>CHK-2026-020-10</x:v>
      </x:c>
    </x:row>
    <x:row r="204">
      <x:c r="A204" s="28" t="str">
        <x:v>Hematology</x:v>
      </x:c>
      <x:c r="B204" s="37" t="n">
        <x:v>46095</x:v>
      </x:c>
      <x:c r="C204" s="26" t="str">
        <x:v>RAH01-2026-021</x:v>
      </x:c>
      <x:c r="D204" s="36" t="n">
        <x:v>1</x:v>
      </x:c>
      <x:c r="E204" s="26" t="str">
        <x:v>Fire prevention and suppression system</x:v>
      </x:c>
      <x:c r="F204" s="25" t="str">
        <x:v>YES</x:v>
      </x:c>
      <x:c r="G204" s="25" t="str"/>
      <x:c r="H204" s="27" t="str">
        <x:v>occ_fire_safety</x:v>
      </x:c>
      <x:c r="I204" s="27" t="str">
        <x:v>ASM-2026-021</x:v>
      </x:c>
      <x:c r="J204" s="27" t="str">
        <x:v>CHK-2026-021-01</x:v>
      </x:c>
    </x:row>
    <x:row r="205">
      <x:c r="A205" s="28" t="str">
        <x:v>Hematology</x:v>
      </x:c>
      <x:c r="B205" s="37" t="n">
        <x:v>46095</x:v>
      </x:c>
      <x:c r="C205" s="26" t="str">
        <x:v>RAH01-2026-021</x:v>
      </x:c>
      <x:c r="D205" s="36" t="n">
        <x:v>2</x:v>
      </x:c>
      <x:c r="E205" s="26" t="str">
        <x:v>Occupational-health education</x:v>
      </x:c>
      <x:c r="F205" s="25" t="str">
        <x:v>YES</x:v>
      </x:c>
      <x:c r="G205" s="25" t="str"/>
      <x:c r="H205" s="27" t="str">
        <x:v>occ_health_education</x:v>
      </x:c>
      <x:c r="I205" s="27" t="str">
        <x:v>ASM-2026-021</x:v>
      </x:c>
      <x:c r="J205" s="27" t="str">
        <x:v>CHK-2026-021-02</x:v>
      </x:c>
    </x:row>
    <x:row r="206">
      <x:c r="A206" s="28" t="str">
        <x:v>Hematology</x:v>
      </x:c>
      <x:c r="B206" s="37" t="n">
        <x:v>46095</x:v>
      </x:c>
      <x:c r="C206" s="26" t="str">
        <x:v>RAH01-2026-021</x:v>
      </x:c>
      <x:c r="D206" s="36" t="n">
        <x:v>3</x:v>
      </x:c>
      <x:c r="E206" s="26" t="str">
        <x:v>Hazardous-waste management system</x:v>
      </x:c>
      <x:c r="F206" s="25" t="str">
        <x:v>YES</x:v>
      </x:c>
      <x:c r="G206" s="25" t="str"/>
      <x:c r="H206" s="27" t="str">
        <x:v>occ_waste_management</x:v>
      </x:c>
      <x:c r="I206" s="27" t="str">
        <x:v>ASM-2026-021</x:v>
      </x:c>
      <x:c r="J206" s="27" t="str">
        <x:v>CHK-2026-021-03</x:v>
      </x:c>
    </x:row>
    <x:row r="207">
      <x:c r="A207" s="28" t="str">
        <x:v>Hematology</x:v>
      </x:c>
      <x:c r="B207" s="37" t="n">
        <x:v>46095</x:v>
      </x:c>
      <x:c r="C207" s="26" t="str">
        <x:v>RAH01-2026-021</x:v>
      </x:c>
      <x:c r="D207" s="36" t="n">
        <x:v>4</x:v>
      </x:c>
      <x:c r="E207" s="26" t="str">
        <x:v>Personal protective equipment measures</x:v>
      </x:c>
      <x:c r="F207" s="25" t="str">
        <x:v>YES</x:v>
      </x:c>
      <x:c r="G207" s="25" t="str"/>
      <x:c r="H207" s="27" t="str">
        <x:v>occ_ppe_measures</x:v>
      </x:c>
      <x:c r="I207" s="27" t="str">
        <x:v>ASM-2026-021</x:v>
      </x:c>
      <x:c r="J207" s="27" t="str">
        <x:v>CHK-2026-021-04</x:v>
      </x:c>
    </x:row>
    <x:row r="208">
      <x:c r="A208" s="28" t="str">
        <x:v>Hematology</x:v>
      </x:c>
      <x:c r="B208" s="37" t="n">
        <x:v>46095</x:v>
      </x:c>
      <x:c r="C208" s="26" t="str">
        <x:v>RAH01-2026-021</x:v>
      </x:c>
      <x:c r="D208" s="36" t="n">
        <x:v>5</x:v>
      </x:c>
      <x:c r="E208" s="26" t="str">
        <x:v>Annual health examination</x:v>
      </x:c>
      <x:c r="F208" s="25" t="str">
        <x:v>YES</x:v>
      </x:c>
      <x:c r="G208" s="25" t="str"/>
      <x:c r="H208" s="27" t="str">
        <x:v>occ_annual_health_exam</x:v>
      </x:c>
      <x:c r="I208" s="27" t="str">
        <x:v>ASM-2026-021</x:v>
      </x:c>
      <x:c r="J208" s="27" t="str">
        <x:v>CHK-2026-021-05</x:v>
      </x:c>
    </x:row>
    <x:row r="209">
      <x:c r="A209" s="28" t="str">
        <x:v>Hematology</x:v>
      </x:c>
      <x:c r="B209" s="37" t="n">
        <x:v>46095</x:v>
      </x:c>
      <x:c r="C209" s="26" t="str">
        <x:v>RAH01-2026-021</x:v>
      </x:c>
      <x:c r="D209" s="36" t="n">
        <x:v>6</x:v>
      </x:c>
      <x:c r="E209" s="26" t="str">
        <x:v>Risk-based lung-function examination</x:v>
      </x:c>
      <x:c r="F209" s="25" t="str">
        <x:v>NO</x:v>
      </x:c>
      <x:c r="G209" s="25" t="str"/>
      <x:c r="H209" s="27" t="str">
        <x:v>occ_risk_exam_lung</x:v>
      </x:c>
      <x:c r="I209" s="27" t="str">
        <x:v>ASM-2026-021</x:v>
      </x:c>
      <x:c r="J209" s="27" t="str">
        <x:v>CHK-2026-021-06</x:v>
      </x:c>
    </x:row>
    <x:row r="210">
      <x:c r="A210" s="28" t="str">
        <x:v>Hematology</x:v>
      </x:c>
      <x:c r="B210" s="37" t="n">
        <x:v>46095</x:v>
      </x:c>
      <x:c r="C210" s="26" t="str">
        <x:v>RAH01-2026-021</x:v>
      </x:c>
      <x:c r="D210" s="36" t="n">
        <x:v>7</x:v>
      </x:c>
      <x:c r="E210" s="26" t="str">
        <x:v>Risk-based hearing examination</x:v>
      </x:c>
      <x:c r="F210" s="25" t="str">
        <x:v>YES</x:v>
      </x:c>
      <x:c r="G210" s="25" t="str"/>
      <x:c r="H210" s="27" t="str">
        <x:v>occ_risk_exam_hearing</x:v>
      </x:c>
      <x:c r="I210" s="27" t="str">
        <x:v>ASM-2026-021</x:v>
      </x:c>
      <x:c r="J210" s="27" t="str">
        <x:v>CHK-2026-021-07</x:v>
      </x:c>
    </x:row>
    <x:row r="211">
      <x:c r="A211" s="28" t="str">
        <x:v>Hematology</x:v>
      </x:c>
      <x:c r="B211" s="37" t="n">
        <x:v>46095</x:v>
      </x:c>
      <x:c r="C211" s="26" t="str">
        <x:v>RAH01-2026-021</x:v>
      </x:c>
      <x:c r="D211" s="36" t="n">
        <x:v>8</x:v>
      </x:c>
      <x:c r="E211" s="26" t="str">
        <x:v>Risk-based vision examination</x:v>
      </x:c>
      <x:c r="F211" s="25" t="str">
        <x:v>NOT_APPLICABLE</x:v>
      </x:c>
      <x:c r="G211" s="25" t="str">
        <x:v>No indicated risk exam vision exposure in this department's current risk profile.</x:v>
      </x:c>
      <x:c r="H211" s="27" t="str">
        <x:v>occ_risk_exam_vision</x:v>
      </x:c>
      <x:c r="I211" s="27" t="str">
        <x:v>ASM-2026-021</x:v>
      </x:c>
      <x:c r="J211" s="27" t="str">
        <x:v>CHK-2026-021-08</x:v>
      </x:c>
    </x:row>
    <x:row r="212">
      <x:c r="A212" s="28" t="str">
        <x:v>Hematology</x:v>
      </x:c>
      <x:c r="B212" s="37" t="n">
        <x:v>46095</x:v>
      </x:c>
      <x:c r="C212" s="26" t="str">
        <x:v>RAH01-2026-021</x:v>
      </x:c>
      <x:c r="D212" s="36" t="n">
        <x:v>9</x:v>
      </x:c>
      <x:c r="E212" s="26" t="str">
        <x:v>Biological monitoring</x:v>
      </x:c>
      <x:c r="F212" s="25" t="str">
        <x:v>YES</x:v>
      </x:c>
      <x:c r="G212" s="25" t="str"/>
      <x:c r="H212" s="27" t="str">
        <x:v>occ_bio_exam</x:v>
      </x:c>
      <x:c r="I212" s="27" t="str">
        <x:v>ASM-2026-021</x:v>
      </x:c>
      <x:c r="J212" s="27" t="str">
        <x:v>CHK-2026-021-09</x:v>
      </x:c>
    </x:row>
    <x:row r="213">
      <x:c r="A213" s="28" t="str">
        <x:v>Hematology</x:v>
      </x:c>
      <x:c r="B213" s="37" t="n">
        <x:v>46095</x:v>
      </x:c>
      <x:c r="C213" s="26" t="str">
        <x:v>RAH01-2026-021</x:v>
      </x:c>
      <x:c r="D213" s="36" t="n">
        <x:v>10</x:v>
      </x:c>
      <x:c r="E213" s="26" t="str">
        <x:v>Workplace environmental monitoring</x:v>
      </x:c>
      <x:c r="F213" s="25" t="str">
        <x:v>YES</x:v>
      </x:c>
      <x:c r="G213" s="25" t="str"/>
      <x:c r="H213" s="27" t="str">
        <x:v>occ_env_exam</x:v>
      </x:c>
      <x:c r="I213" s="27" t="str">
        <x:v>ASM-2026-021</x:v>
      </x:c>
      <x:c r="J213" s="27" t="str">
        <x:v>CHK-2026-021-10</x:v>
      </x:c>
    </x:row>
    <x:row r="214">
      <x:c r="A214" s="28" t="str">
        <x:v>ICU 1</x:v>
      </x:c>
      <x:c r="B214" s="37" t="n">
        <x:v>46129</x:v>
      </x:c>
      <x:c r="C214" s="26" t="str">
        <x:v>RAH01-2026-022</x:v>
      </x:c>
      <x:c r="D214" s="36" t="n">
        <x:v>1</x:v>
      </x:c>
      <x:c r="E214" s="26" t="str">
        <x:v>Fire prevention and suppression system</x:v>
      </x:c>
      <x:c r="F214" s="25" t="str">
        <x:v>YES</x:v>
      </x:c>
      <x:c r="G214" s="25" t="str"/>
      <x:c r="H214" s="27" t="str">
        <x:v>occ_fire_safety</x:v>
      </x:c>
      <x:c r="I214" s="27" t="str">
        <x:v>ASM-2026-022</x:v>
      </x:c>
      <x:c r="J214" s="27" t="str">
        <x:v>CHK-2026-022-01</x:v>
      </x:c>
    </x:row>
    <x:row r="215">
      <x:c r="A215" s="28" t="str">
        <x:v>ICU 1</x:v>
      </x:c>
      <x:c r="B215" s="37" t="n">
        <x:v>46129</x:v>
      </x:c>
      <x:c r="C215" s="26" t="str">
        <x:v>RAH01-2026-022</x:v>
      </x:c>
      <x:c r="D215" s="36" t="n">
        <x:v>2</x:v>
      </x:c>
      <x:c r="E215" s="26" t="str">
        <x:v>Occupational-health education</x:v>
      </x:c>
      <x:c r="F215" s="25" t="str">
        <x:v>YES</x:v>
      </x:c>
      <x:c r="G215" s="25" t="str"/>
      <x:c r="H215" s="27" t="str">
        <x:v>occ_health_education</x:v>
      </x:c>
      <x:c r="I215" s="27" t="str">
        <x:v>ASM-2026-022</x:v>
      </x:c>
      <x:c r="J215" s="27" t="str">
        <x:v>CHK-2026-022-02</x:v>
      </x:c>
    </x:row>
    <x:row r="216">
      <x:c r="A216" s="28" t="str">
        <x:v>ICU 1</x:v>
      </x:c>
      <x:c r="B216" s="37" t="n">
        <x:v>46129</x:v>
      </x:c>
      <x:c r="C216" s="26" t="str">
        <x:v>RAH01-2026-022</x:v>
      </x:c>
      <x:c r="D216" s="36" t="n">
        <x:v>3</x:v>
      </x:c>
      <x:c r="E216" s="26" t="str">
        <x:v>Hazardous-waste management system</x:v>
      </x:c>
      <x:c r="F216" s="25" t="str">
        <x:v>NO</x:v>
      </x:c>
      <x:c r="G216" s="25" t="str"/>
      <x:c r="H216" s="27" t="str">
        <x:v>occ_waste_management</x:v>
      </x:c>
      <x:c r="I216" s="27" t="str">
        <x:v>ASM-2026-022</x:v>
      </x:c>
      <x:c r="J216" s="27" t="str">
        <x:v>CHK-2026-022-03</x:v>
      </x:c>
    </x:row>
    <x:row r="217">
      <x:c r="A217" s="28" t="str">
        <x:v>ICU 1</x:v>
      </x:c>
      <x:c r="B217" s="37" t="n">
        <x:v>46129</x:v>
      </x:c>
      <x:c r="C217" s="26" t="str">
        <x:v>RAH01-2026-022</x:v>
      </x:c>
      <x:c r="D217" s="36" t="n">
        <x:v>4</x:v>
      </x:c>
      <x:c r="E217" s="26" t="str">
        <x:v>Personal protective equipment measures</x:v>
      </x:c>
      <x:c r="F217" s="25" t="str">
        <x:v>YES</x:v>
      </x:c>
      <x:c r="G217" s="25" t="str"/>
      <x:c r="H217" s="27" t="str">
        <x:v>occ_ppe_measures</x:v>
      </x:c>
      <x:c r="I217" s="27" t="str">
        <x:v>ASM-2026-022</x:v>
      </x:c>
      <x:c r="J217" s="27" t="str">
        <x:v>CHK-2026-022-04</x:v>
      </x:c>
    </x:row>
    <x:row r="218">
      <x:c r="A218" s="28" t="str">
        <x:v>ICU 1</x:v>
      </x:c>
      <x:c r="B218" s="37" t="n">
        <x:v>46129</x:v>
      </x:c>
      <x:c r="C218" s="26" t="str">
        <x:v>RAH01-2026-022</x:v>
      </x:c>
      <x:c r="D218" s="36" t="n">
        <x:v>5</x:v>
      </x:c>
      <x:c r="E218" s="26" t="str">
        <x:v>Annual health examination</x:v>
      </x:c>
      <x:c r="F218" s="25" t="str">
        <x:v>YES</x:v>
      </x:c>
      <x:c r="G218" s="25" t="str"/>
      <x:c r="H218" s="27" t="str">
        <x:v>occ_annual_health_exam</x:v>
      </x:c>
      <x:c r="I218" s="27" t="str">
        <x:v>ASM-2026-022</x:v>
      </x:c>
      <x:c r="J218" s="27" t="str">
        <x:v>CHK-2026-022-05</x:v>
      </x:c>
    </x:row>
    <x:row r="219">
      <x:c r="A219" s="28" t="str">
        <x:v>ICU 1</x:v>
      </x:c>
      <x:c r="B219" s="37" t="n">
        <x:v>46129</x:v>
      </x:c>
      <x:c r="C219" s="26" t="str">
        <x:v>RAH01-2026-022</x:v>
      </x:c>
      <x:c r="D219" s="36" t="n">
        <x:v>6</x:v>
      </x:c>
      <x:c r="E219" s="26" t="str">
        <x:v>Risk-based lung-function examination</x:v>
      </x:c>
      <x:c r="F219" s="25" t="str">
        <x:v>YES</x:v>
      </x:c>
      <x:c r="G219" s="25" t="str"/>
      <x:c r="H219" s="27" t="str">
        <x:v>occ_risk_exam_lung</x:v>
      </x:c>
      <x:c r="I219" s="27" t="str">
        <x:v>ASM-2026-022</x:v>
      </x:c>
      <x:c r="J219" s="27" t="str">
        <x:v>CHK-2026-022-06</x:v>
      </x:c>
    </x:row>
    <x:row r="220">
      <x:c r="A220" s="28" t="str">
        <x:v>ICU 1</x:v>
      </x:c>
      <x:c r="B220" s="37" t="n">
        <x:v>46129</x:v>
      </x:c>
      <x:c r="C220" s="26" t="str">
        <x:v>RAH01-2026-022</x:v>
      </x:c>
      <x:c r="D220" s="36" t="n">
        <x:v>7</x:v>
      </x:c>
      <x:c r="E220" s="26" t="str">
        <x:v>Risk-based hearing examination</x:v>
      </x:c>
      <x:c r="F220" s="25" t="str">
        <x:v>NOT_APPLICABLE</x:v>
      </x:c>
      <x:c r="G220" s="25" t="str">
        <x:v>No indicated risk exam hearing exposure in this department's current risk profile.</x:v>
      </x:c>
      <x:c r="H220" s="27" t="str">
        <x:v>occ_risk_exam_hearing</x:v>
      </x:c>
      <x:c r="I220" s="27" t="str">
        <x:v>ASM-2026-022</x:v>
      </x:c>
      <x:c r="J220" s="27" t="str">
        <x:v>CHK-2026-022-07</x:v>
      </x:c>
    </x:row>
    <x:row r="221">
      <x:c r="A221" s="28" t="str">
        <x:v>ICU 1</x:v>
      </x:c>
      <x:c r="B221" s="37" t="n">
        <x:v>46129</x:v>
      </x:c>
      <x:c r="C221" s="26" t="str">
        <x:v>RAH01-2026-022</x:v>
      </x:c>
      <x:c r="D221" s="36" t="n">
        <x:v>8</x:v>
      </x:c>
      <x:c r="E221" s="26" t="str">
        <x:v>Risk-based vision examination</x:v>
      </x:c>
      <x:c r="F221" s="25" t="str">
        <x:v>YES</x:v>
      </x:c>
      <x:c r="G221" s="25" t="str"/>
      <x:c r="H221" s="27" t="str">
        <x:v>occ_risk_exam_vision</x:v>
      </x:c>
      <x:c r="I221" s="27" t="str">
        <x:v>ASM-2026-022</x:v>
      </x:c>
      <x:c r="J221" s="27" t="str">
        <x:v>CHK-2026-022-08</x:v>
      </x:c>
    </x:row>
    <x:row r="222">
      <x:c r="A222" s="28" t="str">
        <x:v>ICU 1</x:v>
      </x:c>
      <x:c r="B222" s="37" t="n">
        <x:v>46129</x:v>
      </x:c>
      <x:c r="C222" s="26" t="str">
        <x:v>RAH01-2026-022</x:v>
      </x:c>
      <x:c r="D222" s="36" t="n">
        <x:v>9</x:v>
      </x:c>
      <x:c r="E222" s="26" t="str">
        <x:v>Biological monitoring</x:v>
      </x:c>
      <x:c r="F222" s="25" t="str">
        <x:v>YES</x:v>
      </x:c>
      <x:c r="G222" s="25" t="str"/>
      <x:c r="H222" s="27" t="str">
        <x:v>occ_bio_exam</x:v>
      </x:c>
      <x:c r="I222" s="27" t="str">
        <x:v>ASM-2026-022</x:v>
      </x:c>
      <x:c r="J222" s="27" t="str">
        <x:v>CHK-2026-022-09</x:v>
      </x:c>
    </x:row>
    <x:row r="223">
      <x:c r="A223" s="28" t="str">
        <x:v>ICU 1</x:v>
      </x:c>
      <x:c r="B223" s="37" t="n">
        <x:v>46129</x:v>
      </x:c>
      <x:c r="C223" s="26" t="str">
        <x:v>RAH01-2026-022</x:v>
      </x:c>
      <x:c r="D223" s="36" t="n">
        <x:v>10</x:v>
      </x:c>
      <x:c r="E223" s="26" t="str">
        <x:v>Workplace environmental monitoring</x:v>
      </x:c>
      <x:c r="F223" s="25" t="str">
        <x:v>YES</x:v>
      </x:c>
      <x:c r="G223" s="25" t="str"/>
      <x:c r="H223" s="27" t="str">
        <x:v>occ_env_exam</x:v>
      </x:c>
      <x:c r="I223" s="27" t="str">
        <x:v>ASM-2026-022</x:v>
      </x:c>
      <x:c r="J223" s="27" t="str">
        <x:v>CHK-2026-022-10</x:v>
      </x:c>
    </x:row>
    <x:row r="224">
      <x:c r="A224" s="28" t="str">
        <x:v>ICU 2</x:v>
      </x:c>
      <x:c r="B224" s="37" t="n">
        <x:v>46162</x:v>
      </x:c>
      <x:c r="C224" s="26" t="str">
        <x:v>RAH01-2026-023</x:v>
      </x:c>
      <x:c r="D224" s="36" t="n">
        <x:v>1</x:v>
      </x:c>
      <x:c r="E224" s="26" t="str">
        <x:v>Fire prevention and suppression system</x:v>
      </x:c>
      <x:c r="F224" s="25" t="str">
        <x:v>YES</x:v>
      </x:c>
      <x:c r="G224" s="25" t="str"/>
      <x:c r="H224" s="27" t="str">
        <x:v>occ_fire_safety</x:v>
      </x:c>
      <x:c r="I224" s="27" t="str">
        <x:v>ASM-2026-023</x:v>
      </x:c>
      <x:c r="J224" s="27" t="str">
        <x:v>CHK-2026-023-01</x:v>
      </x:c>
    </x:row>
    <x:row r="225">
      <x:c r="A225" s="28" t="str">
        <x:v>ICU 2</x:v>
      </x:c>
      <x:c r="B225" s="37" t="n">
        <x:v>46162</x:v>
      </x:c>
      <x:c r="C225" s="26" t="str">
        <x:v>RAH01-2026-023</x:v>
      </x:c>
      <x:c r="D225" s="36" t="n">
        <x:v>2</x:v>
      </x:c>
      <x:c r="E225" s="26" t="str">
        <x:v>Occupational-health education</x:v>
      </x:c>
      <x:c r="F225" s="25" t="str">
        <x:v>YES</x:v>
      </x:c>
      <x:c r="G225" s="25" t="str"/>
      <x:c r="H225" s="27" t="str">
        <x:v>occ_health_education</x:v>
      </x:c>
      <x:c r="I225" s="27" t="str">
        <x:v>ASM-2026-023</x:v>
      </x:c>
      <x:c r="J225" s="27" t="str">
        <x:v>CHK-2026-023-02</x:v>
      </x:c>
    </x:row>
    <x:row r="226">
      <x:c r="A226" s="28" t="str">
        <x:v>ICU 2</x:v>
      </x:c>
      <x:c r="B226" s="37" t="n">
        <x:v>46162</x:v>
      </x:c>
      <x:c r="C226" s="26" t="str">
        <x:v>RAH01-2026-023</x:v>
      </x:c>
      <x:c r="D226" s="36" t="n">
        <x:v>3</x:v>
      </x:c>
      <x:c r="E226" s="26" t="str">
        <x:v>Hazardous-waste management system</x:v>
      </x:c>
      <x:c r="F226" s="25" t="str">
        <x:v>YES</x:v>
      </x:c>
      <x:c r="G226" s="25" t="str"/>
      <x:c r="H226" s="27" t="str">
        <x:v>occ_waste_management</x:v>
      </x:c>
      <x:c r="I226" s="27" t="str">
        <x:v>ASM-2026-023</x:v>
      </x:c>
      <x:c r="J226" s="27" t="str">
        <x:v>CHK-2026-023-03</x:v>
      </x:c>
    </x:row>
    <x:row r="227">
      <x:c r="A227" s="28" t="str">
        <x:v>ICU 2</x:v>
      </x:c>
      <x:c r="B227" s="37" t="n">
        <x:v>46162</x:v>
      </x:c>
      <x:c r="C227" s="26" t="str">
        <x:v>RAH01-2026-023</x:v>
      </x:c>
      <x:c r="D227" s="36" t="n">
        <x:v>4</x:v>
      </x:c>
      <x:c r="E227" s="26" t="str">
        <x:v>Personal protective equipment measures</x:v>
      </x:c>
      <x:c r="F227" s="25" t="str">
        <x:v>YES</x:v>
      </x:c>
      <x:c r="G227" s="25" t="str"/>
      <x:c r="H227" s="27" t="str">
        <x:v>occ_ppe_measures</x:v>
      </x:c>
      <x:c r="I227" s="27" t="str">
        <x:v>ASM-2026-023</x:v>
      </x:c>
      <x:c r="J227" s="27" t="str">
        <x:v>CHK-2026-023-04</x:v>
      </x:c>
    </x:row>
    <x:row r="228">
      <x:c r="A228" s="28" t="str">
        <x:v>ICU 2</x:v>
      </x:c>
      <x:c r="B228" s="37" t="n">
        <x:v>46162</x:v>
      </x:c>
      <x:c r="C228" s="26" t="str">
        <x:v>RAH01-2026-023</x:v>
      </x:c>
      <x:c r="D228" s="36" t="n">
        <x:v>5</x:v>
      </x:c>
      <x:c r="E228" s="26" t="str">
        <x:v>Annual health examination</x:v>
      </x:c>
      <x:c r="F228" s="25" t="str">
        <x:v>YES</x:v>
      </x:c>
      <x:c r="G228" s="25" t="str"/>
      <x:c r="H228" s="27" t="str">
        <x:v>occ_annual_health_exam</x:v>
      </x:c>
      <x:c r="I228" s="27" t="str">
        <x:v>ASM-2026-023</x:v>
      </x:c>
      <x:c r="J228" s="27" t="str">
        <x:v>CHK-2026-023-05</x:v>
      </x:c>
    </x:row>
    <x:row r="229">
      <x:c r="A229" s="28" t="str">
        <x:v>ICU 2</x:v>
      </x:c>
      <x:c r="B229" s="37" t="n">
        <x:v>46162</x:v>
      </x:c>
      <x:c r="C229" s="26" t="str">
        <x:v>RAH01-2026-023</x:v>
      </x:c>
      <x:c r="D229" s="36" t="n">
        <x:v>6</x:v>
      </x:c>
      <x:c r="E229" s="26" t="str">
        <x:v>Risk-based lung-function examination</x:v>
      </x:c>
      <x:c r="F229" s="25" t="str">
        <x:v>NOT_APPLICABLE</x:v>
      </x:c>
      <x:c r="G229" s="25" t="str">
        <x:v>No indicated risk exam lung exposure in this department's current risk profile.</x:v>
      </x:c>
      <x:c r="H229" s="27" t="str">
        <x:v>occ_risk_exam_lung</x:v>
      </x:c>
      <x:c r="I229" s="27" t="str">
        <x:v>ASM-2026-023</x:v>
      </x:c>
      <x:c r="J229" s="27" t="str">
        <x:v>CHK-2026-023-06</x:v>
      </x:c>
    </x:row>
    <x:row r="230">
      <x:c r="A230" s="28" t="str">
        <x:v>ICU 2</x:v>
      </x:c>
      <x:c r="B230" s="37" t="n">
        <x:v>46162</x:v>
      </x:c>
      <x:c r="C230" s="26" t="str">
        <x:v>RAH01-2026-023</x:v>
      </x:c>
      <x:c r="D230" s="36" t="n">
        <x:v>7</x:v>
      </x:c>
      <x:c r="E230" s="26" t="str">
        <x:v>Risk-based hearing examination</x:v>
      </x:c>
      <x:c r="F230" s="25" t="str">
        <x:v>YES</x:v>
      </x:c>
      <x:c r="G230" s="25" t="str"/>
      <x:c r="H230" s="27" t="str">
        <x:v>occ_risk_exam_hearing</x:v>
      </x:c>
      <x:c r="I230" s="27" t="str">
        <x:v>ASM-2026-023</x:v>
      </x:c>
      <x:c r="J230" s="27" t="str">
        <x:v>CHK-2026-023-07</x:v>
      </x:c>
    </x:row>
    <x:row r="231">
      <x:c r="A231" s="28" t="str">
        <x:v>ICU 2</x:v>
      </x:c>
      <x:c r="B231" s="37" t="n">
        <x:v>46162</x:v>
      </x:c>
      <x:c r="C231" s="26" t="str">
        <x:v>RAH01-2026-023</x:v>
      </x:c>
      <x:c r="D231" s="36" t="n">
        <x:v>8</x:v>
      </x:c>
      <x:c r="E231" s="26" t="str">
        <x:v>Risk-based vision examination</x:v>
      </x:c>
      <x:c r="F231" s="25" t="str">
        <x:v>YES</x:v>
      </x:c>
      <x:c r="G231" s="25" t="str"/>
      <x:c r="H231" s="27" t="str">
        <x:v>occ_risk_exam_vision</x:v>
      </x:c>
      <x:c r="I231" s="27" t="str">
        <x:v>ASM-2026-023</x:v>
      </x:c>
      <x:c r="J231" s="27" t="str">
        <x:v>CHK-2026-023-08</x:v>
      </x:c>
    </x:row>
    <x:row r="232">
      <x:c r="A232" s="28" t="str">
        <x:v>ICU 2</x:v>
      </x:c>
      <x:c r="B232" s="37" t="n">
        <x:v>46162</x:v>
      </x:c>
      <x:c r="C232" s="26" t="str">
        <x:v>RAH01-2026-023</x:v>
      </x:c>
      <x:c r="D232" s="36" t="n">
        <x:v>9</x:v>
      </x:c>
      <x:c r="E232" s="26" t="str">
        <x:v>Biological monitoring</x:v>
      </x:c>
      <x:c r="F232" s="25" t="str">
        <x:v>YES</x:v>
      </x:c>
      <x:c r="G232" s="25" t="str"/>
      <x:c r="H232" s="27" t="str">
        <x:v>occ_bio_exam</x:v>
      </x:c>
      <x:c r="I232" s="27" t="str">
        <x:v>ASM-2026-023</x:v>
      </x:c>
      <x:c r="J232" s="27" t="str">
        <x:v>CHK-2026-023-09</x:v>
      </x:c>
    </x:row>
    <x:row r="233">
      <x:c r="A233" s="28" t="str">
        <x:v>ICU 2</x:v>
      </x:c>
      <x:c r="B233" s="37" t="n">
        <x:v>46162</x:v>
      </x:c>
      <x:c r="C233" s="26" t="str">
        <x:v>RAH01-2026-023</x:v>
      </x:c>
      <x:c r="D233" s="36" t="n">
        <x:v>10</x:v>
      </x:c>
      <x:c r="E233" s="26" t="str">
        <x:v>Workplace environmental monitoring</x:v>
      </x:c>
      <x:c r="F233" s="25" t="str">
        <x:v>NOT_APPLICABLE</x:v>
      </x:c>
      <x:c r="G233" s="25" t="str">
        <x:v>No indicated env exam exposure in this department's current risk profile.</x:v>
      </x:c>
      <x:c r="H233" s="27" t="str">
        <x:v>occ_env_exam</x:v>
      </x:c>
      <x:c r="I233" s="27" t="str">
        <x:v>ASM-2026-023</x:v>
      </x:c>
      <x:c r="J233" s="27" t="str">
        <x:v>CHK-2026-023-10</x:v>
      </x:c>
    </x:row>
    <x:row r="234">
      <x:c r="A234" s="28" t="str">
        <x:v>Infectious Diseases</x:v>
      </x:c>
      <x:c r="B234" s="37" t="n">
        <x:v>46196</x:v>
      </x:c>
      <x:c r="C234" s="26" t="str">
        <x:v>RAH01-2026-024</x:v>
      </x:c>
      <x:c r="D234" s="36" t="n">
        <x:v>1</x:v>
      </x:c>
      <x:c r="E234" s="26" t="str">
        <x:v>Fire prevention and suppression system</x:v>
      </x:c>
      <x:c r="F234" s="25" t="str">
        <x:v>YES</x:v>
      </x:c>
      <x:c r="G234" s="25" t="str"/>
      <x:c r="H234" s="27" t="str">
        <x:v>occ_fire_safety</x:v>
      </x:c>
      <x:c r="I234" s="27" t="str">
        <x:v>ASM-2026-024</x:v>
      </x:c>
      <x:c r="J234" s="27" t="str">
        <x:v>CHK-2026-024-01</x:v>
      </x:c>
    </x:row>
    <x:row r="235">
      <x:c r="A235" s="28" t="str">
        <x:v>Infectious Diseases</x:v>
      </x:c>
      <x:c r="B235" s="37" t="n">
        <x:v>46196</x:v>
      </x:c>
      <x:c r="C235" s="26" t="str">
        <x:v>RAH01-2026-024</x:v>
      </x:c>
      <x:c r="D235" s="36" t="n">
        <x:v>2</x:v>
      </x:c>
      <x:c r="E235" s="26" t="str">
        <x:v>Occupational-health education</x:v>
      </x:c>
      <x:c r="F235" s="25" t="str">
        <x:v>YES</x:v>
      </x:c>
      <x:c r="G235" s="25" t="str"/>
      <x:c r="H235" s="27" t="str">
        <x:v>occ_health_education</x:v>
      </x:c>
      <x:c r="I235" s="27" t="str">
        <x:v>ASM-2026-024</x:v>
      </x:c>
      <x:c r="J235" s="27" t="str">
        <x:v>CHK-2026-024-02</x:v>
      </x:c>
    </x:row>
    <x:row r="236">
      <x:c r="A236" s="28" t="str">
        <x:v>Infectious Diseases</x:v>
      </x:c>
      <x:c r="B236" s="37" t="n">
        <x:v>46196</x:v>
      </x:c>
      <x:c r="C236" s="26" t="str">
        <x:v>RAH01-2026-024</x:v>
      </x:c>
      <x:c r="D236" s="36" t="n">
        <x:v>3</x:v>
      </x:c>
      <x:c r="E236" s="26" t="str">
        <x:v>Hazardous-waste management system</x:v>
      </x:c>
      <x:c r="F236" s="25" t="str">
        <x:v>YES</x:v>
      </x:c>
      <x:c r="G236" s="25" t="str"/>
      <x:c r="H236" s="27" t="str">
        <x:v>occ_waste_management</x:v>
      </x:c>
      <x:c r="I236" s="27" t="str">
        <x:v>ASM-2026-024</x:v>
      </x:c>
      <x:c r="J236" s="27" t="str">
        <x:v>CHK-2026-024-03</x:v>
      </x:c>
    </x:row>
    <x:row r="237">
      <x:c r="A237" s="28" t="str">
        <x:v>Infectious Diseases</x:v>
      </x:c>
      <x:c r="B237" s="37" t="n">
        <x:v>46196</x:v>
      </x:c>
      <x:c r="C237" s="26" t="str">
        <x:v>RAH01-2026-024</x:v>
      </x:c>
      <x:c r="D237" s="36" t="n">
        <x:v>4</x:v>
      </x:c>
      <x:c r="E237" s="26" t="str">
        <x:v>Personal protective equipment measures</x:v>
      </x:c>
      <x:c r="F237" s="25" t="str">
        <x:v>YES</x:v>
      </x:c>
      <x:c r="G237" s="25" t="str"/>
      <x:c r="H237" s="27" t="str">
        <x:v>occ_ppe_measures</x:v>
      </x:c>
      <x:c r="I237" s="27" t="str">
        <x:v>ASM-2026-024</x:v>
      </x:c>
      <x:c r="J237" s="27" t="str">
        <x:v>CHK-2026-024-04</x:v>
      </x:c>
    </x:row>
    <x:row r="238">
      <x:c r="A238" s="28" t="str">
        <x:v>Infectious Diseases</x:v>
      </x:c>
      <x:c r="B238" s="37" t="n">
        <x:v>46196</x:v>
      </x:c>
      <x:c r="C238" s="26" t="str">
        <x:v>RAH01-2026-024</x:v>
      </x:c>
      <x:c r="D238" s="36" t="n">
        <x:v>5</x:v>
      </x:c>
      <x:c r="E238" s="26" t="str">
        <x:v>Annual health examination</x:v>
      </x:c>
      <x:c r="F238" s="25" t="str">
        <x:v>YES</x:v>
      </x:c>
      <x:c r="G238" s="25" t="str"/>
      <x:c r="H238" s="27" t="str">
        <x:v>occ_annual_health_exam</x:v>
      </x:c>
      <x:c r="I238" s="27" t="str">
        <x:v>ASM-2026-024</x:v>
      </x:c>
      <x:c r="J238" s="27" t="str">
        <x:v>CHK-2026-024-05</x:v>
      </x:c>
    </x:row>
    <x:row r="239">
      <x:c r="A239" s="28" t="str">
        <x:v>Infectious Diseases</x:v>
      </x:c>
      <x:c r="B239" s="37" t="n">
        <x:v>46196</x:v>
      </x:c>
      <x:c r="C239" s="26" t="str">
        <x:v>RAH01-2026-024</x:v>
      </x:c>
      <x:c r="D239" s="36" t="n">
        <x:v>6</x:v>
      </x:c>
      <x:c r="E239" s="26" t="str">
        <x:v>Risk-based lung-function examination</x:v>
      </x:c>
      <x:c r="F239" s="25" t="str">
        <x:v>YES</x:v>
      </x:c>
      <x:c r="G239" s="25" t="str"/>
      <x:c r="H239" s="27" t="str">
        <x:v>occ_risk_exam_lung</x:v>
      </x:c>
      <x:c r="I239" s="27" t="str">
        <x:v>ASM-2026-024</x:v>
      </x:c>
      <x:c r="J239" s="27" t="str">
        <x:v>CHK-2026-024-06</x:v>
      </x:c>
    </x:row>
    <x:row r="240">
      <x:c r="A240" s="28" t="str">
        <x:v>Infectious Diseases</x:v>
      </x:c>
      <x:c r="B240" s="37" t="n">
        <x:v>46196</x:v>
      </x:c>
      <x:c r="C240" s="26" t="str">
        <x:v>RAH01-2026-024</x:v>
      </x:c>
      <x:c r="D240" s="36" t="n">
        <x:v>7</x:v>
      </x:c>
      <x:c r="E240" s="26" t="str">
        <x:v>Risk-based hearing examination</x:v>
      </x:c>
      <x:c r="F240" s="25" t="str">
        <x:v>YES</x:v>
      </x:c>
      <x:c r="G240" s="25" t="str"/>
      <x:c r="H240" s="27" t="str">
        <x:v>occ_risk_exam_hearing</x:v>
      </x:c>
      <x:c r="I240" s="27" t="str">
        <x:v>ASM-2026-024</x:v>
      </x:c>
      <x:c r="J240" s="27" t="str">
        <x:v>CHK-2026-024-07</x:v>
      </x:c>
    </x:row>
    <x:row r="241">
      <x:c r="A241" s="28" t="str">
        <x:v>Infectious Diseases</x:v>
      </x:c>
      <x:c r="B241" s="37" t="n">
        <x:v>46196</x:v>
      </x:c>
      <x:c r="C241" s="26" t="str">
        <x:v>RAH01-2026-024</x:v>
      </x:c>
      <x:c r="D241" s="36" t="n">
        <x:v>8</x:v>
      </x:c>
      <x:c r="E241" s="26" t="str">
        <x:v>Risk-based vision examination</x:v>
      </x:c>
      <x:c r="F241" s="25" t="str">
        <x:v>YES</x:v>
      </x:c>
      <x:c r="G241" s="25" t="str"/>
      <x:c r="H241" s="27" t="str">
        <x:v>occ_risk_exam_vision</x:v>
      </x:c>
      <x:c r="I241" s="27" t="str">
        <x:v>ASM-2026-024</x:v>
      </x:c>
      <x:c r="J241" s="27" t="str">
        <x:v>CHK-2026-024-08</x:v>
      </x:c>
    </x:row>
    <x:row r="242">
      <x:c r="A242" s="28" t="str">
        <x:v>Infectious Diseases</x:v>
      </x:c>
      <x:c r="B242" s="37" t="n">
        <x:v>46196</x:v>
      </x:c>
      <x:c r="C242" s="26" t="str">
        <x:v>RAH01-2026-024</x:v>
      </x:c>
      <x:c r="D242" s="36" t="n">
        <x:v>9</x:v>
      </x:c>
      <x:c r="E242" s="26" t="str">
        <x:v>Biological monitoring</x:v>
      </x:c>
      <x:c r="F242" s="25" t="str">
        <x:v>NOT_APPLICABLE</x:v>
      </x:c>
      <x:c r="G242" s="25" t="str">
        <x:v>No indicated bio exam exposure in this department's current risk profile.</x:v>
      </x:c>
      <x:c r="H242" s="27" t="str">
        <x:v>occ_bio_exam</x:v>
      </x:c>
      <x:c r="I242" s="27" t="str">
        <x:v>ASM-2026-024</x:v>
      </x:c>
      <x:c r="J242" s="27" t="str">
        <x:v>CHK-2026-024-09</x:v>
      </x:c>
    </x:row>
    <x:row r="243">
      <x:c r="A243" s="28" t="str">
        <x:v>Infectious Diseases</x:v>
      </x:c>
      <x:c r="B243" s="37" t="n">
        <x:v>46196</x:v>
      </x:c>
      <x:c r="C243" s="26" t="str">
        <x:v>RAH01-2026-024</x:v>
      </x:c>
      <x:c r="D243" s="36" t="n">
        <x:v>10</x:v>
      </x:c>
      <x:c r="E243" s="26" t="str">
        <x:v>Workplace environmental monitoring</x:v>
      </x:c>
      <x:c r="F243" s="25" t="str">
        <x:v>YES</x:v>
      </x:c>
      <x:c r="G243" s="25" t="str"/>
      <x:c r="H243" s="27" t="str">
        <x:v>occ_env_exam</x:v>
      </x:c>
      <x:c r="I243" s="27" t="str">
        <x:v>ASM-2026-024</x:v>
      </x:c>
      <x:c r="J243" s="27" t="str">
        <x:v>CHK-2026-024-10</x:v>
      </x:c>
    </x:row>
    <x:row r="244">
      <x:c r="A244" s="28" t="str">
        <x:v>Internal Medicine</x:v>
      </x:c>
      <x:c r="B244" s="37" t="n">
        <x:v>46023</x:v>
      </x:c>
      <x:c r="C244" s="26" t="str">
        <x:v>RAH01-2026-025</x:v>
      </x:c>
      <x:c r="D244" s="36" t="n">
        <x:v>1</x:v>
      </x:c>
      <x:c r="E244" s="26" t="str">
        <x:v>Fire prevention and suppression system</x:v>
      </x:c>
      <x:c r="F244" s="25" t="str">
        <x:v>YES</x:v>
      </x:c>
      <x:c r="G244" s="25" t="str"/>
      <x:c r="H244" s="27" t="str">
        <x:v>occ_fire_safety</x:v>
      </x:c>
      <x:c r="I244" s="27" t="str">
        <x:v>ASM-2026-025</x:v>
      </x:c>
      <x:c r="J244" s="27" t="str">
        <x:v>CHK-2026-025-01</x:v>
      </x:c>
    </x:row>
    <x:row r="245">
      <x:c r="A245" s="28" t="str">
        <x:v>Internal Medicine</x:v>
      </x:c>
      <x:c r="B245" s="37" t="n">
        <x:v>46023</x:v>
      </x:c>
      <x:c r="C245" s="26" t="str">
        <x:v>RAH01-2026-025</x:v>
      </x:c>
      <x:c r="D245" s="36" t="n">
        <x:v>2</x:v>
      </x:c>
      <x:c r="E245" s="26" t="str">
        <x:v>Occupational-health education</x:v>
      </x:c>
      <x:c r="F245" s="25" t="str">
        <x:v>YES</x:v>
      </x:c>
      <x:c r="G245" s="25" t="str"/>
      <x:c r="H245" s="27" t="str">
        <x:v>occ_health_education</x:v>
      </x:c>
      <x:c r="I245" s="27" t="str">
        <x:v>ASM-2026-025</x:v>
      </x:c>
      <x:c r="J245" s="27" t="str">
        <x:v>CHK-2026-025-02</x:v>
      </x:c>
    </x:row>
    <x:row r="246">
      <x:c r="A246" s="28" t="str">
        <x:v>Internal Medicine</x:v>
      </x:c>
      <x:c r="B246" s="37" t="n">
        <x:v>46023</x:v>
      </x:c>
      <x:c r="C246" s="26" t="str">
        <x:v>RAH01-2026-025</x:v>
      </x:c>
      <x:c r="D246" s="36" t="n">
        <x:v>3</x:v>
      </x:c>
      <x:c r="E246" s="26" t="str">
        <x:v>Hazardous-waste management system</x:v>
      </x:c>
      <x:c r="F246" s="25" t="str">
        <x:v>YES</x:v>
      </x:c>
      <x:c r="G246" s="25" t="str"/>
      <x:c r="H246" s="27" t="str">
        <x:v>occ_waste_management</x:v>
      </x:c>
      <x:c r="I246" s="27" t="str">
        <x:v>ASM-2026-025</x:v>
      </x:c>
      <x:c r="J246" s="27" t="str">
        <x:v>CHK-2026-025-03</x:v>
      </x:c>
    </x:row>
    <x:row r="247">
      <x:c r="A247" s="28" t="str">
        <x:v>Internal Medicine</x:v>
      </x:c>
      <x:c r="B247" s="37" t="n">
        <x:v>46023</x:v>
      </x:c>
      <x:c r="C247" s="26" t="str">
        <x:v>RAH01-2026-025</x:v>
      </x:c>
      <x:c r="D247" s="36" t="n">
        <x:v>4</x:v>
      </x:c>
      <x:c r="E247" s="26" t="str">
        <x:v>Personal protective equipment measures</x:v>
      </x:c>
      <x:c r="F247" s="25" t="str">
        <x:v>YES</x:v>
      </x:c>
      <x:c r="G247" s="25" t="str"/>
      <x:c r="H247" s="27" t="str">
        <x:v>occ_ppe_measures</x:v>
      </x:c>
      <x:c r="I247" s="27" t="str">
        <x:v>ASM-2026-025</x:v>
      </x:c>
      <x:c r="J247" s="27" t="str">
        <x:v>CHK-2026-025-04</x:v>
      </x:c>
    </x:row>
    <x:row r="248">
      <x:c r="A248" s="28" t="str">
        <x:v>Internal Medicine</x:v>
      </x:c>
      <x:c r="B248" s="37" t="n">
        <x:v>46023</x:v>
      </x:c>
      <x:c r="C248" s="26" t="str">
        <x:v>RAH01-2026-025</x:v>
      </x:c>
      <x:c r="D248" s="36" t="n">
        <x:v>5</x:v>
      </x:c>
      <x:c r="E248" s="26" t="str">
        <x:v>Annual health examination</x:v>
      </x:c>
      <x:c r="F248" s="25" t="str">
        <x:v>YES</x:v>
      </x:c>
      <x:c r="G248" s="25" t="str"/>
      <x:c r="H248" s="27" t="str">
        <x:v>occ_annual_health_exam</x:v>
      </x:c>
      <x:c r="I248" s="27" t="str">
        <x:v>ASM-2026-025</x:v>
      </x:c>
      <x:c r="J248" s="27" t="str">
        <x:v>CHK-2026-025-05</x:v>
      </x:c>
    </x:row>
    <x:row r="249">
      <x:c r="A249" s="28" t="str">
        <x:v>Internal Medicine</x:v>
      </x:c>
      <x:c r="B249" s="37" t="n">
        <x:v>46023</x:v>
      </x:c>
      <x:c r="C249" s="26" t="str">
        <x:v>RAH01-2026-025</x:v>
      </x:c>
      <x:c r="D249" s="36" t="n">
        <x:v>6</x:v>
      </x:c>
      <x:c r="E249" s="26" t="str">
        <x:v>Risk-based lung-function examination</x:v>
      </x:c>
      <x:c r="F249" s="25" t="str">
        <x:v>YES</x:v>
      </x:c>
      <x:c r="G249" s="25" t="str"/>
      <x:c r="H249" s="27" t="str">
        <x:v>occ_risk_exam_lung</x:v>
      </x:c>
      <x:c r="I249" s="27" t="str">
        <x:v>ASM-2026-025</x:v>
      </x:c>
      <x:c r="J249" s="27" t="str">
        <x:v>CHK-2026-025-06</x:v>
      </x:c>
    </x:row>
    <x:row r="250">
      <x:c r="A250" s="28" t="str">
        <x:v>Internal Medicine</x:v>
      </x:c>
      <x:c r="B250" s="37" t="n">
        <x:v>46023</x:v>
      </x:c>
      <x:c r="C250" s="26" t="str">
        <x:v>RAH01-2026-025</x:v>
      </x:c>
      <x:c r="D250" s="36" t="n">
        <x:v>7</x:v>
      </x:c>
      <x:c r="E250" s="26" t="str">
        <x:v>Risk-based hearing examination</x:v>
      </x:c>
      <x:c r="F250" s="25" t="str">
        <x:v>YES</x:v>
      </x:c>
      <x:c r="G250" s="25" t="str"/>
      <x:c r="H250" s="27" t="str">
        <x:v>occ_risk_exam_hearing</x:v>
      </x:c>
      <x:c r="I250" s="27" t="str">
        <x:v>ASM-2026-025</x:v>
      </x:c>
      <x:c r="J250" s="27" t="str">
        <x:v>CHK-2026-025-07</x:v>
      </x:c>
    </x:row>
    <x:row r="251">
      <x:c r="A251" s="28" t="str">
        <x:v>Internal Medicine</x:v>
      </x:c>
      <x:c r="B251" s="37" t="n">
        <x:v>46023</x:v>
      </x:c>
      <x:c r="C251" s="26" t="str">
        <x:v>RAH01-2026-025</x:v>
      </x:c>
      <x:c r="D251" s="36" t="n">
        <x:v>8</x:v>
      </x:c>
      <x:c r="E251" s="26" t="str">
        <x:v>Risk-based vision examination</x:v>
      </x:c>
      <x:c r="F251" s="25" t="str">
        <x:v>NOT_APPLICABLE</x:v>
      </x:c>
      <x:c r="G251" s="25" t="str">
        <x:v>No indicated risk exam vision exposure in this department's current risk profile.</x:v>
      </x:c>
      <x:c r="H251" s="27" t="str">
        <x:v>occ_risk_exam_vision</x:v>
      </x:c>
      <x:c r="I251" s="27" t="str">
        <x:v>ASM-2026-025</x:v>
      </x:c>
      <x:c r="J251" s="27" t="str">
        <x:v>CHK-2026-025-08</x:v>
      </x:c>
    </x:row>
    <x:row r="252">
      <x:c r="A252" s="28" t="str">
        <x:v>Internal Medicine</x:v>
      </x:c>
      <x:c r="B252" s="37" t="n">
        <x:v>46023</x:v>
      </x:c>
      <x:c r="C252" s="26" t="str">
        <x:v>RAH01-2026-025</x:v>
      </x:c>
      <x:c r="D252" s="36" t="n">
        <x:v>9</x:v>
      </x:c>
      <x:c r="E252" s="26" t="str">
        <x:v>Biological monitoring</x:v>
      </x:c>
      <x:c r="F252" s="25" t="str">
        <x:v>YES</x:v>
      </x:c>
      <x:c r="G252" s="25" t="str"/>
      <x:c r="H252" s="27" t="str">
        <x:v>occ_bio_exam</x:v>
      </x:c>
      <x:c r="I252" s="27" t="str">
        <x:v>ASM-2026-025</x:v>
      </x:c>
      <x:c r="J252" s="27" t="str">
        <x:v>CHK-2026-025-09</x:v>
      </x:c>
    </x:row>
    <x:row r="253">
      <x:c r="A253" s="28" t="str">
        <x:v>Internal Medicine</x:v>
      </x:c>
      <x:c r="B253" s="37" t="n">
        <x:v>46023</x:v>
      </x:c>
      <x:c r="C253" s="26" t="str">
        <x:v>RAH01-2026-025</x:v>
      </x:c>
      <x:c r="D253" s="36" t="n">
        <x:v>10</x:v>
      </x:c>
      <x:c r="E253" s="26" t="str">
        <x:v>Workplace environmental monitoring</x:v>
      </x:c>
      <x:c r="F253" s="25" t="str">
        <x:v>YES</x:v>
      </x:c>
      <x:c r="G253" s="25" t="str"/>
      <x:c r="H253" s="27" t="str">
        <x:v>occ_env_exam</x:v>
      </x:c>
      <x:c r="I253" s="27" t="str">
        <x:v>ASM-2026-025</x:v>
      </x:c>
      <x:c r="J253" s="27" t="str">
        <x:v>CHK-2026-025-10</x:v>
      </x:c>
    </x:row>
    <x:row r="254">
      <x:c r="A254" s="28" t="str">
        <x:v>Laboratory</x:v>
      </x:c>
      <x:c r="B254" s="37" t="n">
        <x:v>46057</x:v>
      </x:c>
      <x:c r="C254" s="26" t="str">
        <x:v>RAH01-2026-026</x:v>
      </x:c>
      <x:c r="D254" s="36" t="n">
        <x:v>1</x:v>
      </x:c>
      <x:c r="E254" s="26" t="str">
        <x:v>Fire prevention and suppression system</x:v>
      </x:c>
      <x:c r="F254" s="25" t="str">
        <x:v>YES</x:v>
      </x:c>
      <x:c r="G254" s="25" t="str"/>
      <x:c r="H254" s="27" t="str">
        <x:v>occ_fire_safety</x:v>
      </x:c>
      <x:c r="I254" s="27" t="str">
        <x:v>ASM-2026-026</x:v>
      </x:c>
      <x:c r="J254" s="27" t="str">
        <x:v>CHK-2026-026-01</x:v>
      </x:c>
    </x:row>
    <x:row r="255">
      <x:c r="A255" s="28" t="str">
        <x:v>Laboratory</x:v>
      </x:c>
      <x:c r="B255" s="37" t="n">
        <x:v>46057</x:v>
      </x:c>
      <x:c r="C255" s="26" t="str">
        <x:v>RAH01-2026-026</x:v>
      </x:c>
      <x:c r="D255" s="36" t="n">
        <x:v>2</x:v>
      </x:c>
      <x:c r="E255" s="26" t="str">
        <x:v>Occupational-health education</x:v>
      </x:c>
      <x:c r="F255" s="25" t="str">
        <x:v>YES</x:v>
      </x:c>
      <x:c r="G255" s="25" t="str"/>
      <x:c r="H255" s="27" t="str">
        <x:v>occ_health_education</x:v>
      </x:c>
      <x:c r="I255" s="27" t="str">
        <x:v>ASM-2026-026</x:v>
      </x:c>
      <x:c r="J255" s="27" t="str">
        <x:v>CHK-2026-026-02</x:v>
      </x:c>
    </x:row>
    <x:row r="256">
      <x:c r="A256" s="28" t="str">
        <x:v>Laboratory</x:v>
      </x:c>
      <x:c r="B256" s="37" t="n">
        <x:v>46057</x:v>
      </x:c>
      <x:c r="C256" s="26" t="str">
        <x:v>RAH01-2026-026</x:v>
      </x:c>
      <x:c r="D256" s="36" t="n">
        <x:v>3</x:v>
      </x:c>
      <x:c r="E256" s="26" t="str">
        <x:v>Hazardous-waste management system</x:v>
      </x:c>
      <x:c r="F256" s="25" t="str">
        <x:v>YES</x:v>
      </x:c>
      <x:c r="G256" s="25" t="str"/>
      <x:c r="H256" s="27" t="str">
        <x:v>occ_waste_management</x:v>
      </x:c>
      <x:c r="I256" s="27" t="str">
        <x:v>ASM-2026-026</x:v>
      </x:c>
      <x:c r="J256" s="27" t="str">
        <x:v>CHK-2026-026-03</x:v>
      </x:c>
    </x:row>
    <x:row r="257">
      <x:c r="A257" s="28" t="str">
        <x:v>Laboratory</x:v>
      </x:c>
      <x:c r="B257" s="37" t="n">
        <x:v>46057</x:v>
      </x:c>
      <x:c r="C257" s="26" t="str">
        <x:v>RAH01-2026-026</x:v>
      </x:c>
      <x:c r="D257" s="36" t="n">
        <x:v>4</x:v>
      </x:c>
      <x:c r="E257" s="26" t="str">
        <x:v>Personal protective equipment measures</x:v>
      </x:c>
      <x:c r="F257" s="25" t="str">
        <x:v>YES</x:v>
      </x:c>
      <x:c r="G257" s="25" t="str"/>
      <x:c r="H257" s="27" t="str">
        <x:v>occ_ppe_measures</x:v>
      </x:c>
      <x:c r="I257" s="27" t="str">
        <x:v>ASM-2026-026</x:v>
      </x:c>
      <x:c r="J257" s="27" t="str">
        <x:v>CHK-2026-026-04</x:v>
      </x:c>
    </x:row>
    <x:row r="258">
      <x:c r="A258" s="28" t="str">
        <x:v>Laboratory</x:v>
      </x:c>
      <x:c r="B258" s="37" t="n">
        <x:v>46057</x:v>
      </x:c>
      <x:c r="C258" s="26" t="str">
        <x:v>RAH01-2026-026</x:v>
      </x:c>
      <x:c r="D258" s="36" t="n">
        <x:v>5</x:v>
      </x:c>
      <x:c r="E258" s="26" t="str">
        <x:v>Annual health examination</x:v>
      </x:c>
      <x:c r="F258" s="25" t="str">
        <x:v>YES</x:v>
      </x:c>
      <x:c r="G258" s="25" t="str"/>
      <x:c r="H258" s="27" t="str">
        <x:v>occ_annual_health_exam</x:v>
      </x:c>
      <x:c r="I258" s="27" t="str">
        <x:v>ASM-2026-026</x:v>
      </x:c>
      <x:c r="J258" s="27" t="str">
        <x:v>CHK-2026-026-05</x:v>
      </x:c>
    </x:row>
    <x:row r="259">
      <x:c r="A259" s="28" t="str">
        <x:v>Laboratory</x:v>
      </x:c>
      <x:c r="B259" s="37" t="n">
        <x:v>46057</x:v>
      </x:c>
      <x:c r="C259" s="26" t="str">
        <x:v>RAH01-2026-026</x:v>
      </x:c>
      <x:c r="D259" s="36" t="n">
        <x:v>6</x:v>
      </x:c>
      <x:c r="E259" s="26" t="str">
        <x:v>Risk-based lung-function examination</x:v>
      </x:c>
      <x:c r="F259" s="25" t="str">
        <x:v>YES</x:v>
      </x:c>
      <x:c r="G259" s="25" t="str"/>
      <x:c r="H259" s="27" t="str">
        <x:v>occ_risk_exam_lung</x:v>
      </x:c>
      <x:c r="I259" s="27" t="str">
        <x:v>ASM-2026-026</x:v>
      </x:c>
      <x:c r="J259" s="27" t="str">
        <x:v>CHK-2026-026-06</x:v>
      </x:c>
    </x:row>
    <x:row r="260">
      <x:c r="A260" s="28" t="str">
        <x:v>Laboratory</x:v>
      </x:c>
      <x:c r="B260" s="37" t="n">
        <x:v>46057</x:v>
      </x:c>
      <x:c r="C260" s="26" t="str">
        <x:v>RAH01-2026-026</x:v>
      </x:c>
      <x:c r="D260" s="36" t="n">
        <x:v>7</x:v>
      </x:c>
      <x:c r="E260" s="26" t="str">
        <x:v>Risk-based hearing examination</x:v>
      </x:c>
      <x:c r="F260" s="25" t="str">
        <x:v>NOT_APPLICABLE</x:v>
      </x:c>
      <x:c r="G260" s="25" t="str">
        <x:v>No indicated risk exam hearing exposure in this department's current risk profile.</x:v>
      </x:c>
      <x:c r="H260" s="27" t="str">
        <x:v>occ_risk_exam_hearing</x:v>
      </x:c>
      <x:c r="I260" s="27" t="str">
        <x:v>ASM-2026-026</x:v>
      </x:c>
      <x:c r="J260" s="27" t="str">
        <x:v>CHK-2026-026-07</x:v>
      </x:c>
    </x:row>
    <x:row r="261">
      <x:c r="A261" s="28" t="str">
        <x:v>Laboratory</x:v>
      </x:c>
      <x:c r="B261" s="37" t="n">
        <x:v>46057</x:v>
      </x:c>
      <x:c r="C261" s="26" t="str">
        <x:v>RAH01-2026-026</x:v>
      </x:c>
      <x:c r="D261" s="36" t="n">
        <x:v>8</x:v>
      </x:c>
      <x:c r="E261" s="26" t="str">
        <x:v>Risk-based vision examination</x:v>
      </x:c>
      <x:c r="F261" s="25" t="str">
        <x:v>NO</x:v>
      </x:c>
      <x:c r="G261" s="25" t="str"/>
      <x:c r="H261" s="27" t="str">
        <x:v>occ_risk_exam_vision</x:v>
      </x:c>
      <x:c r="I261" s="27" t="str">
        <x:v>ASM-2026-026</x:v>
      </x:c>
      <x:c r="J261" s="27" t="str">
        <x:v>CHK-2026-026-08</x:v>
      </x:c>
    </x:row>
    <x:row r="262">
      <x:c r="A262" s="28" t="str">
        <x:v>Laboratory</x:v>
      </x:c>
      <x:c r="B262" s="37" t="n">
        <x:v>46057</x:v>
      </x:c>
      <x:c r="C262" s="26" t="str">
        <x:v>RAH01-2026-026</x:v>
      </x:c>
      <x:c r="D262" s="36" t="n">
        <x:v>9</x:v>
      </x:c>
      <x:c r="E262" s="26" t="str">
        <x:v>Biological monitoring</x:v>
      </x:c>
      <x:c r="F262" s="25" t="str">
        <x:v>YES</x:v>
      </x:c>
      <x:c r="G262" s="25" t="str"/>
      <x:c r="H262" s="27" t="str">
        <x:v>occ_bio_exam</x:v>
      </x:c>
      <x:c r="I262" s="27" t="str">
        <x:v>ASM-2026-026</x:v>
      </x:c>
      <x:c r="J262" s="27" t="str">
        <x:v>CHK-2026-026-09</x:v>
      </x:c>
    </x:row>
    <x:row r="263">
      <x:c r="A263" s="28" t="str">
        <x:v>Laboratory</x:v>
      </x:c>
      <x:c r="B263" s="37" t="n">
        <x:v>46057</x:v>
      </x:c>
      <x:c r="C263" s="26" t="str">
        <x:v>RAH01-2026-026</x:v>
      </x:c>
      <x:c r="D263" s="36" t="n">
        <x:v>10</x:v>
      </x:c>
      <x:c r="E263" s="26" t="str">
        <x:v>Workplace environmental monitoring</x:v>
      </x:c>
      <x:c r="F263" s="25" t="str">
        <x:v>YES</x:v>
      </x:c>
      <x:c r="G263" s="25" t="str"/>
      <x:c r="H263" s="27" t="str">
        <x:v>occ_env_exam</x:v>
      </x:c>
      <x:c r="I263" s="27" t="str">
        <x:v>ASM-2026-026</x:v>
      </x:c>
      <x:c r="J263" s="27" t="str">
        <x:v>CHK-2026-026-10</x:v>
      </x:c>
    </x:row>
    <x:row r="264">
      <x:c r="A264" s="28" t="str">
        <x:v>Laundry</x:v>
      </x:c>
      <x:c r="B264" s="37" t="n">
        <x:v>46088</x:v>
      </x:c>
      <x:c r="C264" s="26" t="str">
        <x:v>RAH01-2026-027</x:v>
      </x:c>
      <x:c r="D264" s="36" t="n">
        <x:v>1</x:v>
      </x:c>
      <x:c r="E264" s="26" t="str">
        <x:v>Fire prevention and suppression system</x:v>
      </x:c>
      <x:c r="F264" s="25" t="str">
        <x:v>YES</x:v>
      </x:c>
      <x:c r="G264" s="25" t="str"/>
      <x:c r="H264" s="27" t="str">
        <x:v>occ_fire_safety</x:v>
      </x:c>
      <x:c r="I264" s="27" t="str">
        <x:v>ASM-2026-027</x:v>
      </x:c>
      <x:c r="J264" s="27" t="str">
        <x:v>CHK-2026-027-01</x:v>
      </x:c>
    </x:row>
    <x:row r="265">
      <x:c r="A265" s="28" t="str">
        <x:v>Laundry</x:v>
      </x:c>
      <x:c r="B265" s="37" t="n">
        <x:v>46088</x:v>
      </x:c>
      <x:c r="C265" s="26" t="str">
        <x:v>RAH01-2026-027</x:v>
      </x:c>
      <x:c r="D265" s="36" t="n">
        <x:v>2</x:v>
      </x:c>
      <x:c r="E265" s="26" t="str">
        <x:v>Occupational-health education</x:v>
      </x:c>
      <x:c r="F265" s="25" t="str">
        <x:v>YES</x:v>
      </x:c>
      <x:c r="G265" s="25" t="str"/>
      <x:c r="H265" s="27" t="str">
        <x:v>occ_health_education</x:v>
      </x:c>
      <x:c r="I265" s="27" t="str">
        <x:v>ASM-2026-027</x:v>
      </x:c>
      <x:c r="J265" s="27" t="str">
        <x:v>CHK-2026-027-02</x:v>
      </x:c>
    </x:row>
    <x:row r="266">
      <x:c r="A266" s="28" t="str">
        <x:v>Laundry</x:v>
      </x:c>
      <x:c r="B266" s="37" t="n">
        <x:v>46088</x:v>
      </x:c>
      <x:c r="C266" s="26" t="str">
        <x:v>RAH01-2026-027</x:v>
      </x:c>
      <x:c r="D266" s="36" t="n">
        <x:v>3</x:v>
      </x:c>
      <x:c r="E266" s="26" t="str">
        <x:v>Hazardous-waste management system</x:v>
      </x:c>
      <x:c r="F266" s="25" t="str">
        <x:v>YES</x:v>
      </x:c>
      <x:c r="G266" s="25" t="str"/>
      <x:c r="H266" s="27" t="str">
        <x:v>occ_waste_management</x:v>
      </x:c>
      <x:c r="I266" s="27" t="str">
        <x:v>ASM-2026-027</x:v>
      </x:c>
      <x:c r="J266" s="27" t="str">
        <x:v>CHK-2026-027-03</x:v>
      </x:c>
    </x:row>
    <x:row r="267">
      <x:c r="A267" s="28" t="str">
        <x:v>Laundry</x:v>
      </x:c>
      <x:c r="B267" s="37" t="n">
        <x:v>46088</x:v>
      </x:c>
      <x:c r="C267" s="26" t="str">
        <x:v>RAH01-2026-027</x:v>
      </x:c>
      <x:c r="D267" s="36" t="n">
        <x:v>4</x:v>
      </x:c>
      <x:c r="E267" s="26" t="str">
        <x:v>Personal protective equipment measures</x:v>
      </x:c>
      <x:c r="F267" s="25" t="str">
        <x:v>YES</x:v>
      </x:c>
      <x:c r="G267" s="25" t="str"/>
      <x:c r="H267" s="27" t="str">
        <x:v>occ_ppe_measures</x:v>
      </x:c>
      <x:c r="I267" s="27" t="str">
        <x:v>ASM-2026-027</x:v>
      </x:c>
      <x:c r="J267" s="27" t="str">
        <x:v>CHK-2026-027-04</x:v>
      </x:c>
    </x:row>
    <x:row r="268">
      <x:c r="A268" s="28" t="str">
        <x:v>Laundry</x:v>
      </x:c>
      <x:c r="B268" s="37" t="n">
        <x:v>46088</x:v>
      </x:c>
      <x:c r="C268" s="26" t="str">
        <x:v>RAH01-2026-027</x:v>
      </x:c>
      <x:c r="D268" s="36" t="n">
        <x:v>5</x:v>
      </x:c>
      <x:c r="E268" s="26" t="str">
        <x:v>Annual health examination</x:v>
      </x:c>
      <x:c r="F268" s="25" t="str">
        <x:v>NO</x:v>
      </x:c>
      <x:c r="G268" s="25" t="str"/>
      <x:c r="H268" s="27" t="str">
        <x:v>occ_annual_health_exam</x:v>
      </x:c>
      <x:c r="I268" s="27" t="str">
        <x:v>ASM-2026-027</x:v>
      </x:c>
      <x:c r="J268" s="27" t="str">
        <x:v>CHK-2026-027-05</x:v>
      </x:c>
    </x:row>
    <x:row r="269">
      <x:c r="A269" s="28" t="str">
        <x:v>Laundry</x:v>
      </x:c>
      <x:c r="B269" s="37" t="n">
        <x:v>46088</x:v>
      </x:c>
      <x:c r="C269" s="26" t="str">
        <x:v>RAH01-2026-027</x:v>
      </x:c>
      <x:c r="D269" s="36" t="n">
        <x:v>6</x:v>
      </x:c>
      <x:c r="E269" s="26" t="str">
        <x:v>Risk-based lung-function examination</x:v>
      </x:c>
      <x:c r="F269" s="25" t="str">
        <x:v>NOT_APPLICABLE</x:v>
      </x:c>
      <x:c r="G269" s="25" t="str">
        <x:v>No indicated risk exam lung exposure in this department's current risk profile.</x:v>
      </x:c>
      <x:c r="H269" s="27" t="str">
        <x:v>occ_risk_exam_lung</x:v>
      </x:c>
      <x:c r="I269" s="27" t="str">
        <x:v>ASM-2026-027</x:v>
      </x:c>
      <x:c r="J269" s="27" t="str">
        <x:v>CHK-2026-027-06</x:v>
      </x:c>
    </x:row>
    <x:row r="270">
      <x:c r="A270" s="28" t="str">
        <x:v>Laundry</x:v>
      </x:c>
      <x:c r="B270" s="37" t="n">
        <x:v>46088</x:v>
      </x:c>
      <x:c r="C270" s="26" t="str">
        <x:v>RAH01-2026-027</x:v>
      </x:c>
      <x:c r="D270" s="36" t="n">
        <x:v>7</x:v>
      </x:c>
      <x:c r="E270" s="26" t="str">
        <x:v>Risk-based hearing examination</x:v>
      </x:c>
      <x:c r="F270" s="25" t="str">
        <x:v>YES</x:v>
      </x:c>
      <x:c r="G270" s="25" t="str"/>
      <x:c r="H270" s="27" t="str">
        <x:v>occ_risk_exam_hearing</x:v>
      </x:c>
      <x:c r="I270" s="27" t="str">
        <x:v>ASM-2026-027</x:v>
      </x:c>
      <x:c r="J270" s="27" t="str">
        <x:v>CHK-2026-027-07</x:v>
      </x:c>
    </x:row>
    <x:row r="271">
      <x:c r="A271" s="28" t="str">
        <x:v>Laundry</x:v>
      </x:c>
      <x:c r="B271" s="37" t="n">
        <x:v>46088</x:v>
      </x:c>
      <x:c r="C271" s="26" t="str">
        <x:v>RAH01-2026-027</x:v>
      </x:c>
      <x:c r="D271" s="36" t="n">
        <x:v>8</x:v>
      </x:c>
      <x:c r="E271" s="26" t="str">
        <x:v>Risk-based vision examination</x:v>
      </x:c>
      <x:c r="F271" s="25" t="str">
        <x:v>YES</x:v>
      </x:c>
      <x:c r="G271" s="25" t="str"/>
      <x:c r="H271" s="27" t="str">
        <x:v>occ_risk_exam_vision</x:v>
      </x:c>
      <x:c r="I271" s="27" t="str">
        <x:v>ASM-2026-027</x:v>
      </x:c>
      <x:c r="J271" s="27" t="str">
        <x:v>CHK-2026-027-08</x:v>
      </x:c>
    </x:row>
    <x:row r="272">
      <x:c r="A272" s="28" t="str">
        <x:v>Laundry</x:v>
      </x:c>
      <x:c r="B272" s="37" t="n">
        <x:v>46088</x:v>
      </x:c>
      <x:c r="C272" s="26" t="str">
        <x:v>RAH01-2026-027</x:v>
      </x:c>
      <x:c r="D272" s="36" t="n">
        <x:v>9</x:v>
      </x:c>
      <x:c r="E272" s="26" t="str">
        <x:v>Biological monitoring</x:v>
      </x:c>
      <x:c r="F272" s="25" t="str">
        <x:v>YES</x:v>
      </x:c>
      <x:c r="G272" s="25" t="str"/>
      <x:c r="H272" s="27" t="str">
        <x:v>occ_bio_exam</x:v>
      </x:c>
      <x:c r="I272" s="27" t="str">
        <x:v>ASM-2026-027</x:v>
      </x:c>
      <x:c r="J272" s="27" t="str">
        <x:v>CHK-2026-027-09</x:v>
      </x:c>
    </x:row>
    <x:row r="273">
      <x:c r="A273" s="28" t="str">
        <x:v>Laundry</x:v>
      </x:c>
      <x:c r="B273" s="37" t="n">
        <x:v>46088</x:v>
      </x:c>
      <x:c r="C273" s="26" t="str">
        <x:v>RAH01-2026-027</x:v>
      </x:c>
      <x:c r="D273" s="36" t="n">
        <x:v>10</x:v>
      </x:c>
      <x:c r="E273" s="26" t="str">
        <x:v>Workplace environmental monitoring</x:v>
      </x:c>
      <x:c r="F273" s="25" t="str">
        <x:v>NOT_APPLICABLE</x:v>
      </x:c>
      <x:c r="G273" s="25" t="str">
        <x:v>No indicated env exam exposure in this department's current risk profile.</x:v>
      </x:c>
      <x:c r="H273" s="27" t="str">
        <x:v>occ_env_exam</x:v>
      </x:c>
      <x:c r="I273" s="27" t="str">
        <x:v>ASM-2026-027</x:v>
      </x:c>
      <x:c r="J273" s="27" t="str">
        <x:v>CHK-2026-027-10</x:v>
      </x:c>
    </x:row>
    <x:row r="274">
      <x:c r="A274" s="28" t="str">
        <x:v>Medical Records</x:v>
      </x:c>
      <x:c r="B274" s="37" t="n">
        <x:v>46122</x:v>
      </x:c>
      <x:c r="C274" s="26" t="str">
        <x:v>RAH01-2026-028</x:v>
      </x:c>
      <x:c r="D274" s="36" t="n">
        <x:v>1</x:v>
      </x:c>
      <x:c r="E274" s="26" t="str">
        <x:v>Fire prevention and suppression system</x:v>
      </x:c>
      <x:c r="F274" s="25" t="str">
        <x:v>YES</x:v>
      </x:c>
      <x:c r="G274" s="25" t="str"/>
      <x:c r="H274" s="27" t="str">
        <x:v>occ_fire_safety</x:v>
      </x:c>
      <x:c r="I274" s="27" t="str">
        <x:v>ASM-2026-028</x:v>
      </x:c>
      <x:c r="J274" s="27" t="str">
        <x:v>CHK-2026-028-01</x:v>
      </x:c>
    </x:row>
    <x:row r="275">
      <x:c r="A275" s="28" t="str">
        <x:v>Medical Records</x:v>
      </x:c>
      <x:c r="B275" s="37" t="n">
        <x:v>46122</x:v>
      </x:c>
      <x:c r="C275" s="26" t="str">
        <x:v>RAH01-2026-028</x:v>
      </x:c>
      <x:c r="D275" s="36" t="n">
        <x:v>2</x:v>
      </x:c>
      <x:c r="E275" s="26" t="str">
        <x:v>Occupational-health education</x:v>
      </x:c>
      <x:c r="F275" s="25" t="str">
        <x:v>NO</x:v>
      </x:c>
      <x:c r="G275" s="25" t="str"/>
      <x:c r="H275" s="27" t="str">
        <x:v>occ_health_education</x:v>
      </x:c>
      <x:c r="I275" s="27" t="str">
        <x:v>ASM-2026-028</x:v>
      </x:c>
      <x:c r="J275" s="27" t="str">
        <x:v>CHK-2026-028-02</x:v>
      </x:c>
    </x:row>
    <x:row r="276">
      <x:c r="A276" s="28" t="str">
        <x:v>Medical Records</x:v>
      </x:c>
      <x:c r="B276" s="37" t="n">
        <x:v>46122</x:v>
      </x:c>
      <x:c r="C276" s="26" t="str">
        <x:v>RAH01-2026-028</x:v>
      </x:c>
      <x:c r="D276" s="36" t="n">
        <x:v>3</x:v>
      </x:c>
      <x:c r="E276" s="26" t="str">
        <x:v>Hazardous-waste management system</x:v>
      </x:c>
      <x:c r="F276" s="25" t="str">
        <x:v>YES</x:v>
      </x:c>
      <x:c r="G276" s="25" t="str"/>
      <x:c r="H276" s="27" t="str">
        <x:v>occ_waste_management</x:v>
      </x:c>
      <x:c r="I276" s="27" t="str">
        <x:v>ASM-2026-028</x:v>
      </x:c>
      <x:c r="J276" s="27" t="str">
        <x:v>CHK-2026-028-03</x:v>
      </x:c>
    </x:row>
    <x:row r="277">
      <x:c r="A277" s="28" t="str">
        <x:v>Medical Records</x:v>
      </x:c>
      <x:c r="B277" s="37" t="n">
        <x:v>46122</x:v>
      </x:c>
      <x:c r="C277" s="26" t="str">
        <x:v>RAH01-2026-028</x:v>
      </x:c>
      <x:c r="D277" s="36" t="n">
        <x:v>4</x:v>
      </x:c>
      <x:c r="E277" s="26" t="str">
        <x:v>Personal protective equipment measures</x:v>
      </x:c>
      <x:c r="F277" s="25" t="str">
        <x:v>YES</x:v>
      </x:c>
      <x:c r="G277" s="25" t="str"/>
      <x:c r="H277" s="27" t="str">
        <x:v>occ_ppe_measures</x:v>
      </x:c>
      <x:c r="I277" s="27" t="str">
        <x:v>ASM-2026-028</x:v>
      </x:c>
      <x:c r="J277" s="27" t="str">
        <x:v>CHK-2026-028-04</x:v>
      </x:c>
    </x:row>
    <x:row r="278">
      <x:c r="A278" s="28" t="str">
        <x:v>Medical Records</x:v>
      </x:c>
      <x:c r="B278" s="37" t="n">
        <x:v>46122</x:v>
      </x:c>
      <x:c r="C278" s="26" t="str">
        <x:v>RAH01-2026-028</x:v>
      </x:c>
      <x:c r="D278" s="36" t="n">
        <x:v>5</x:v>
      </x:c>
      <x:c r="E278" s="26" t="str">
        <x:v>Annual health examination</x:v>
      </x:c>
      <x:c r="F278" s="25" t="str">
        <x:v>YES</x:v>
      </x:c>
      <x:c r="G278" s="25" t="str"/>
      <x:c r="H278" s="27" t="str">
        <x:v>occ_annual_health_exam</x:v>
      </x:c>
      <x:c r="I278" s="27" t="str">
        <x:v>ASM-2026-028</x:v>
      </x:c>
      <x:c r="J278" s="27" t="str">
        <x:v>CHK-2026-028-05</x:v>
      </x:c>
    </x:row>
    <x:row r="279">
      <x:c r="A279" s="28" t="str">
        <x:v>Medical Records</x:v>
      </x:c>
      <x:c r="B279" s="37" t="n">
        <x:v>46122</x:v>
      </x:c>
      <x:c r="C279" s="26" t="str">
        <x:v>RAH01-2026-028</x:v>
      </x:c>
      <x:c r="D279" s="36" t="n">
        <x:v>6</x:v>
      </x:c>
      <x:c r="E279" s="26" t="str">
        <x:v>Risk-based lung-function examination</x:v>
      </x:c>
      <x:c r="F279" s="25" t="str">
        <x:v>YES</x:v>
      </x:c>
      <x:c r="G279" s="25" t="str"/>
      <x:c r="H279" s="27" t="str">
        <x:v>occ_risk_exam_lung</x:v>
      </x:c>
      <x:c r="I279" s="27" t="str">
        <x:v>ASM-2026-028</x:v>
      </x:c>
      <x:c r="J279" s="27" t="str">
        <x:v>CHK-2026-028-06</x:v>
      </x:c>
    </x:row>
    <x:row r="280">
      <x:c r="A280" s="28" t="str">
        <x:v>Medical Records</x:v>
      </x:c>
      <x:c r="B280" s="37" t="n">
        <x:v>46122</x:v>
      </x:c>
      <x:c r="C280" s="26" t="str">
        <x:v>RAH01-2026-028</x:v>
      </x:c>
      <x:c r="D280" s="36" t="n">
        <x:v>7</x:v>
      </x:c>
      <x:c r="E280" s="26" t="str">
        <x:v>Risk-based hearing examination</x:v>
      </x:c>
      <x:c r="F280" s="25" t="str">
        <x:v>YES</x:v>
      </x:c>
      <x:c r="G280" s="25" t="str"/>
      <x:c r="H280" s="27" t="str">
        <x:v>occ_risk_exam_hearing</x:v>
      </x:c>
      <x:c r="I280" s="27" t="str">
        <x:v>ASM-2026-028</x:v>
      </x:c>
      <x:c r="J280" s="27" t="str">
        <x:v>CHK-2026-028-07</x:v>
      </x:c>
    </x:row>
    <x:row r="281">
      <x:c r="A281" s="28" t="str">
        <x:v>Medical Records</x:v>
      </x:c>
      <x:c r="B281" s="37" t="n">
        <x:v>46122</x:v>
      </x:c>
      <x:c r="C281" s="26" t="str">
        <x:v>RAH01-2026-028</x:v>
      </x:c>
      <x:c r="D281" s="36" t="n">
        <x:v>8</x:v>
      </x:c>
      <x:c r="E281" s="26" t="str">
        <x:v>Risk-based vision examination</x:v>
      </x:c>
      <x:c r="F281" s="25" t="str">
        <x:v>YES</x:v>
      </x:c>
      <x:c r="G281" s="25" t="str"/>
      <x:c r="H281" s="27" t="str">
        <x:v>occ_risk_exam_vision</x:v>
      </x:c>
      <x:c r="I281" s="27" t="str">
        <x:v>ASM-2026-028</x:v>
      </x:c>
      <x:c r="J281" s="27" t="str">
        <x:v>CHK-2026-028-08</x:v>
      </x:c>
    </x:row>
    <x:row r="282">
      <x:c r="A282" s="28" t="str">
        <x:v>Medical Records</x:v>
      </x:c>
      <x:c r="B282" s="37" t="n">
        <x:v>46122</x:v>
      </x:c>
      <x:c r="C282" s="26" t="str">
        <x:v>RAH01-2026-028</x:v>
      </x:c>
      <x:c r="D282" s="36" t="n">
        <x:v>9</x:v>
      </x:c>
      <x:c r="E282" s="26" t="str">
        <x:v>Biological monitoring</x:v>
      </x:c>
      <x:c r="F282" s="25" t="str">
        <x:v>NOT_APPLICABLE</x:v>
      </x:c>
      <x:c r="G282" s="25" t="str">
        <x:v>No indicated bio exam exposure in this department's current risk profile.</x:v>
      </x:c>
      <x:c r="H282" s="27" t="str">
        <x:v>occ_bio_exam</x:v>
      </x:c>
      <x:c r="I282" s="27" t="str">
        <x:v>ASM-2026-028</x:v>
      </x:c>
      <x:c r="J282" s="27" t="str">
        <x:v>CHK-2026-028-09</x:v>
      </x:c>
    </x:row>
    <x:row r="283">
      <x:c r="A283" s="28" t="str">
        <x:v>Medical Records</x:v>
      </x:c>
      <x:c r="B283" s="37" t="n">
        <x:v>46122</x:v>
      </x:c>
      <x:c r="C283" s="26" t="str">
        <x:v>RAH01-2026-028</x:v>
      </x:c>
      <x:c r="D283" s="36" t="n">
        <x:v>10</x:v>
      </x:c>
      <x:c r="E283" s="26" t="str">
        <x:v>Workplace environmental monitoring</x:v>
      </x:c>
      <x:c r="F283" s="25" t="str">
        <x:v>YES</x:v>
      </x:c>
      <x:c r="G283" s="25" t="str"/>
      <x:c r="H283" s="27" t="str">
        <x:v>occ_env_exam</x:v>
      </x:c>
      <x:c r="I283" s="27" t="str">
        <x:v>ASM-2026-028</x:v>
      </x:c>
      <x:c r="J283" s="27" t="str">
        <x:v>CHK-2026-028-10</x:v>
      </x:c>
    </x:row>
    <x:row r="284">
      <x:c r="A284" s="28" t="str">
        <x:v>Neonatal ICU</x:v>
      </x:c>
      <x:c r="B284" s="37" t="n">
        <x:v>46155</x:v>
      </x:c>
      <x:c r="C284" s="26" t="str">
        <x:v>RAH01-2026-029</x:v>
      </x:c>
      <x:c r="D284" s="36" t="n">
        <x:v>1</x:v>
      </x:c>
      <x:c r="E284" s="26" t="str">
        <x:v>Fire prevention and suppression system</x:v>
      </x:c>
      <x:c r="F284" s="25" t="str">
        <x:v>YES</x:v>
      </x:c>
      <x:c r="G284" s="25" t="str"/>
      <x:c r="H284" s="27" t="str">
        <x:v>occ_fire_safety</x:v>
      </x:c>
      <x:c r="I284" s="27" t="str">
        <x:v>ASM-2026-029</x:v>
      </x:c>
      <x:c r="J284" s="27" t="str">
        <x:v>CHK-2026-029-01</x:v>
      </x:c>
    </x:row>
    <x:row r="285">
      <x:c r="A285" s="28" t="str">
        <x:v>Neonatal ICU</x:v>
      </x:c>
      <x:c r="B285" s="37" t="n">
        <x:v>46155</x:v>
      </x:c>
      <x:c r="C285" s="26" t="str">
        <x:v>RAH01-2026-029</x:v>
      </x:c>
      <x:c r="D285" s="36" t="n">
        <x:v>2</x:v>
      </x:c>
      <x:c r="E285" s="26" t="str">
        <x:v>Occupational-health education</x:v>
      </x:c>
      <x:c r="F285" s="25" t="str">
        <x:v>YES</x:v>
      </x:c>
      <x:c r="G285" s="25" t="str"/>
      <x:c r="H285" s="27" t="str">
        <x:v>occ_health_education</x:v>
      </x:c>
      <x:c r="I285" s="27" t="str">
        <x:v>ASM-2026-029</x:v>
      </x:c>
      <x:c r="J285" s="27" t="str">
        <x:v>CHK-2026-029-02</x:v>
      </x:c>
    </x:row>
    <x:row r="286">
      <x:c r="A286" s="28" t="str">
        <x:v>Neonatal ICU</x:v>
      </x:c>
      <x:c r="B286" s="37" t="n">
        <x:v>46155</x:v>
      </x:c>
      <x:c r="C286" s="26" t="str">
        <x:v>RAH01-2026-029</x:v>
      </x:c>
      <x:c r="D286" s="36" t="n">
        <x:v>3</x:v>
      </x:c>
      <x:c r="E286" s="26" t="str">
        <x:v>Hazardous-waste management system</x:v>
      </x:c>
      <x:c r="F286" s="25" t="str">
        <x:v>YES</x:v>
      </x:c>
      <x:c r="G286" s="25" t="str"/>
      <x:c r="H286" s="27" t="str">
        <x:v>occ_waste_management</x:v>
      </x:c>
      <x:c r="I286" s="27" t="str">
        <x:v>ASM-2026-029</x:v>
      </x:c>
      <x:c r="J286" s="27" t="str">
        <x:v>CHK-2026-029-03</x:v>
      </x:c>
    </x:row>
    <x:row r="287">
      <x:c r="A287" s="28" t="str">
        <x:v>Neonatal ICU</x:v>
      </x:c>
      <x:c r="B287" s="37" t="n">
        <x:v>46155</x:v>
      </x:c>
      <x:c r="C287" s="26" t="str">
        <x:v>RAH01-2026-029</x:v>
      </x:c>
      <x:c r="D287" s="36" t="n">
        <x:v>4</x:v>
      </x:c>
      <x:c r="E287" s="26" t="str">
        <x:v>Personal protective equipment measures</x:v>
      </x:c>
      <x:c r="F287" s="25" t="str">
        <x:v>YES</x:v>
      </x:c>
      <x:c r="G287" s="25" t="str"/>
      <x:c r="H287" s="27" t="str">
        <x:v>occ_ppe_measures</x:v>
      </x:c>
      <x:c r="I287" s="27" t="str">
        <x:v>ASM-2026-029</x:v>
      </x:c>
      <x:c r="J287" s="27" t="str">
        <x:v>CHK-2026-029-04</x:v>
      </x:c>
    </x:row>
    <x:row r="288">
      <x:c r="A288" s="28" t="str">
        <x:v>Neonatal ICU</x:v>
      </x:c>
      <x:c r="B288" s="37" t="n">
        <x:v>46155</x:v>
      </x:c>
      <x:c r="C288" s="26" t="str">
        <x:v>RAH01-2026-029</x:v>
      </x:c>
      <x:c r="D288" s="36" t="n">
        <x:v>5</x:v>
      </x:c>
      <x:c r="E288" s="26" t="str">
        <x:v>Annual health examination</x:v>
      </x:c>
      <x:c r="F288" s="25" t="str">
        <x:v>YES</x:v>
      </x:c>
      <x:c r="G288" s="25" t="str"/>
      <x:c r="H288" s="27" t="str">
        <x:v>occ_annual_health_exam</x:v>
      </x:c>
      <x:c r="I288" s="27" t="str">
        <x:v>ASM-2026-029</x:v>
      </x:c>
      <x:c r="J288" s="27" t="str">
        <x:v>CHK-2026-029-05</x:v>
      </x:c>
    </x:row>
    <x:row r="289">
      <x:c r="A289" s="28" t="str">
        <x:v>Neonatal ICU</x:v>
      </x:c>
      <x:c r="B289" s="37" t="n">
        <x:v>46155</x:v>
      </x:c>
      <x:c r="C289" s="26" t="str">
        <x:v>RAH01-2026-029</x:v>
      </x:c>
      <x:c r="D289" s="36" t="n">
        <x:v>6</x:v>
      </x:c>
      <x:c r="E289" s="26" t="str">
        <x:v>Risk-based lung-function examination</x:v>
      </x:c>
      <x:c r="F289" s="25" t="str">
        <x:v>YES</x:v>
      </x:c>
      <x:c r="G289" s="25" t="str"/>
      <x:c r="H289" s="27" t="str">
        <x:v>occ_risk_exam_lung</x:v>
      </x:c>
      <x:c r="I289" s="27" t="str">
        <x:v>ASM-2026-029</x:v>
      </x:c>
      <x:c r="J289" s="27" t="str">
        <x:v>CHK-2026-029-06</x:v>
      </x:c>
    </x:row>
    <x:row r="290">
      <x:c r="A290" s="28" t="str">
        <x:v>Neonatal ICU</x:v>
      </x:c>
      <x:c r="B290" s="37" t="n">
        <x:v>46155</x:v>
      </x:c>
      <x:c r="C290" s="26" t="str">
        <x:v>RAH01-2026-029</x:v>
      </x:c>
      <x:c r="D290" s="36" t="n">
        <x:v>7</x:v>
      </x:c>
      <x:c r="E290" s="26" t="str">
        <x:v>Risk-based hearing examination</x:v>
      </x:c>
      <x:c r="F290" s="25" t="str">
        <x:v>YES</x:v>
      </x:c>
      <x:c r="G290" s="25" t="str"/>
      <x:c r="H290" s="27" t="str">
        <x:v>occ_risk_exam_hearing</x:v>
      </x:c>
      <x:c r="I290" s="27" t="str">
        <x:v>ASM-2026-029</x:v>
      </x:c>
      <x:c r="J290" s="27" t="str">
        <x:v>CHK-2026-029-07</x:v>
      </x:c>
    </x:row>
    <x:row r="291">
      <x:c r="A291" s="28" t="str">
        <x:v>Neonatal ICU</x:v>
      </x:c>
      <x:c r="B291" s="37" t="n">
        <x:v>46155</x:v>
      </x:c>
      <x:c r="C291" s="26" t="str">
        <x:v>RAH01-2026-029</x:v>
      </x:c>
      <x:c r="D291" s="36" t="n">
        <x:v>8</x:v>
      </x:c>
      <x:c r="E291" s="26" t="str">
        <x:v>Risk-based vision examination</x:v>
      </x:c>
      <x:c r="F291" s="25" t="str">
        <x:v>NOT_APPLICABLE</x:v>
      </x:c>
      <x:c r="G291" s="25" t="str">
        <x:v>No indicated risk exam vision exposure in this department's current risk profile.</x:v>
      </x:c>
      <x:c r="H291" s="27" t="str">
        <x:v>occ_risk_exam_vision</x:v>
      </x:c>
      <x:c r="I291" s="27" t="str">
        <x:v>ASM-2026-029</x:v>
      </x:c>
      <x:c r="J291" s="27" t="str">
        <x:v>CHK-2026-029-08</x:v>
      </x:c>
    </x:row>
    <x:row r="292">
      <x:c r="A292" s="28" t="str">
        <x:v>Neonatal ICU</x:v>
      </x:c>
      <x:c r="B292" s="37" t="n">
        <x:v>46155</x:v>
      </x:c>
      <x:c r="C292" s="26" t="str">
        <x:v>RAH01-2026-029</x:v>
      </x:c>
      <x:c r="D292" s="36" t="n">
        <x:v>9</x:v>
      </x:c>
      <x:c r="E292" s="26" t="str">
        <x:v>Biological monitoring</x:v>
      </x:c>
      <x:c r="F292" s="25" t="str">
        <x:v>YES</x:v>
      </x:c>
      <x:c r="G292" s="25" t="str"/>
      <x:c r="H292" s="27" t="str">
        <x:v>occ_bio_exam</x:v>
      </x:c>
      <x:c r="I292" s="27" t="str">
        <x:v>ASM-2026-029</x:v>
      </x:c>
      <x:c r="J292" s="27" t="str">
        <x:v>CHK-2026-029-09</x:v>
      </x:c>
    </x:row>
    <x:row r="293">
      <x:c r="A293" s="28" t="str">
        <x:v>Neonatal ICU</x:v>
      </x:c>
      <x:c r="B293" s="37" t="n">
        <x:v>46155</x:v>
      </x:c>
      <x:c r="C293" s="26" t="str">
        <x:v>RAH01-2026-029</x:v>
      </x:c>
      <x:c r="D293" s="36" t="n">
        <x:v>10</x:v>
      </x:c>
      <x:c r="E293" s="26" t="str">
        <x:v>Workplace environmental monitoring</x:v>
      </x:c>
      <x:c r="F293" s="25" t="str">
        <x:v>YES</x:v>
      </x:c>
      <x:c r="G293" s="25" t="str"/>
      <x:c r="H293" s="27" t="str">
        <x:v>occ_env_exam</x:v>
      </x:c>
      <x:c r="I293" s="27" t="str">
        <x:v>ASM-2026-029</x:v>
      </x:c>
      <x:c r="J293" s="27" t="str">
        <x:v>CHK-2026-029-10</x:v>
      </x:c>
    </x:row>
    <x:row r="294">
      <x:c r="A294" s="28" t="str">
        <x:v>Neurology</x:v>
      </x:c>
      <x:c r="B294" s="37" t="n">
        <x:v>46189</x:v>
      </x:c>
      <x:c r="C294" s="26" t="str">
        <x:v>RAH01-2026-030</x:v>
      </x:c>
      <x:c r="D294" s="36" t="n">
        <x:v>1</x:v>
      </x:c>
      <x:c r="E294" s="26" t="str">
        <x:v>Fire prevention and suppression system</x:v>
      </x:c>
      <x:c r="F294" s="25" t="str">
        <x:v>YES</x:v>
      </x:c>
      <x:c r="G294" s="25" t="str"/>
      <x:c r="H294" s="27" t="str">
        <x:v>occ_fire_safety</x:v>
      </x:c>
      <x:c r="I294" s="27" t="str">
        <x:v>ASM-2026-030</x:v>
      </x:c>
      <x:c r="J294" s="27" t="str">
        <x:v>CHK-2026-030-01</x:v>
      </x:c>
    </x:row>
    <x:row r="295">
      <x:c r="A295" s="28" t="str">
        <x:v>Neurology</x:v>
      </x:c>
      <x:c r="B295" s="37" t="n">
        <x:v>46189</x:v>
      </x:c>
      <x:c r="C295" s="26" t="str">
        <x:v>RAH01-2026-030</x:v>
      </x:c>
      <x:c r="D295" s="36" t="n">
        <x:v>2</x:v>
      </x:c>
      <x:c r="E295" s="26" t="str">
        <x:v>Occupational-health education</x:v>
      </x:c>
      <x:c r="F295" s="25" t="str">
        <x:v>YES</x:v>
      </x:c>
      <x:c r="G295" s="25" t="str"/>
      <x:c r="H295" s="27" t="str">
        <x:v>occ_health_education</x:v>
      </x:c>
      <x:c r="I295" s="27" t="str">
        <x:v>ASM-2026-030</x:v>
      </x:c>
      <x:c r="J295" s="27" t="str">
        <x:v>CHK-2026-030-02</x:v>
      </x:c>
    </x:row>
    <x:row r="296">
      <x:c r="A296" s="28" t="str">
        <x:v>Neurology</x:v>
      </x:c>
      <x:c r="B296" s="37" t="n">
        <x:v>46189</x:v>
      </x:c>
      <x:c r="C296" s="26" t="str">
        <x:v>RAH01-2026-030</x:v>
      </x:c>
      <x:c r="D296" s="36" t="n">
        <x:v>3</x:v>
      </x:c>
      <x:c r="E296" s="26" t="str">
        <x:v>Hazardous-waste management system</x:v>
      </x:c>
      <x:c r="F296" s="25" t="str">
        <x:v>YES</x:v>
      </x:c>
      <x:c r="G296" s="25" t="str"/>
      <x:c r="H296" s="27" t="str">
        <x:v>occ_waste_management</x:v>
      </x:c>
      <x:c r="I296" s="27" t="str">
        <x:v>ASM-2026-030</x:v>
      </x:c>
      <x:c r="J296" s="27" t="str">
        <x:v>CHK-2026-030-03</x:v>
      </x:c>
    </x:row>
    <x:row r="297">
      <x:c r="A297" s="28" t="str">
        <x:v>Neurology</x:v>
      </x:c>
      <x:c r="B297" s="37" t="n">
        <x:v>46189</x:v>
      </x:c>
      <x:c r="C297" s="26" t="str">
        <x:v>RAH01-2026-030</x:v>
      </x:c>
      <x:c r="D297" s="36" t="n">
        <x:v>4</x:v>
      </x:c>
      <x:c r="E297" s="26" t="str">
        <x:v>Personal protective equipment measures</x:v>
      </x:c>
      <x:c r="F297" s="25" t="str">
        <x:v>YES</x:v>
      </x:c>
      <x:c r="G297" s="25" t="str"/>
      <x:c r="H297" s="27" t="str">
        <x:v>occ_ppe_measures</x:v>
      </x:c>
      <x:c r="I297" s="27" t="str">
        <x:v>ASM-2026-030</x:v>
      </x:c>
      <x:c r="J297" s="27" t="str">
        <x:v>CHK-2026-030-04</x:v>
      </x:c>
    </x:row>
    <x:row r="298">
      <x:c r="A298" s="28" t="str">
        <x:v>Neurology</x:v>
      </x:c>
      <x:c r="B298" s="37" t="n">
        <x:v>46189</x:v>
      </x:c>
      <x:c r="C298" s="26" t="str">
        <x:v>RAH01-2026-030</x:v>
      </x:c>
      <x:c r="D298" s="36" t="n">
        <x:v>5</x:v>
      </x:c>
      <x:c r="E298" s="26" t="str">
        <x:v>Annual health examination</x:v>
      </x:c>
      <x:c r="F298" s="25" t="str">
        <x:v>YES</x:v>
      </x:c>
      <x:c r="G298" s="25" t="str"/>
      <x:c r="H298" s="27" t="str">
        <x:v>occ_annual_health_exam</x:v>
      </x:c>
      <x:c r="I298" s="27" t="str">
        <x:v>ASM-2026-030</x:v>
      </x:c>
      <x:c r="J298" s="27" t="str">
        <x:v>CHK-2026-030-05</x:v>
      </x:c>
    </x:row>
    <x:row r="299">
      <x:c r="A299" s="28" t="str">
        <x:v>Neurology</x:v>
      </x:c>
      <x:c r="B299" s="37" t="n">
        <x:v>46189</x:v>
      </x:c>
      <x:c r="C299" s="26" t="str">
        <x:v>RAH01-2026-030</x:v>
      </x:c>
      <x:c r="D299" s="36" t="n">
        <x:v>6</x:v>
      </x:c>
      <x:c r="E299" s="26" t="str">
        <x:v>Risk-based lung-function examination</x:v>
      </x:c>
      <x:c r="F299" s="25" t="str">
        <x:v>YES</x:v>
      </x:c>
      <x:c r="G299" s="25" t="str"/>
      <x:c r="H299" s="27" t="str">
        <x:v>occ_risk_exam_lung</x:v>
      </x:c>
      <x:c r="I299" s="27" t="str">
        <x:v>ASM-2026-030</x:v>
      </x:c>
      <x:c r="J299" s="27" t="str">
        <x:v>CHK-2026-030-06</x:v>
      </x:c>
    </x:row>
    <x:row r="300">
      <x:c r="A300" s="28" t="str">
        <x:v>Neurology</x:v>
      </x:c>
      <x:c r="B300" s="37" t="n">
        <x:v>46189</x:v>
      </x:c>
      <x:c r="C300" s="26" t="str">
        <x:v>RAH01-2026-030</x:v>
      </x:c>
      <x:c r="D300" s="36" t="n">
        <x:v>7</x:v>
      </x:c>
      <x:c r="E300" s="26" t="str">
        <x:v>Risk-based hearing examination</x:v>
      </x:c>
      <x:c r="F300" s="25" t="str">
        <x:v>NOT_APPLICABLE</x:v>
      </x:c>
      <x:c r="G300" s="25" t="str">
        <x:v>No indicated risk exam hearing exposure in this department's current risk profile.</x:v>
      </x:c>
      <x:c r="H300" s="27" t="str">
        <x:v>occ_risk_exam_hearing</x:v>
      </x:c>
      <x:c r="I300" s="27" t="str">
        <x:v>ASM-2026-030</x:v>
      </x:c>
      <x:c r="J300" s="27" t="str">
        <x:v>CHK-2026-030-07</x:v>
      </x:c>
    </x:row>
    <x:row r="301">
      <x:c r="A301" s="28" t="str">
        <x:v>Neurology</x:v>
      </x:c>
      <x:c r="B301" s="37" t="n">
        <x:v>46189</x:v>
      </x:c>
      <x:c r="C301" s="26" t="str">
        <x:v>RAH01-2026-030</x:v>
      </x:c>
      <x:c r="D301" s="36" t="n">
        <x:v>8</x:v>
      </x:c>
      <x:c r="E301" s="26" t="str">
        <x:v>Risk-based vision examination</x:v>
      </x:c>
      <x:c r="F301" s="25" t="str">
        <x:v>YES</x:v>
      </x:c>
      <x:c r="G301" s="25" t="str"/>
      <x:c r="H301" s="27" t="str">
        <x:v>occ_risk_exam_vision</x:v>
      </x:c>
      <x:c r="I301" s="27" t="str">
        <x:v>ASM-2026-030</x:v>
      </x:c>
      <x:c r="J301" s="27" t="str">
        <x:v>CHK-2026-030-08</x:v>
      </x:c>
    </x:row>
    <x:row r="302">
      <x:c r="A302" s="28" t="str">
        <x:v>Neurology</x:v>
      </x:c>
      <x:c r="B302" s="37" t="n">
        <x:v>46189</x:v>
      </x:c>
      <x:c r="C302" s="26" t="str">
        <x:v>RAH01-2026-030</x:v>
      </x:c>
      <x:c r="D302" s="36" t="n">
        <x:v>9</x:v>
      </x:c>
      <x:c r="E302" s="26" t="str">
        <x:v>Biological monitoring</x:v>
      </x:c>
      <x:c r="F302" s="25" t="str">
        <x:v>YES</x:v>
      </x:c>
      <x:c r="G302" s="25" t="str"/>
      <x:c r="H302" s="27" t="str">
        <x:v>occ_bio_exam</x:v>
      </x:c>
      <x:c r="I302" s="27" t="str">
        <x:v>ASM-2026-030</x:v>
      </x:c>
      <x:c r="J302" s="27" t="str">
        <x:v>CHK-2026-030-09</x:v>
      </x:c>
    </x:row>
    <x:row r="303">
      <x:c r="A303" s="28" t="str">
        <x:v>Neurology</x:v>
      </x:c>
      <x:c r="B303" s="37" t="n">
        <x:v>46189</x:v>
      </x:c>
      <x:c r="C303" s="26" t="str">
        <x:v>RAH01-2026-030</x:v>
      </x:c>
      <x:c r="D303" s="36" t="n">
        <x:v>10</x:v>
      </x:c>
      <x:c r="E303" s="26" t="str">
        <x:v>Workplace environmental monitoring</x:v>
      </x:c>
      <x:c r="F303" s="25" t="str">
        <x:v>YES</x:v>
      </x:c>
      <x:c r="G303" s="25" t="str"/>
      <x:c r="H303" s="27" t="str">
        <x:v>occ_env_exam</x:v>
      </x:c>
      <x:c r="I303" s="27" t="str">
        <x:v>ASM-2026-030</x:v>
      </x:c>
      <x:c r="J303" s="27" t="str">
        <x:v>CHK-2026-030-10</x:v>
      </x:c>
    </x:row>
    <x:row r="304">
      <x:c r="A304" s="28" t="str">
        <x:v>Neurosurgery</x:v>
      </x:c>
      <x:c r="B304" s="37" t="n">
        <x:v>46041</x:v>
      </x:c>
      <x:c r="C304" s="26" t="str">
        <x:v>RAH01-2026-031</x:v>
      </x:c>
      <x:c r="D304" s="36" t="n">
        <x:v>1</x:v>
      </x:c>
      <x:c r="E304" s="26" t="str">
        <x:v>Fire prevention and suppression system</x:v>
      </x:c>
      <x:c r="F304" s="25" t="str">
        <x:v>YES</x:v>
      </x:c>
      <x:c r="G304" s="25" t="str"/>
      <x:c r="H304" s="27" t="str">
        <x:v>occ_fire_safety</x:v>
      </x:c>
      <x:c r="I304" s="27" t="str">
        <x:v>ASM-2026-031</x:v>
      </x:c>
      <x:c r="J304" s="27" t="str">
        <x:v>CHK-2026-031-01</x:v>
      </x:c>
    </x:row>
    <x:row r="305">
      <x:c r="A305" s="28" t="str">
        <x:v>Neurosurgery</x:v>
      </x:c>
      <x:c r="B305" s="37" t="n">
        <x:v>46041</x:v>
      </x:c>
      <x:c r="C305" s="26" t="str">
        <x:v>RAH01-2026-031</x:v>
      </x:c>
      <x:c r="D305" s="36" t="n">
        <x:v>2</x:v>
      </x:c>
      <x:c r="E305" s="26" t="str">
        <x:v>Occupational-health education</x:v>
      </x:c>
      <x:c r="F305" s="25" t="str">
        <x:v>YES</x:v>
      </x:c>
      <x:c r="G305" s="25" t="str"/>
      <x:c r="H305" s="27" t="str">
        <x:v>occ_health_education</x:v>
      </x:c>
      <x:c r="I305" s="27" t="str">
        <x:v>ASM-2026-031</x:v>
      </x:c>
      <x:c r="J305" s="27" t="str">
        <x:v>CHK-2026-031-02</x:v>
      </x:c>
    </x:row>
    <x:row r="306">
      <x:c r="A306" s="28" t="str">
        <x:v>Neurosurgery</x:v>
      </x:c>
      <x:c r="B306" s="37" t="n">
        <x:v>46041</x:v>
      </x:c>
      <x:c r="C306" s="26" t="str">
        <x:v>RAH01-2026-031</x:v>
      </x:c>
      <x:c r="D306" s="36" t="n">
        <x:v>3</x:v>
      </x:c>
      <x:c r="E306" s="26" t="str">
        <x:v>Hazardous-waste management system</x:v>
      </x:c>
      <x:c r="F306" s="25" t="str">
        <x:v>YES</x:v>
      </x:c>
      <x:c r="G306" s="25" t="str"/>
      <x:c r="H306" s="27" t="str">
        <x:v>occ_waste_management</x:v>
      </x:c>
      <x:c r="I306" s="27" t="str">
        <x:v>ASM-2026-031</x:v>
      </x:c>
      <x:c r="J306" s="27" t="str">
        <x:v>CHK-2026-031-03</x:v>
      </x:c>
    </x:row>
    <x:row r="307">
      <x:c r="A307" s="28" t="str">
        <x:v>Neurosurgery</x:v>
      </x:c>
      <x:c r="B307" s="37" t="n">
        <x:v>46041</x:v>
      </x:c>
      <x:c r="C307" s="26" t="str">
        <x:v>RAH01-2026-031</x:v>
      </x:c>
      <x:c r="D307" s="36" t="n">
        <x:v>4</x:v>
      </x:c>
      <x:c r="E307" s="26" t="str">
        <x:v>Personal protective equipment measures</x:v>
      </x:c>
      <x:c r="F307" s="25" t="str">
        <x:v>YES</x:v>
      </x:c>
      <x:c r="G307" s="25" t="str"/>
      <x:c r="H307" s="27" t="str">
        <x:v>occ_ppe_measures</x:v>
      </x:c>
      <x:c r="I307" s="27" t="str">
        <x:v>ASM-2026-031</x:v>
      </x:c>
      <x:c r="J307" s="27" t="str">
        <x:v>CHK-2026-031-04</x:v>
      </x:c>
    </x:row>
    <x:row r="308">
      <x:c r="A308" s="28" t="str">
        <x:v>Neurosurgery</x:v>
      </x:c>
      <x:c r="B308" s="37" t="n">
        <x:v>46041</x:v>
      </x:c>
      <x:c r="C308" s="26" t="str">
        <x:v>RAH01-2026-031</x:v>
      </x:c>
      <x:c r="D308" s="36" t="n">
        <x:v>5</x:v>
      </x:c>
      <x:c r="E308" s="26" t="str">
        <x:v>Annual health examination</x:v>
      </x:c>
      <x:c r="F308" s="25" t="str">
        <x:v>YES</x:v>
      </x:c>
      <x:c r="G308" s="25" t="str"/>
      <x:c r="H308" s="27" t="str">
        <x:v>occ_annual_health_exam</x:v>
      </x:c>
      <x:c r="I308" s="27" t="str">
        <x:v>ASM-2026-031</x:v>
      </x:c>
      <x:c r="J308" s="27" t="str">
        <x:v>CHK-2026-031-05</x:v>
      </x:c>
    </x:row>
    <x:row r="309">
      <x:c r="A309" s="28" t="str">
        <x:v>Neurosurgery</x:v>
      </x:c>
      <x:c r="B309" s="37" t="n">
        <x:v>46041</x:v>
      </x:c>
      <x:c r="C309" s="26" t="str">
        <x:v>RAH01-2026-031</x:v>
      </x:c>
      <x:c r="D309" s="36" t="n">
        <x:v>6</x:v>
      </x:c>
      <x:c r="E309" s="26" t="str">
        <x:v>Risk-based lung-function examination</x:v>
      </x:c>
      <x:c r="F309" s="25" t="str">
        <x:v>NOT_APPLICABLE</x:v>
      </x:c>
      <x:c r="G309" s="25" t="str">
        <x:v>No indicated risk exam lung exposure in this department's current risk profile.</x:v>
      </x:c>
      <x:c r="H309" s="27" t="str">
        <x:v>occ_risk_exam_lung</x:v>
      </x:c>
      <x:c r="I309" s="27" t="str">
        <x:v>ASM-2026-031</x:v>
      </x:c>
      <x:c r="J309" s="27" t="str">
        <x:v>CHK-2026-031-06</x:v>
      </x:c>
    </x:row>
    <x:row r="310">
      <x:c r="A310" s="28" t="str">
        <x:v>Neurosurgery</x:v>
      </x:c>
      <x:c r="B310" s="37" t="n">
        <x:v>46041</x:v>
      </x:c>
      <x:c r="C310" s="26" t="str">
        <x:v>RAH01-2026-031</x:v>
      </x:c>
      <x:c r="D310" s="36" t="n">
        <x:v>7</x:v>
      </x:c>
      <x:c r="E310" s="26" t="str">
        <x:v>Risk-based hearing examination</x:v>
      </x:c>
      <x:c r="F310" s="25" t="str">
        <x:v>YES</x:v>
      </x:c>
      <x:c r="G310" s="25" t="str"/>
      <x:c r="H310" s="27" t="str">
        <x:v>occ_risk_exam_hearing</x:v>
      </x:c>
      <x:c r="I310" s="27" t="str">
        <x:v>ASM-2026-031</x:v>
      </x:c>
      <x:c r="J310" s="27" t="str">
        <x:v>CHK-2026-031-07</x:v>
      </x:c>
    </x:row>
    <x:row r="311">
      <x:c r="A311" s="28" t="str">
        <x:v>Neurosurgery</x:v>
      </x:c>
      <x:c r="B311" s="37" t="n">
        <x:v>46041</x:v>
      </x:c>
      <x:c r="C311" s="26" t="str">
        <x:v>RAH01-2026-031</x:v>
      </x:c>
      <x:c r="D311" s="36" t="n">
        <x:v>8</x:v>
      </x:c>
      <x:c r="E311" s="26" t="str">
        <x:v>Risk-based vision examination</x:v>
      </x:c>
      <x:c r="F311" s="25" t="str">
        <x:v>YES</x:v>
      </x:c>
      <x:c r="G311" s="25" t="str"/>
      <x:c r="H311" s="27" t="str">
        <x:v>occ_risk_exam_vision</x:v>
      </x:c>
      <x:c r="I311" s="27" t="str">
        <x:v>ASM-2026-031</x:v>
      </x:c>
      <x:c r="J311" s="27" t="str">
        <x:v>CHK-2026-031-08</x:v>
      </x:c>
    </x:row>
    <x:row r="312">
      <x:c r="A312" s="28" t="str">
        <x:v>Neurosurgery</x:v>
      </x:c>
      <x:c r="B312" s="37" t="n">
        <x:v>46041</x:v>
      </x:c>
      <x:c r="C312" s="26" t="str">
        <x:v>RAH01-2026-031</x:v>
      </x:c>
      <x:c r="D312" s="36" t="n">
        <x:v>9</x:v>
      </x:c>
      <x:c r="E312" s="26" t="str">
        <x:v>Biological monitoring</x:v>
      </x:c>
      <x:c r="F312" s="25" t="str">
        <x:v>YES</x:v>
      </x:c>
      <x:c r="G312" s="25" t="str"/>
      <x:c r="H312" s="27" t="str">
        <x:v>occ_bio_exam</x:v>
      </x:c>
      <x:c r="I312" s="27" t="str">
        <x:v>ASM-2026-031</x:v>
      </x:c>
      <x:c r="J312" s="27" t="str">
        <x:v>CHK-2026-031-09</x:v>
      </x:c>
    </x:row>
    <x:row r="313">
      <x:c r="A313" s="28" t="str">
        <x:v>Neurosurgery</x:v>
      </x:c>
      <x:c r="B313" s="37" t="n">
        <x:v>46041</x:v>
      </x:c>
      <x:c r="C313" s="26" t="str">
        <x:v>RAH01-2026-031</x:v>
      </x:c>
      <x:c r="D313" s="36" t="n">
        <x:v>10</x:v>
      </x:c>
      <x:c r="E313" s="26" t="str">
        <x:v>Workplace environmental monitoring</x:v>
      </x:c>
      <x:c r="F313" s="25" t="str">
        <x:v>NOT_APPLICABLE</x:v>
      </x:c>
      <x:c r="G313" s="25" t="str">
        <x:v>No indicated env exam exposure in this department's current risk profile.</x:v>
      </x:c>
      <x:c r="H313" s="27" t="str">
        <x:v>occ_env_exam</x:v>
      </x:c>
      <x:c r="I313" s="27" t="str">
        <x:v>ASM-2026-031</x:v>
      </x:c>
      <x:c r="J313" s="27" t="str">
        <x:v>CHK-2026-031-10</x:v>
      </x:c>
    </x:row>
    <x:row r="314">
      <x:c r="A314" s="28" t="str">
        <x:v>Nuclear Medicine</x:v>
      </x:c>
      <x:c r="B314" s="37" t="n">
        <x:v>46075</x:v>
      </x:c>
      <x:c r="C314" s="26" t="str">
        <x:v>RAH01-2026-032</x:v>
      </x:c>
      <x:c r="D314" s="36" t="n">
        <x:v>1</x:v>
      </x:c>
      <x:c r="E314" s="26" t="str">
        <x:v>Fire prevention and suppression system</x:v>
      </x:c>
      <x:c r="F314" s="25" t="str">
        <x:v>YES</x:v>
      </x:c>
      <x:c r="G314" s="25" t="str"/>
      <x:c r="H314" s="27" t="str">
        <x:v>occ_fire_safety</x:v>
      </x:c>
      <x:c r="I314" s="27" t="str">
        <x:v>ASM-2026-032</x:v>
      </x:c>
      <x:c r="J314" s="27" t="str">
        <x:v>CHK-2026-032-01</x:v>
      </x:c>
    </x:row>
    <x:row r="315">
      <x:c r="A315" s="28" t="str">
        <x:v>Nuclear Medicine</x:v>
      </x:c>
      <x:c r="B315" s="37" t="n">
        <x:v>46075</x:v>
      </x:c>
      <x:c r="C315" s="26" t="str">
        <x:v>RAH01-2026-032</x:v>
      </x:c>
      <x:c r="D315" s="36" t="n">
        <x:v>2</x:v>
      </x:c>
      <x:c r="E315" s="26" t="str">
        <x:v>Occupational-health education</x:v>
      </x:c>
      <x:c r="F315" s="25" t="str">
        <x:v>YES</x:v>
      </x:c>
      <x:c r="G315" s="25" t="str"/>
      <x:c r="H315" s="27" t="str">
        <x:v>occ_health_education</x:v>
      </x:c>
      <x:c r="I315" s="27" t="str">
        <x:v>ASM-2026-032</x:v>
      </x:c>
      <x:c r="J315" s="27" t="str">
        <x:v>CHK-2026-032-02</x:v>
      </x:c>
    </x:row>
    <x:row r="316">
      <x:c r="A316" s="28" t="str">
        <x:v>Nuclear Medicine</x:v>
      </x:c>
      <x:c r="B316" s="37" t="n">
        <x:v>46075</x:v>
      </x:c>
      <x:c r="C316" s="26" t="str">
        <x:v>RAH01-2026-032</x:v>
      </x:c>
      <x:c r="D316" s="36" t="n">
        <x:v>3</x:v>
      </x:c>
      <x:c r="E316" s="26" t="str">
        <x:v>Hazardous-waste management system</x:v>
      </x:c>
      <x:c r="F316" s="25" t="str">
        <x:v>YES</x:v>
      </x:c>
      <x:c r="G316" s="25" t="str"/>
      <x:c r="H316" s="27" t="str">
        <x:v>occ_waste_management</x:v>
      </x:c>
      <x:c r="I316" s="27" t="str">
        <x:v>ASM-2026-032</x:v>
      </x:c>
      <x:c r="J316" s="27" t="str">
        <x:v>CHK-2026-032-03</x:v>
      </x:c>
    </x:row>
    <x:row r="317">
      <x:c r="A317" s="28" t="str">
        <x:v>Nuclear Medicine</x:v>
      </x:c>
      <x:c r="B317" s="37" t="n">
        <x:v>46075</x:v>
      </x:c>
      <x:c r="C317" s="26" t="str">
        <x:v>RAH01-2026-032</x:v>
      </x:c>
      <x:c r="D317" s="36" t="n">
        <x:v>4</x:v>
      </x:c>
      <x:c r="E317" s="26" t="str">
        <x:v>Personal protective equipment measures</x:v>
      </x:c>
      <x:c r="F317" s="25" t="str">
        <x:v>YES</x:v>
      </x:c>
      <x:c r="G317" s="25" t="str"/>
      <x:c r="H317" s="27" t="str">
        <x:v>occ_ppe_measures</x:v>
      </x:c>
      <x:c r="I317" s="27" t="str">
        <x:v>ASM-2026-032</x:v>
      </x:c>
      <x:c r="J317" s="27" t="str">
        <x:v>CHK-2026-032-04</x:v>
      </x:c>
    </x:row>
    <x:row r="318">
      <x:c r="A318" s="28" t="str">
        <x:v>Nuclear Medicine</x:v>
      </x:c>
      <x:c r="B318" s="37" t="n">
        <x:v>46075</x:v>
      </x:c>
      <x:c r="C318" s="26" t="str">
        <x:v>RAH01-2026-032</x:v>
      </x:c>
      <x:c r="D318" s="36" t="n">
        <x:v>5</x:v>
      </x:c>
      <x:c r="E318" s="26" t="str">
        <x:v>Annual health examination</x:v>
      </x:c>
      <x:c r="F318" s="25" t="str">
        <x:v>YES</x:v>
      </x:c>
      <x:c r="G318" s="25" t="str"/>
      <x:c r="H318" s="27" t="str">
        <x:v>occ_annual_health_exam</x:v>
      </x:c>
      <x:c r="I318" s="27" t="str">
        <x:v>ASM-2026-032</x:v>
      </x:c>
      <x:c r="J318" s="27" t="str">
        <x:v>CHK-2026-032-05</x:v>
      </x:c>
    </x:row>
    <x:row r="319">
      <x:c r="A319" s="28" t="str">
        <x:v>Nuclear Medicine</x:v>
      </x:c>
      <x:c r="B319" s="37" t="n">
        <x:v>46075</x:v>
      </x:c>
      <x:c r="C319" s="26" t="str">
        <x:v>RAH01-2026-032</x:v>
      </x:c>
      <x:c r="D319" s="36" t="n">
        <x:v>6</x:v>
      </x:c>
      <x:c r="E319" s="26" t="str">
        <x:v>Risk-based lung-function examination</x:v>
      </x:c>
      <x:c r="F319" s="25" t="str">
        <x:v>YES</x:v>
      </x:c>
      <x:c r="G319" s="25" t="str"/>
      <x:c r="H319" s="27" t="str">
        <x:v>occ_risk_exam_lung</x:v>
      </x:c>
      <x:c r="I319" s="27" t="str">
        <x:v>ASM-2026-032</x:v>
      </x:c>
      <x:c r="J319" s="27" t="str">
        <x:v>CHK-2026-032-06</x:v>
      </x:c>
    </x:row>
    <x:row r="320">
      <x:c r="A320" s="28" t="str">
        <x:v>Nuclear Medicine</x:v>
      </x:c>
      <x:c r="B320" s="37" t="n">
        <x:v>46075</x:v>
      </x:c>
      <x:c r="C320" s="26" t="str">
        <x:v>RAH01-2026-032</x:v>
      </x:c>
      <x:c r="D320" s="36" t="n">
        <x:v>7</x:v>
      </x:c>
      <x:c r="E320" s="26" t="str">
        <x:v>Risk-based hearing examination</x:v>
      </x:c>
      <x:c r="F320" s="25" t="str">
        <x:v>NO</x:v>
      </x:c>
      <x:c r="G320" s="25" t="str"/>
      <x:c r="H320" s="27" t="str">
        <x:v>occ_risk_exam_hearing</x:v>
      </x:c>
      <x:c r="I320" s="27" t="str">
        <x:v>ASM-2026-032</x:v>
      </x:c>
      <x:c r="J320" s="27" t="str">
        <x:v>CHK-2026-032-07</x:v>
      </x:c>
    </x:row>
    <x:row r="321">
      <x:c r="A321" s="28" t="str">
        <x:v>Nuclear Medicine</x:v>
      </x:c>
      <x:c r="B321" s="37" t="n">
        <x:v>46075</x:v>
      </x:c>
      <x:c r="C321" s="26" t="str">
        <x:v>RAH01-2026-032</x:v>
      </x:c>
      <x:c r="D321" s="36" t="n">
        <x:v>8</x:v>
      </x:c>
      <x:c r="E321" s="26" t="str">
        <x:v>Risk-based vision examination</x:v>
      </x:c>
      <x:c r="F321" s="25" t="str">
        <x:v>YES</x:v>
      </x:c>
      <x:c r="G321" s="25" t="str"/>
      <x:c r="H321" s="27" t="str">
        <x:v>occ_risk_exam_vision</x:v>
      </x:c>
      <x:c r="I321" s="27" t="str">
        <x:v>ASM-2026-032</x:v>
      </x:c>
      <x:c r="J321" s="27" t="str">
        <x:v>CHK-2026-032-08</x:v>
      </x:c>
    </x:row>
    <x:row r="322">
      <x:c r="A322" s="28" t="str">
        <x:v>Nuclear Medicine</x:v>
      </x:c>
      <x:c r="B322" s="37" t="n">
        <x:v>46075</x:v>
      </x:c>
      <x:c r="C322" s="26" t="str">
        <x:v>RAH01-2026-032</x:v>
      </x:c>
      <x:c r="D322" s="36" t="n">
        <x:v>9</x:v>
      </x:c>
      <x:c r="E322" s="26" t="str">
        <x:v>Biological monitoring</x:v>
      </x:c>
      <x:c r="F322" s="25" t="str">
        <x:v>NOT_APPLICABLE</x:v>
      </x:c>
      <x:c r="G322" s="25" t="str">
        <x:v>No indicated bio exam exposure in this department's current risk profile.</x:v>
      </x:c>
      <x:c r="H322" s="27" t="str">
        <x:v>occ_bio_exam</x:v>
      </x:c>
      <x:c r="I322" s="27" t="str">
        <x:v>ASM-2026-032</x:v>
      </x:c>
      <x:c r="J322" s="27" t="str">
        <x:v>CHK-2026-032-09</x:v>
      </x:c>
    </x:row>
    <x:row r="323">
      <x:c r="A323" s="28" t="str">
        <x:v>Nuclear Medicine</x:v>
      </x:c>
      <x:c r="B323" s="37" t="n">
        <x:v>46075</x:v>
      </x:c>
      <x:c r="C323" s="26" t="str">
        <x:v>RAH01-2026-032</x:v>
      </x:c>
      <x:c r="D323" s="36" t="n">
        <x:v>10</x:v>
      </x:c>
      <x:c r="E323" s="26" t="str">
        <x:v>Workplace environmental monitoring</x:v>
      </x:c>
      <x:c r="F323" s="25" t="str">
        <x:v>YES</x:v>
      </x:c>
      <x:c r="G323" s="25" t="str"/>
      <x:c r="H323" s="27" t="str">
        <x:v>occ_env_exam</x:v>
      </x:c>
      <x:c r="I323" s="27" t="str">
        <x:v>ASM-2026-032</x:v>
      </x:c>
      <x:c r="J323" s="27" t="str">
        <x:v>CHK-2026-032-10</x:v>
      </x:c>
    </x:row>
    <x:row r="324">
      <x:c r="A324" s="28" t="str">
        <x:v>Obstetrics</x:v>
      </x:c>
      <x:c r="B324" s="37" t="n">
        <x:v>46106</x:v>
      </x:c>
      <x:c r="C324" s="26" t="str">
        <x:v>RAH01-2026-033</x:v>
      </x:c>
      <x:c r="D324" s="36" t="n">
        <x:v>1</x:v>
      </x:c>
      <x:c r="E324" s="26" t="str">
        <x:v>Fire prevention and suppression system</x:v>
      </x:c>
      <x:c r="F324" s="25" t="str">
        <x:v>YES</x:v>
      </x:c>
      <x:c r="G324" s="25" t="str"/>
      <x:c r="H324" s="27" t="str">
        <x:v>occ_fire_safety</x:v>
      </x:c>
      <x:c r="I324" s="27" t="str">
        <x:v>ASM-2026-033</x:v>
      </x:c>
      <x:c r="J324" s="27" t="str">
        <x:v>CHK-2026-033-01</x:v>
      </x:c>
    </x:row>
    <x:row r="325">
      <x:c r="A325" s="28" t="str">
        <x:v>Obstetrics</x:v>
      </x:c>
      <x:c r="B325" s="37" t="n">
        <x:v>46106</x:v>
      </x:c>
      <x:c r="C325" s="26" t="str">
        <x:v>RAH01-2026-033</x:v>
      </x:c>
      <x:c r="D325" s="36" t="n">
        <x:v>2</x:v>
      </x:c>
      <x:c r="E325" s="26" t="str">
        <x:v>Occupational-health education</x:v>
      </x:c>
      <x:c r="F325" s="25" t="str">
        <x:v>YES</x:v>
      </x:c>
      <x:c r="G325" s="25" t="str"/>
      <x:c r="H325" s="27" t="str">
        <x:v>occ_health_education</x:v>
      </x:c>
      <x:c r="I325" s="27" t="str">
        <x:v>ASM-2026-033</x:v>
      </x:c>
      <x:c r="J325" s="27" t="str">
        <x:v>CHK-2026-033-02</x:v>
      </x:c>
    </x:row>
    <x:row r="326">
      <x:c r="A326" s="28" t="str">
        <x:v>Obstetrics</x:v>
      </x:c>
      <x:c r="B326" s="37" t="n">
        <x:v>46106</x:v>
      </x:c>
      <x:c r="C326" s="26" t="str">
        <x:v>RAH01-2026-033</x:v>
      </x:c>
      <x:c r="D326" s="36" t="n">
        <x:v>3</x:v>
      </x:c>
      <x:c r="E326" s="26" t="str">
        <x:v>Hazardous-waste management system</x:v>
      </x:c>
      <x:c r="F326" s="25" t="str">
        <x:v>YES</x:v>
      </x:c>
      <x:c r="G326" s="25" t="str"/>
      <x:c r="H326" s="27" t="str">
        <x:v>occ_waste_management</x:v>
      </x:c>
      <x:c r="I326" s="27" t="str">
        <x:v>ASM-2026-033</x:v>
      </x:c>
      <x:c r="J326" s="27" t="str">
        <x:v>CHK-2026-033-03</x:v>
      </x:c>
    </x:row>
    <x:row r="327">
      <x:c r="A327" s="28" t="str">
        <x:v>Obstetrics</x:v>
      </x:c>
      <x:c r="B327" s="37" t="n">
        <x:v>46106</x:v>
      </x:c>
      <x:c r="C327" s="26" t="str">
        <x:v>RAH01-2026-033</x:v>
      </x:c>
      <x:c r="D327" s="36" t="n">
        <x:v>4</x:v>
      </x:c>
      <x:c r="E327" s="26" t="str">
        <x:v>Personal protective equipment measures</x:v>
      </x:c>
      <x:c r="F327" s="25" t="str">
        <x:v>NO</x:v>
      </x:c>
      <x:c r="G327" s="25" t="str"/>
      <x:c r="H327" s="27" t="str">
        <x:v>occ_ppe_measures</x:v>
      </x:c>
      <x:c r="I327" s="27" t="str">
        <x:v>ASM-2026-033</x:v>
      </x:c>
      <x:c r="J327" s="27" t="str">
        <x:v>CHK-2026-033-04</x:v>
      </x:c>
    </x:row>
    <x:row r="328">
      <x:c r="A328" s="28" t="str">
        <x:v>Obstetrics</x:v>
      </x:c>
      <x:c r="B328" s="37" t="n">
        <x:v>46106</x:v>
      </x:c>
      <x:c r="C328" s="26" t="str">
        <x:v>RAH01-2026-033</x:v>
      </x:c>
      <x:c r="D328" s="36" t="n">
        <x:v>5</x:v>
      </x:c>
      <x:c r="E328" s="26" t="str">
        <x:v>Annual health examination</x:v>
      </x:c>
      <x:c r="F328" s="25" t="str">
        <x:v>YES</x:v>
      </x:c>
      <x:c r="G328" s="25" t="str"/>
      <x:c r="H328" s="27" t="str">
        <x:v>occ_annual_health_exam</x:v>
      </x:c>
      <x:c r="I328" s="27" t="str">
        <x:v>ASM-2026-033</x:v>
      </x:c>
      <x:c r="J328" s="27" t="str">
        <x:v>CHK-2026-033-05</x:v>
      </x:c>
    </x:row>
    <x:row r="329">
      <x:c r="A329" s="28" t="str">
        <x:v>Obstetrics</x:v>
      </x:c>
      <x:c r="B329" s="37" t="n">
        <x:v>46106</x:v>
      </x:c>
      <x:c r="C329" s="26" t="str">
        <x:v>RAH01-2026-033</x:v>
      </x:c>
      <x:c r="D329" s="36" t="n">
        <x:v>6</x:v>
      </x:c>
      <x:c r="E329" s="26" t="str">
        <x:v>Risk-based lung-function examination</x:v>
      </x:c>
      <x:c r="F329" s="25" t="str">
        <x:v>YES</x:v>
      </x:c>
      <x:c r="G329" s="25" t="str"/>
      <x:c r="H329" s="27" t="str">
        <x:v>occ_risk_exam_lung</x:v>
      </x:c>
      <x:c r="I329" s="27" t="str">
        <x:v>ASM-2026-033</x:v>
      </x:c>
      <x:c r="J329" s="27" t="str">
        <x:v>CHK-2026-033-06</x:v>
      </x:c>
    </x:row>
    <x:row r="330">
      <x:c r="A330" s="28" t="str">
        <x:v>Obstetrics</x:v>
      </x:c>
      <x:c r="B330" s="37" t="n">
        <x:v>46106</x:v>
      </x:c>
      <x:c r="C330" s="26" t="str">
        <x:v>RAH01-2026-033</x:v>
      </x:c>
      <x:c r="D330" s="36" t="n">
        <x:v>7</x:v>
      </x:c>
      <x:c r="E330" s="26" t="str">
        <x:v>Risk-based hearing examination</x:v>
      </x:c>
      <x:c r="F330" s="25" t="str">
        <x:v>YES</x:v>
      </x:c>
      <x:c r="G330" s="25" t="str"/>
      <x:c r="H330" s="27" t="str">
        <x:v>occ_risk_exam_hearing</x:v>
      </x:c>
      <x:c r="I330" s="27" t="str">
        <x:v>ASM-2026-033</x:v>
      </x:c>
      <x:c r="J330" s="27" t="str">
        <x:v>CHK-2026-033-07</x:v>
      </x:c>
    </x:row>
    <x:row r="331">
      <x:c r="A331" s="28" t="str">
        <x:v>Obstetrics</x:v>
      </x:c>
      <x:c r="B331" s="37" t="n">
        <x:v>46106</x:v>
      </x:c>
      <x:c r="C331" s="26" t="str">
        <x:v>RAH01-2026-033</x:v>
      </x:c>
      <x:c r="D331" s="36" t="n">
        <x:v>8</x:v>
      </x:c>
      <x:c r="E331" s="26" t="str">
        <x:v>Risk-based vision examination</x:v>
      </x:c>
      <x:c r="F331" s="25" t="str">
        <x:v>NOT_APPLICABLE</x:v>
      </x:c>
      <x:c r="G331" s="25" t="str">
        <x:v>No indicated risk exam vision exposure in this department's current risk profile.</x:v>
      </x:c>
      <x:c r="H331" s="27" t="str">
        <x:v>occ_risk_exam_vision</x:v>
      </x:c>
      <x:c r="I331" s="27" t="str">
        <x:v>ASM-2026-033</x:v>
      </x:c>
      <x:c r="J331" s="27" t="str">
        <x:v>CHK-2026-033-08</x:v>
      </x:c>
    </x:row>
    <x:row r="332">
      <x:c r="A332" s="28" t="str">
        <x:v>Obstetrics</x:v>
      </x:c>
      <x:c r="B332" s="37" t="n">
        <x:v>46106</x:v>
      </x:c>
      <x:c r="C332" s="26" t="str">
        <x:v>RAH01-2026-033</x:v>
      </x:c>
      <x:c r="D332" s="36" t="n">
        <x:v>9</x:v>
      </x:c>
      <x:c r="E332" s="26" t="str">
        <x:v>Biological monitoring</x:v>
      </x:c>
      <x:c r="F332" s="25" t="str">
        <x:v>YES</x:v>
      </x:c>
      <x:c r="G332" s="25" t="str"/>
      <x:c r="H332" s="27" t="str">
        <x:v>occ_bio_exam</x:v>
      </x:c>
      <x:c r="I332" s="27" t="str">
        <x:v>ASM-2026-033</x:v>
      </x:c>
      <x:c r="J332" s="27" t="str">
        <x:v>CHK-2026-033-09</x:v>
      </x:c>
    </x:row>
    <x:row r="333">
      <x:c r="A333" s="28" t="str">
        <x:v>Obstetrics</x:v>
      </x:c>
      <x:c r="B333" s="37" t="n">
        <x:v>46106</x:v>
      </x:c>
      <x:c r="C333" s="26" t="str">
        <x:v>RAH01-2026-033</x:v>
      </x:c>
      <x:c r="D333" s="36" t="n">
        <x:v>10</x:v>
      </x:c>
      <x:c r="E333" s="26" t="str">
        <x:v>Workplace environmental monitoring</x:v>
      </x:c>
      <x:c r="F333" s="25" t="str">
        <x:v>YES</x:v>
      </x:c>
      <x:c r="G333" s="25" t="str"/>
      <x:c r="H333" s="27" t="str">
        <x:v>occ_env_exam</x:v>
      </x:c>
      <x:c r="I333" s="27" t="str">
        <x:v>ASM-2026-033</x:v>
      </x:c>
      <x:c r="J333" s="27" t="str">
        <x:v>CHK-2026-033-10</x:v>
      </x:c>
    </x:row>
    <x:row r="334">
      <x:c r="A334" s="28" t="str">
        <x:v>Occupational Health</x:v>
      </x:c>
      <x:c r="B334" s="37" t="n">
        <x:v>46115</x:v>
      </x:c>
      <x:c r="C334" s="26" t="str">
        <x:v>RAH01-2026-034</x:v>
      </x:c>
      <x:c r="D334" s="36" t="n">
        <x:v>1</x:v>
      </x:c>
      <x:c r="E334" s="26" t="str">
        <x:v>Fire prevention and suppression system</x:v>
      </x:c>
      <x:c r="F334" s="25" t="str">
        <x:v>NO</x:v>
      </x:c>
      <x:c r="G334" s="25" t="str"/>
      <x:c r="H334" s="27" t="str">
        <x:v>occ_fire_safety</x:v>
      </x:c>
      <x:c r="I334" s="27" t="str">
        <x:v>ASM-2026-034</x:v>
      </x:c>
      <x:c r="J334" s="27" t="str">
        <x:v>CHK-2026-034-01</x:v>
      </x:c>
    </x:row>
    <x:row r="335">
      <x:c r="A335" s="28" t="str">
        <x:v>Occupational Health</x:v>
      </x:c>
      <x:c r="B335" s="37" t="n">
        <x:v>46115</x:v>
      </x:c>
      <x:c r="C335" s="26" t="str">
        <x:v>RAH01-2026-034</x:v>
      </x:c>
      <x:c r="D335" s="36" t="n">
        <x:v>2</x:v>
      </x:c>
      <x:c r="E335" s="26" t="str">
        <x:v>Occupational-health education</x:v>
      </x:c>
      <x:c r="F335" s="25" t="str">
        <x:v>YES</x:v>
      </x:c>
      <x:c r="G335" s="25" t="str"/>
      <x:c r="H335" s="27" t="str">
        <x:v>occ_health_education</x:v>
      </x:c>
      <x:c r="I335" s="27" t="str">
        <x:v>ASM-2026-034</x:v>
      </x:c>
      <x:c r="J335" s="27" t="str">
        <x:v>CHK-2026-034-02</x:v>
      </x:c>
    </x:row>
    <x:row r="336">
      <x:c r="A336" s="28" t="str">
        <x:v>Occupational Health</x:v>
      </x:c>
      <x:c r="B336" s="37" t="n">
        <x:v>46115</x:v>
      </x:c>
      <x:c r="C336" s="26" t="str">
        <x:v>RAH01-2026-034</x:v>
      </x:c>
      <x:c r="D336" s="36" t="n">
        <x:v>3</x:v>
      </x:c>
      <x:c r="E336" s="26" t="str">
        <x:v>Hazardous-waste management system</x:v>
      </x:c>
      <x:c r="F336" s="25" t="str">
        <x:v>YES</x:v>
      </x:c>
      <x:c r="G336" s="25" t="str"/>
      <x:c r="H336" s="27" t="str">
        <x:v>occ_waste_management</x:v>
      </x:c>
      <x:c r="I336" s="27" t="str">
        <x:v>ASM-2026-034</x:v>
      </x:c>
      <x:c r="J336" s="27" t="str">
        <x:v>CHK-2026-034-03</x:v>
      </x:c>
    </x:row>
    <x:row r="337">
      <x:c r="A337" s="28" t="str">
        <x:v>Occupational Health</x:v>
      </x:c>
      <x:c r="B337" s="37" t="n">
        <x:v>46115</x:v>
      </x:c>
      <x:c r="C337" s="26" t="str">
        <x:v>RAH01-2026-034</x:v>
      </x:c>
      <x:c r="D337" s="36" t="n">
        <x:v>4</x:v>
      </x:c>
      <x:c r="E337" s="26" t="str">
        <x:v>Personal protective equipment measures</x:v>
      </x:c>
      <x:c r="F337" s="25" t="str">
        <x:v>YES</x:v>
      </x:c>
      <x:c r="G337" s="25" t="str"/>
      <x:c r="H337" s="27" t="str">
        <x:v>occ_ppe_measures</x:v>
      </x:c>
      <x:c r="I337" s="27" t="str">
        <x:v>ASM-2026-034</x:v>
      </x:c>
      <x:c r="J337" s="27" t="str">
        <x:v>CHK-2026-034-04</x:v>
      </x:c>
    </x:row>
    <x:row r="338">
      <x:c r="A338" s="28" t="str">
        <x:v>Occupational Health</x:v>
      </x:c>
      <x:c r="B338" s="37" t="n">
        <x:v>46115</x:v>
      </x:c>
      <x:c r="C338" s="26" t="str">
        <x:v>RAH01-2026-034</x:v>
      </x:c>
      <x:c r="D338" s="36" t="n">
        <x:v>5</x:v>
      </x:c>
      <x:c r="E338" s="26" t="str">
        <x:v>Annual health examination</x:v>
      </x:c>
      <x:c r="F338" s="25" t="str">
        <x:v>YES</x:v>
      </x:c>
      <x:c r="G338" s="25" t="str"/>
      <x:c r="H338" s="27" t="str">
        <x:v>occ_annual_health_exam</x:v>
      </x:c>
      <x:c r="I338" s="27" t="str">
        <x:v>ASM-2026-034</x:v>
      </x:c>
      <x:c r="J338" s="27" t="str">
        <x:v>CHK-2026-034-05</x:v>
      </x:c>
    </x:row>
    <x:row r="339">
      <x:c r="A339" s="28" t="str">
        <x:v>Occupational Health</x:v>
      </x:c>
      <x:c r="B339" s="37" t="n">
        <x:v>46115</x:v>
      </x:c>
      <x:c r="C339" s="26" t="str">
        <x:v>RAH01-2026-034</x:v>
      </x:c>
      <x:c r="D339" s="36" t="n">
        <x:v>6</x:v>
      </x:c>
      <x:c r="E339" s="26" t="str">
        <x:v>Risk-based lung-function examination</x:v>
      </x:c>
      <x:c r="F339" s="25" t="str">
        <x:v>YES</x:v>
      </x:c>
      <x:c r="G339" s="25" t="str"/>
      <x:c r="H339" s="27" t="str">
        <x:v>occ_risk_exam_lung</x:v>
      </x:c>
      <x:c r="I339" s="27" t="str">
        <x:v>ASM-2026-034</x:v>
      </x:c>
      <x:c r="J339" s="27" t="str">
        <x:v>CHK-2026-034-06</x:v>
      </x:c>
    </x:row>
    <x:row r="340">
      <x:c r="A340" s="28" t="str">
        <x:v>Occupational Health</x:v>
      </x:c>
      <x:c r="B340" s="37" t="n">
        <x:v>46115</x:v>
      </x:c>
      <x:c r="C340" s="26" t="str">
        <x:v>RAH01-2026-034</x:v>
      </x:c>
      <x:c r="D340" s="36" t="n">
        <x:v>7</x:v>
      </x:c>
      <x:c r="E340" s="26" t="str">
        <x:v>Risk-based hearing examination</x:v>
      </x:c>
      <x:c r="F340" s="25" t="str">
        <x:v>NOT_APPLICABLE</x:v>
      </x:c>
      <x:c r="G340" s="25" t="str">
        <x:v>No indicated risk exam hearing exposure in this department's current risk profile.</x:v>
      </x:c>
      <x:c r="H340" s="27" t="str">
        <x:v>occ_risk_exam_hearing</x:v>
      </x:c>
      <x:c r="I340" s="27" t="str">
        <x:v>ASM-2026-034</x:v>
      </x:c>
      <x:c r="J340" s="27" t="str">
        <x:v>CHK-2026-034-07</x:v>
      </x:c>
    </x:row>
    <x:row r="341">
      <x:c r="A341" s="28" t="str">
        <x:v>Occupational Health</x:v>
      </x:c>
      <x:c r="B341" s="37" t="n">
        <x:v>46115</x:v>
      </x:c>
      <x:c r="C341" s="26" t="str">
        <x:v>RAH01-2026-034</x:v>
      </x:c>
      <x:c r="D341" s="36" t="n">
        <x:v>8</x:v>
      </x:c>
      <x:c r="E341" s="26" t="str">
        <x:v>Risk-based vision examination</x:v>
      </x:c>
      <x:c r="F341" s="25" t="str">
        <x:v>YES</x:v>
      </x:c>
      <x:c r="G341" s="25" t="str"/>
      <x:c r="H341" s="27" t="str">
        <x:v>occ_risk_exam_vision</x:v>
      </x:c>
      <x:c r="I341" s="27" t="str">
        <x:v>ASM-2026-034</x:v>
      </x:c>
      <x:c r="J341" s="27" t="str">
        <x:v>CHK-2026-034-08</x:v>
      </x:c>
    </x:row>
    <x:row r="342">
      <x:c r="A342" s="28" t="str">
        <x:v>Occupational Health</x:v>
      </x:c>
      <x:c r="B342" s="37" t="n">
        <x:v>46115</x:v>
      </x:c>
      <x:c r="C342" s="26" t="str">
        <x:v>RAH01-2026-034</x:v>
      </x:c>
      <x:c r="D342" s="36" t="n">
        <x:v>9</x:v>
      </x:c>
      <x:c r="E342" s="26" t="str">
        <x:v>Biological monitoring</x:v>
      </x:c>
      <x:c r="F342" s="25" t="str">
        <x:v>YES</x:v>
      </x:c>
      <x:c r="G342" s="25" t="str"/>
      <x:c r="H342" s="27" t="str">
        <x:v>occ_bio_exam</x:v>
      </x:c>
      <x:c r="I342" s="27" t="str">
        <x:v>ASM-2026-034</x:v>
      </x:c>
      <x:c r="J342" s="27" t="str">
        <x:v>CHK-2026-034-09</x:v>
      </x:c>
    </x:row>
    <x:row r="343">
      <x:c r="A343" s="28" t="str">
        <x:v>Occupational Health</x:v>
      </x:c>
      <x:c r="B343" s="37" t="n">
        <x:v>46115</x:v>
      </x:c>
      <x:c r="C343" s="26" t="str">
        <x:v>RAH01-2026-034</x:v>
      </x:c>
      <x:c r="D343" s="36" t="n">
        <x:v>10</x:v>
      </x:c>
      <x:c r="E343" s="26" t="str">
        <x:v>Workplace environmental monitoring</x:v>
      </x:c>
      <x:c r="F343" s="25" t="str">
        <x:v>YES</x:v>
      </x:c>
      <x:c r="G343" s="25" t="str"/>
      <x:c r="H343" s="27" t="str">
        <x:v>occ_env_exam</x:v>
      </x:c>
      <x:c r="I343" s="27" t="str">
        <x:v>ASM-2026-034</x:v>
      </x:c>
      <x:c r="J343" s="27" t="str">
        <x:v>CHK-2026-034-10</x:v>
      </x:c>
    </x:row>
    <x:row r="344">
      <x:c r="A344" s="28" t="str">
        <x:v>Oncology</x:v>
      </x:c>
      <x:c r="B344" s="37" t="n">
        <x:v>46148</x:v>
      </x:c>
      <x:c r="C344" s="26" t="str">
        <x:v>RAH01-2026-035</x:v>
      </x:c>
      <x:c r="D344" s="36" t="n">
        <x:v>1</x:v>
      </x:c>
      <x:c r="E344" s="26" t="str">
        <x:v>Fire prevention and suppression system</x:v>
      </x:c>
      <x:c r="F344" s="25" t="str">
        <x:v>YES</x:v>
      </x:c>
      <x:c r="G344" s="25" t="str"/>
      <x:c r="H344" s="27" t="str">
        <x:v>occ_fire_safety</x:v>
      </x:c>
      <x:c r="I344" s="27" t="str">
        <x:v>ASM-2026-035</x:v>
      </x:c>
      <x:c r="J344" s="27" t="str">
        <x:v>CHK-2026-035-01</x:v>
      </x:c>
    </x:row>
    <x:row r="345">
      <x:c r="A345" s="28" t="str">
        <x:v>Oncology</x:v>
      </x:c>
      <x:c r="B345" s="37" t="n">
        <x:v>46148</x:v>
      </x:c>
      <x:c r="C345" s="26" t="str">
        <x:v>RAH01-2026-035</x:v>
      </x:c>
      <x:c r="D345" s="36" t="n">
        <x:v>2</x:v>
      </x:c>
      <x:c r="E345" s="26" t="str">
        <x:v>Occupational-health education</x:v>
      </x:c>
      <x:c r="F345" s="25" t="str">
        <x:v>YES</x:v>
      </x:c>
      <x:c r="G345" s="25" t="str"/>
      <x:c r="H345" s="27" t="str">
        <x:v>occ_health_education</x:v>
      </x:c>
      <x:c r="I345" s="27" t="str">
        <x:v>ASM-2026-035</x:v>
      </x:c>
      <x:c r="J345" s="27" t="str">
        <x:v>CHK-2026-035-02</x:v>
      </x:c>
    </x:row>
    <x:row r="346">
      <x:c r="A346" s="28" t="str">
        <x:v>Oncology</x:v>
      </x:c>
      <x:c r="B346" s="37" t="n">
        <x:v>46148</x:v>
      </x:c>
      <x:c r="C346" s="26" t="str">
        <x:v>RAH01-2026-035</x:v>
      </x:c>
      <x:c r="D346" s="36" t="n">
        <x:v>3</x:v>
      </x:c>
      <x:c r="E346" s="26" t="str">
        <x:v>Hazardous-waste management system</x:v>
      </x:c>
      <x:c r="F346" s="25" t="str">
        <x:v>YES</x:v>
      </x:c>
      <x:c r="G346" s="25" t="str"/>
      <x:c r="H346" s="27" t="str">
        <x:v>occ_waste_management</x:v>
      </x:c>
      <x:c r="I346" s="27" t="str">
        <x:v>ASM-2026-035</x:v>
      </x:c>
      <x:c r="J346" s="27" t="str">
        <x:v>CHK-2026-035-03</x:v>
      </x:c>
    </x:row>
    <x:row r="347">
      <x:c r="A347" s="28" t="str">
        <x:v>Oncology</x:v>
      </x:c>
      <x:c r="B347" s="37" t="n">
        <x:v>46148</x:v>
      </x:c>
      <x:c r="C347" s="26" t="str">
        <x:v>RAH01-2026-035</x:v>
      </x:c>
      <x:c r="D347" s="36" t="n">
        <x:v>4</x:v>
      </x:c>
      <x:c r="E347" s="26" t="str">
        <x:v>Personal protective equipment measures</x:v>
      </x:c>
      <x:c r="F347" s="25" t="str">
        <x:v>YES</x:v>
      </x:c>
      <x:c r="G347" s="25" t="str"/>
      <x:c r="H347" s="27" t="str">
        <x:v>occ_ppe_measures</x:v>
      </x:c>
      <x:c r="I347" s="27" t="str">
        <x:v>ASM-2026-035</x:v>
      </x:c>
      <x:c r="J347" s="27" t="str">
        <x:v>CHK-2026-035-04</x:v>
      </x:c>
    </x:row>
    <x:row r="348">
      <x:c r="A348" s="28" t="str">
        <x:v>Oncology</x:v>
      </x:c>
      <x:c r="B348" s="37" t="n">
        <x:v>46148</x:v>
      </x:c>
      <x:c r="C348" s="26" t="str">
        <x:v>RAH01-2026-035</x:v>
      </x:c>
      <x:c r="D348" s="36" t="n">
        <x:v>5</x:v>
      </x:c>
      <x:c r="E348" s="26" t="str">
        <x:v>Annual health examination</x:v>
      </x:c>
      <x:c r="F348" s="25" t="str">
        <x:v>YES</x:v>
      </x:c>
      <x:c r="G348" s="25" t="str"/>
      <x:c r="H348" s="27" t="str">
        <x:v>occ_annual_health_exam</x:v>
      </x:c>
      <x:c r="I348" s="27" t="str">
        <x:v>ASM-2026-035</x:v>
      </x:c>
      <x:c r="J348" s="27" t="str">
        <x:v>CHK-2026-035-05</x:v>
      </x:c>
    </x:row>
    <x:row r="349">
      <x:c r="A349" s="28" t="str">
        <x:v>Oncology</x:v>
      </x:c>
      <x:c r="B349" s="37" t="n">
        <x:v>46148</x:v>
      </x:c>
      <x:c r="C349" s="26" t="str">
        <x:v>RAH01-2026-035</x:v>
      </x:c>
      <x:c r="D349" s="36" t="n">
        <x:v>6</x:v>
      </x:c>
      <x:c r="E349" s="26" t="str">
        <x:v>Risk-based lung-function examination</x:v>
      </x:c>
      <x:c r="F349" s="25" t="str">
        <x:v>NOT_APPLICABLE</x:v>
      </x:c>
      <x:c r="G349" s="25" t="str">
        <x:v>No indicated risk exam lung exposure in this department's current risk profile.</x:v>
      </x:c>
      <x:c r="H349" s="27" t="str">
        <x:v>occ_risk_exam_lung</x:v>
      </x:c>
      <x:c r="I349" s="27" t="str">
        <x:v>ASM-2026-035</x:v>
      </x:c>
      <x:c r="J349" s="27" t="str">
        <x:v>CHK-2026-035-06</x:v>
      </x:c>
    </x:row>
    <x:row r="350">
      <x:c r="A350" s="28" t="str">
        <x:v>Oncology</x:v>
      </x:c>
      <x:c r="B350" s="37" t="n">
        <x:v>46148</x:v>
      </x:c>
      <x:c r="C350" s="26" t="str">
        <x:v>RAH01-2026-035</x:v>
      </x:c>
      <x:c r="D350" s="36" t="n">
        <x:v>7</x:v>
      </x:c>
      <x:c r="E350" s="26" t="str">
        <x:v>Risk-based hearing examination</x:v>
      </x:c>
      <x:c r="F350" s="25" t="str">
        <x:v>YES</x:v>
      </x:c>
      <x:c r="G350" s="25" t="str"/>
      <x:c r="H350" s="27" t="str">
        <x:v>occ_risk_exam_hearing</x:v>
      </x:c>
      <x:c r="I350" s="27" t="str">
        <x:v>ASM-2026-035</x:v>
      </x:c>
      <x:c r="J350" s="27" t="str">
        <x:v>CHK-2026-035-07</x:v>
      </x:c>
    </x:row>
    <x:row r="351">
      <x:c r="A351" s="28" t="str">
        <x:v>Oncology</x:v>
      </x:c>
      <x:c r="B351" s="37" t="n">
        <x:v>46148</x:v>
      </x:c>
      <x:c r="C351" s="26" t="str">
        <x:v>RAH01-2026-035</x:v>
      </x:c>
      <x:c r="D351" s="36" t="n">
        <x:v>8</x:v>
      </x:c>
      <x:c r="E351" s="26" t="str">
        <x:v>Risk-based vision examination</x:v>
      </x:c>
      <x:c r="F351" s="25" t="str">
        <x:v>YES</x:v>
      </x:c>
      <x:c r="G351" s="25" t="str"/>
      <x:c r="H351" s="27" t="str">
        <x:v>occ_risk_exam_vision</x:v>
      </x:c>
      <x:c r="I351" s="27" t="str">
        <x:v>ASM-2026-035</x:v>
      </x:c>
      <x:c r="J351" s="27" t="str">
        <x:v>CHK-2026-035-08</x:v>
      </x:c>
    </x:row>
    <x:row r="352">
      <x:c r="A352" s="28" t="str">
        <x:v>Oncology</x:v>
      </x:c>
      <x:c r="B352" s="37" t="n">
        <x:v>46148</x:v>
      </x:c>
      <x:c r="C352" s="26" t="str">
        <x:v>RAH01-2026-035</x:v>
      </x:c>
      <x:c r="D352" s="36" t="n">
        <x:v>9</x:v>
      </x:c>
      <x:c r="E352" s="26" t="str">
        <x:v>Biological monitoring</x:v>
      </x:c>
      <x:c r="F352" s="25" t="str">
        <x:v>YES</x:v>
      </x:c>
      <x:c r="G352" s="25" t="str"/>
      <x:c r="H352" s="27" t="str">
        <x:v>occ_bio_exam</x:v>
      </x:c>
      <x:c r="I352" s="27" t="str">
        <x:v>ASM-2026-035</x:v>
      </x:c>
      <x:c r="J352" s="27" t="str">
        <x:v>CHK-2026-035-09</x:v>
      </x:c>
    </x:row>
    <x:row r="353">
      <x:c r="A353" s="28" t="str">
        <x:v>Oncology</x:v>
      </x:c>
      <x:c r="B353" s="37" t="n">
        <x:v>46148</x:v>
      </x:c>
      <x:c r="C353" s="26" t="str">
        <x:v>RAH01-2026-035</x:v>
      </x:c>
      <x:c r="D353" s="36" t="n">
        <x:v>10</x:v>
      </x:c>
      <x:c r="E353" s="26" t="str">
        <x:v>Workplace environmental monitoring</x:v>
      </x:c>
      <x:c r="F353" s="25" t="str">
        <x:v>NOT_APPLICABLE</x:v>
      </x:c>
      <x:c r="G353" s="25" t="str">
        <x:v>No indicated env exam exposure in this department's current risk profile.</x:v>
      </x:c>
      <x:c r="H353" s="27" t="str">
        <x:v>occ_env_exam</x:v>
      </x:c>
      <x:c r="I353" s="27" t="str">
        <x:v>ASM-2026-035</x:v>
      </x:c>
      <x:c r="J353" s="27" t="str">
        <x:v>CHK-2026-035-10</x:v>
      </x:c>
    </x:row>
    <x:row r="354">
      <x:c r="A354" s="28" t="str">
        <x:v>Operating Theatre</x:v>
      </x:c>
      <x:c r="B354" s="37" t="n">
        <x:v>46182</x:v>
      </x:c>
      <x:c r="C354" s="26" t="str">
        <x:v>RAH01-2026-036</x:v>
      </x:c>
      <x:c r="D354" s="36" t="n">
        <x:v>1</x:v>
      </x:c>
      <x:c r="E354" s="26" t="str">
        <x:v>Fire prevention and suppression system</x:v>
      </x:c>
      <x:c r="F354" s="25" t="str">
        <x:v>YES</x:v>
      </x:c>
      <x:c r="G354" s="25" t="str"/>
      <x:c r="H354" s="27" t="str">
        <x:v>occ_fire_safety</x:v>
      </x:c>
      <x:c r="I354" s="27" t="str">
        <x:v>ASM-2026-036</x:v>
      </x:c>
      <x:c r="J354" s="27" t="str">
        <x:v>CHK-2026-036-01</x:v>
      </x:c>
    </x:row>
    <x:row r="355">
      <x:c r="A355" s="28" t="str">
        <x:v>Operating Theatre</x:v>
      </x:c>
      <x:c r="B355" s="37" t="n">
        <x:v>46182</x:v>
      </x:c>
      <x:c r="C355" s="26" t="str">
        <x:v>RAH01-2026-036</x:v>
      </x:c>
      <x:c r="D355" s="36" t="n">
        <x:v>2</x:v>
      </x:c>
      <x:c r="E355" s="26" t="str">
        <x:v>Occupational-health education</x:v>
      </x:c>
      <x:c r="F355" s="25" t="str">
        <x:v>YES</x:v>
      </x:c>
      <x:c r="G355" s="25" t="str"/>
      <x:c r="H355" s="27" t="str">
        <x:v>occ_health_education</x:v>
      </x:c>
      <x:c r="I355" s="27" t="str">
        <x:v>ASM-2026-036</x:v>
      </x:c>
      <x:c r="J355" s="27" t="str">
        <x:v>CHK-2026-036-02</x:v>
      </x:c>
    </x:row>
    <x:row r="356">
      <x:c r="A356" s="28" t="str">
        <x:v>Operating Theatre</x:v>
      </x:c>
      <x:c r="B356" s="37" t="n">
        <x:v>46182</x:v>
      </x:c>
      <x:c r="C356" s="26" t="str">
        <x:v>RAH01-2026-036</x:v>
      </x:c>
      <x:c r="D356" s="36" t="n">
        <x:v>3</x:v>
      </x:c>
      <x:c r="E356" s="26" t="str">
        <x:v>Hazardous-waste management system</x:v>
      </x:c>
      <x:c r="F356" s="25" t="str">
        <x:v>YES</x:v>
      </x:c>
      <x:c r="G356" s="25" t="str"/>
      <x:c r="H356" s="27" t="str">
        <x:v>occ_waste_management</x:v>
      </x:c>
      <x:c r="I356" s="27" t="str">
        <x:v>ASM-2026-036</x:v>
      </x:c>
      <x:c r="J356" s="27" t="str">
        <x:v>CHK-2026-036-03</x:v>
      </x:c>
    </x:row>
    <x:row r="357">
      <x:c r="A357" s="28" t="str">
        <x:v>Operating Theatre</x:v>
      </x:c>
      <x:c r="B357" s="37" t="n">
        <x:v>46182</x:v>
      </x:c>
      <x:c r="C357" s="26" t="str">
        <x:v>RAH01-2026-036</x:v>
      </x:c>
      <x:c r="D357" s="36" t="n">
        <x:v>4</x:v>
      </x:c>
      <x:c r="E357" s="26" t="str">
        <x:v>Personal protective equipment measures</x:v>
      </x:c>
      <x:c r="F357" s="25" t="str">
        <x:v>YES</x:v>
      </x:c>
      <x:c r="G357" s="25" t="str"/>
      <x:c r="H357" s="27" t="str">
        <x:v>occ_ppe_measures</x:v>
      </x:c>
      <x:c r="I357" s="27" t="str">
        <x:v>ASM-2026-036</x:v>
      </x:c>
      <x:c r="J357" s="27" t="str">
        <x:v>CHK-2026-036-04</x:v>
      </x:c>
    </x:row>
    <x:row r="358">
      <x:c r="A358" s="28" t="str">
        <x:v>Operating Theatre</x:v>
      </x:c>
      <x:c r="B358" s="37" t="n">
        <x:v>46182</x:v>
      </x:c>
      <x:c r="C358" s="26" t="str">
        <x:v>RAH01-2026-036</x:v>
      </x:c>
      <x:c r="D358" s="36" t="n">
        <x:v>5</x:v>
      </x:c>
      <x:c r="E358" s="26" t="str">
        <x:v>Annual health examination</x:v>
      </x:c>
      <x:c r="F358" s="25" t="str">
        <x:v>YES</x:v>
      </x:c>
      <x:c r="G358" s="25" t="str"/>
      <x:c r="H358" s="27" t="str">
        <x:v>occ_annual_health_exam</x:v>
      </x:c>
      <x:c r="I358" s="27" t="str">
        <x:v>ASM-2026-036</x:v>
      </x:c>
      <x:c r="J358" s="27" t="str">
        <x:v>CHK-2026-036-05</x:v>
      </x:c>
    </x:row>
    <x:row r="359">
      <x:c r="A359" s="28" t="str">
        <x:v>Operating Theatre</x:v>
      </x:c>
      <x:c r="B359" s="37" t="n">
        <x:v>46182</x:v>
      </x:c>
      <x:c r="C359" s="26" t="str">
        <x:v>RAH01-2026-036</x:v>
      </x:c>
      <x:c r="D359" s="36" t="n">
        <x:v>6</x:v>
      </x:c>
      <x:c r="E359" s="26" t="str">
        <x:v>Risk-based lung-function examination</x:v>
      </x:c>
      <x:c r="F359" s="25" t="str">
        <x:v>YES</x:v>
      </x:c>
      <x:c r="G359" s="25" t="str"/>
      <x:c r="H359" s="27" t="str">
        <x:v>occ_risk_exam_lung</x:v>
      </x:c>
      <x:c r="I359" s="27" t="str">
        <x:v>ASM-2026-036</x:v>
      </x:c>
      <x:c r="J359" s="27" t="str">
        <x:v>CHK-2026-036-06</x:v>
      </x:c>
    </x:row>
    <x:row r="360">
      <x:c r="A360" s="28" t="str">
        <x:v>Operating Theatre</x:v>
      </x:c>
      <x:c r="B360" s="37" t="n">
        <x:v>46182</x:v>
      </x:c>
      <x:c r="C360" s="26" t="str">
        <x:v>RAH01-2026-036</x:v>
      </x:c>
      <x:c r="D360" s="36" t="n">
        <x:v>7</x:v>
      </x:c>
      <x:c r="E360" s="26" t="str">
        <x:v>Risk-based hearing examination</x:v>
      </x:c>
      <x:c r="F360" s="25" t="str">
        <x:v>YES</x:v>
      </x:c>
      <x:c r="G360" s="25" t="str"/>
      <x:c r="H360" s="27" t="str">
        <x:v>occ_risk_exam_hearing</x:v>
      </x:c>
      <x:c r="I360" s="27" t="str">
        <x:v>ASM-2026-036</x:v>
      </x:c>
      <x:c r="J360" s="27" t="str">
        <x:v>CHK-2026-036-07</x:v>
      </x:c>
    </x:row>
    <x:row r="361">
      <x:c r="A361" s="28" t="str">
        <x:v>Operating Theatre</x:v>
      </x:c>
      <x:c r="B361" s="37" t="n">
        <x:v>46182</x:v>
      </x:c>
      <x:c r="C361" s="26" t="str">
        <x:v>RAH01-2026-036</x:v>
      </x:c>
      <x:c r="D361" s="36" t="n">
        <x:v>8</x:v>
      </x:c>
      <x:c r="E361" s="26" t="str">
        <x:v>Risk-based vision examination</x:v>
      </x:c>
      <x:c r="F361" s="25" t="str">
        <x:v>YES</x:v>
      </x:c>
      <x:c r="G361" s="25" t="str"/>
      <x:c r="H361" s="27" t="str">
        <x:v>occ_risk_exam_vision</x:v>
      </x:c>
      <x:c r="I361" s="27" t="str">
        <x:v>ASM-2026-036</x:v>
      </x:c>
      <x:c r="J361" s="27" t="str">
        <x:v>CHK-2026-036-08</x:v>
      </x:c>
    </x:row>
    <x:row r="362">
      <x:c r="A362" s="28" t="str">
        <x:v>Operating Theatre</x:v>
      </x:c>
      <x:c r="B362" s="37" t="n">
        <x:v>46182</x:v>
      </x:c>
      <x:c r="C362" s="26" t="str">
        <x:v>RAH01-2026-036</x:v>
      </x:c>
      <x:c r="D362" s="36" t="n">
        <x:v>9</x:v>
      </x:c>
      <x:c r="E362" s="26" t="str">
        <x:v>Biological monitoring</x:v>
      </x:c>
      <x:c r="F362" s="25" t="str">
        <x:v>NOT_APPLICABLE</x:v>
      </x:c>
      <x:c r="G362" s="25" t="str">
        <x:v>No indicated bio exam exposure in this department's current risk profile.</x:v>
      </x:c>
      <x:c r="H362" s="27" t="str">
        <x:v>occ_bio_exam</x:v>
      </x:c>
      <x:c r="I362" s="27" t="str">
        <x:v>ASM-2026-036</x:v>
      </x:c>
      <x:c r="J362" s="27" t="str">
        <x:v>CHK-2026-036-09</x:v>
      </x:c>
    </x:row>
    <x:row r="363">
      <x:c r="A363" s="28" t="str">
        <x:v>Operating Theatre</x:v>
      </x:c>
      <x:c r="B363" s="37" t="n">
        <x:v>46182</x:v>
      </x:c>
      <x:c r="C363" s="26" t="str">
        <x:v>RAH01-2026-036</x:v>
      </x:c>
      <x:c r="D363" s="36" t="n">
        <x:v>10</x:v>
      </x:c>
      <x:c r="E363" s="26" t="str">
        <x:v>Workplace environmental monitoring</x:v>
      </x:c>
      <x:c r="F363" s="25" t="str">
        <x:v>YES</x:v>
      </x:c>
      <x:c r="G363" s="25" t="str"/>
      <x:c r="H363" s="27" t="str">
        <x:v>occ_env_exam</x:v>
      </x:c>
      <x:c r="I363" s="27" t="str">
        <x:v>ASM-2026-036</x:v>
      </x:c>
      <x:c r="J363" s="27" t="str">
        <x:v>CHK-2026-036-10</x:v>
      </x:c>
    </x:row>
    <x:row r="364">
      <x:c r="A364" s="28" t="str">
        <x:v>Orthopaedics</x:v>
      </x:c>
      <x:c r="B364" s="37" t="n">
        <x:v>46034</x:v>
      </x:c>
      <x:c r="C364" s="26" t="str">
        <x:v>RAH01-2026-037</x:v>
      </x:c>
      <x:c r="D364" s="36" t="n">
        <x:v>1</x:v>
      </x:c>
      <x:c r="E364" s="26" t="str">
        <x:v>Fire prevention and suppression system</x:v>
      </x:c>
      <x:c r="F364" s="25" t="str">
        <x:v>YES</x:v>
      </x:c>
      <x:c r="G364" s="25" t="str"/>
      <x:c r="H364" s="27" t="str">
        <x:v>occ_fire_safety</x:v>
      </x:c>
      <x:c r="I364" s="27" t="str">
        <x:v>ASM-2026-037</x:v>
      </x:c>
      <x:c r="J364" s="27" t="str">
        <x:v>CHK-2026-037-01</x:v>
      </x:c>
    </x:row>
    <x:row r="365">
      <x:c r="A365" s="28" t="str">
        <x:v>Orthopaedics</x:v>
      </x:c>
      <x:c r="B365" s="37" t="n">
        <x:v>46034</x:v>
      </x:c>
      <x:c r="C365" s="26" t="str">
        <x:v>RAH01-2026-037</x:v>
      </x:c>
      <x:c r="D365" s="36" t="n">
        <x:v>2</x:v>
      </x:c>
      <x:c r="E365" s="26" t="str">
        <x:v>Occupational-health education</x:v>
      </x:c>
      <x:c r="F365" s="25" t="str">
        <x:v>YES</x:v>
      </x:c>
      <x:c r="G365" s="25" t="str"/>
      <x:c r="H365" s="27" t="str">
        <x:v>occ_health_education</x:v>
      </x:c>
      <x:c r="I365" s="27" t="str">
        <x:v>ASM-2026-037</x:v>
      </x:c>
      <x:c r="J365" s="27" t="str">
        <x:v>CHK-2026-037-02</x:v>
      </x:c>
    </x:row>
    <x:row r="366">
      <x:c r="A366" s="28" t="str">
        <x:v>Orthopaedics</x:v>
      </x:c>
      <x:c r="B366" s="37" t="n">
        <x:v>46034</x:v>
      </x:c>
      <x:c r="C366" s="26" t="str">
        <x:v>RAH01-2026-037</x:v>
      </x:c>
      <x:c r="D366" s="36" t="n">
        <x:v>3</x:v>
      </x:c>
      <x:c r="E366" s="26" t="str">
        <x:v>Hazardous-waste management system</x:v>
      </x:c>
      <x:c r="F366" s="25" t="str">
        <x:v>YES</x:v>
      </x:c>
      <x:c r="G366" s="25" t="str"/>
      <x:c r="H366" s="27" t="str">
        <x:v>occ_waste_management</x:v>
      </x:c>
      <x:c r="I366" s="27" t="str">
        <x:v>ASM-2026-037</x:v>
      </x:c>
      <x:c r="J366" s="27" t="str">
        <x:v>CHK-2026-037-03</x:v>
      </x:c>
    </x:row>
    <x:row r="367">
      <x:c r="A367" s="28" t="str">
        <x:v>Orthopaedics</x:v>
      </x:c>
      <x:c r="B367" s="37" t="n">
        <x:v>46034</x:v>
      </x:c>
      <x:c r="C367" s="26" t="str">
        <x:v>RAH01-2026-037</x:v>
      </x:c>
      <x:c r="D367" s="36" t="n">
        <x:v>4</x:v>
      </x:c>
      <x:c r="E367" s="26" t="str">
        <x:v>Personal protective equipment measures</x:v>
      </x:c>
      <x:c r="F367" s="25" t="str">
        <x:v>YES</x:v>
      </x:c>
      <x:c r="G367" s="25" t="str"/>
      <x:c r="H367" s="27" t="str">
        <x:v>occ_ppe_measures</x:v>
      </x:c>
      <x:c r="I367" s="27" t="str">
        <x:v>ASM-2026-037</x:v>
      </x:c>
      <x:c r="J367" s="27" t="str">
        <x:v>CHK-2026-037-04</x:v>
      </x:c>
    </x:row>
    <x:row r="368">
      <x:c r="A368" s="28" t="str">
        <x:v>Orthopaedics</x:v>
      </x:c>
      <x:c r="B368" s="37" t="n">
        <x:v>46034</x:v>
      </x:c>
      <x:c r="C368" s="26" t="str">
        <x:v>RAH01-2026-037</x:v>
      </x:c>
      <x:c r="D368" s="36" t="n">
        <x:v>5</x:v>
      </x:c>
      <x:c r="E368" s="26" t="str">
        <x:v>Annual health examination</x:v>
      </x:c>
      <x:c r="F368" s="25" t="str">
        <x:v>YES</x:v>
      </x:c>
      <x:c r="G368" s="25" t="str"/>
      <x:c r="H368" s="27" t="str">
        <x:v>occ_annual_health_exam</x:v>
      </x:c>
      <x:c r="I368" s="27" t="str">
        <x:v>ASM-2026-037</x:v>
      </x:c>
      <x:c r="J368" s="27" t="str">
        <x:v>CHK-2026-037-05</x:v>
      </x:c>
    </x:row>
    <x:row r="369">
      <x:c r="A369" s="28" t="str">
        <x:v>Orthopaedics</x:v>
      </x:c>
      <x:c r="B369" s="37" t="n">
        <x:v>46034</x:v>
      </x:c>
      <x:c r="C369" s="26" t="str">
        <x:v>RAH01-2026-037</x:v>
      </x:c>
      <x:c r="D369" s="36" t="n">
        <x:v>6</x:v>
      </x:c>
      <x:c r="E369" s="26" t="str">
        <x:v>Risk-based lung-function examination</x:v>
      </x:c>
      <x:c r="F369" s="25" t="str">
        <x:v>YES</x:v>
      </x:c>
      <x:c r="G369" s="25" t="str"/>
      <x:c r="H369" s="27" t="str">
        <x:v>occ_risk_exam_lung</x:v>
      </x:c>
      <x:c r="I369" s="27" t="str">
        <x:v>ASM-2026-037</x:v>
      </x:c>
      <x:c r="J369" s="27" t="str">
        <x:v>CHK-2026-037-06</x:v>
      </x:c>
    </x:row>
    <x:row r="370">
      <x:c r="A370" s="28" t="str">
        <x:v>Orthopaedics</x:v>
      </x:c>
      <x:c r="B370" s="37" t="n">
        <x:v>46034</x:v>
      </x:c>
      <x:c r="C370" s="26" t="str">
        <x:v>RAH01-2026-037</x:v>
      </x:c>
      <x:c r="D370" s="36" t="n">
        <x:v>7</x:v>
      </x:c>
      <x:c r="E370" s="26" t="str">
        <x:v>Risk-based hearing examination</x:v>
      </x:c>
      <x:c r="F370" s="25" t="str">
        <x:v>YES</x:v>
      </x:c>
      <x:c r="G370" s="25" t="str"/>
      <x:c r="H370" s="27" t="str">
        <x:v>occ_risk_exam_hearing</x:v>
      </x:c>
      <x:c r="I370" s="27" t="str">
        <x:v>ASM-2026-037</x:v>
      </x:c>
      <x:c r="J370" s="27" t="str">
        <x:v>CHK-2026-037-07</x:v>
      </x:c>
    </x:row>
    <x:row r="371">
      <x:c r="A371" s="28" t="str">
        <x:v>Orthopaedics</x:v>
      </x:c>
      <x:c r="B371" s="37" t="n">
        <x:v>46034</x:v>
      </x:c>
      <x:c r="C371" s="26" t="str">
        <x:v>RAH01-2026-037</x:v>
      </x:c>
      <x:c r="D371" s="36" t="n">
        <x:v>8</x:v>
      </x:c>
      <x:c r="E371" s="26" t="str">
        <x:v>Risk-based vision examination</x:v>
      </x:c>
      <x:c r="F371" s="25" t="str">
        <x:v>NOT_APPLICABLE</x:v>
      </x:c>
      <x:c r="G371" s="25" t="str">
        <x:v>No indicated risk exam vision exposure in this department's current risk profile.</x:v>
      </x:c>
      <x:c r="H371" s="27" t="str">
        <x:v>occ_risk_exam_vision</x:v>
      </x:c>
      <x:c r="I371" s="27" t="str">
        <x:v>ASM-2026-037</x:v>
      </x:c>
      <x:c r="J371" s="27" t="str">
        <x:v>CHK-2026-037-08</x:v>
      </x:c>
    </x:row>
    <x:row r="372">
      <x:c r="A372" s="28" t="str">
        <x:v>Orthopaedics</x:v>
      </x:c>
      <x:c r="B372" s="37" t="n">
        <x:v>46034</x:v>
      </x:c>
      <x:c r="C372" s="26" t="str">
        <x:v>RAH01-2026-037</x:v>
      </x:c>
      <x:c r="D372" s="36" t="n">
        <x:v>9</x:v>
      </x:c>
      <x:c r="E372" s="26" t="str">
        <x:v>Biological monitoring</x:v>
      </x:c>
      <x:c r="F372" s="25" t="str">
        <x:v>NO</x:v>
      </x:c>
      <x:c r="G372" s="25" t="str"/>
      <x:c r="H372" s="27" t="str">
        <x:v>occ_bio_exam</x:v>
      </x:c>
      <x:c r="I372" s="27" t="str">
        <x:v>ASM-2026-037</x:v>
      </x:c>
      <x:c r="J372" s="27" t="str">
        <x:v>CHK-2026-037-09</x:v>
      </x:c>
    </x:row>
    <x:row r="373">
      <x:c r="A373" s="28" t="str">
        <x:v>Orthopaedics</x:v>
      </x:c>
      <x:c r="B373" s="37" t="n">
        <x:v>46034</x:v>
      </x:c>
      <x:c r="C373" s="26" t="str">
        <x:v>RAH01-2026-037</x:v>
      </x:c>
      <x:c r="D373" s="36" t="n">
        <x:v>10</x:v>
      </x:c>
      <x:c r="E373" s="26" t="str">
        <x:v>Workplace environmental monitoring</x:v>
      </x:c>
      <x:c r="F373" s="25" t="str">
        <x:v>YES</x:v>
      </x:c>
      <x:c r="G373" s="25" t="str"/>
      <x:c r="H373" s="27" t="str">
        <x:v>occ_env_exam</x:v>
      </x:c>
      <x:c r="I373" s="27" t="str">
        <x:v>ASM-2026-037</x:v>
      </x:c>
      <x:c r="J373" s="27" t="str">
        <x:v>CHK-2026-037-10</x:v>
      </x:c>
    </x:row>
    <x:row r="374">
      <x:c r="A374" s="28" t="str">
        <x:v>Outpatient Department</x:v>
      </x:c>
      <x:c r="B374" s="37" t="n">
        <x:v>46068</x:v>
      </x:c>
      <x:c r="C374" s="26" t="str">
        <x:v>RAH01-2026-038</x:v>
      </x:c>
      <x:c r="D374" s="36" t="n">
        <x:v>1</x:v>
      </x:c>
      <x:c r="E374" s="26" t="str">
        <x:v>Fire prevention and suppression system</x:v>
      </x:c>
      <x:c r="F374" s="25" t="str">
        <x:v>YES</x:v>
      </x:c>
      <x:c r="G374" s="25" t="str"/>
      <x:c r="H374" s="27" t="str">
        <x:v>occ_fire_safety</x:v>
      </x:c>
      <x:c r="I374" s="27" t="str">
        <x:v>ASM-2026-038</x:v>
      </x:c>
      <x:c r="J374" s="27" t="str">
        <x:v>CHK-2026-038-01</x:v>
      </x:c>
    </x:row>
    <x:row r="375">
      <x:c r="A375" s="28" t="str">
        <x:v>Outpatient Department</x:v>
      </x:c>
      <x:c r="B375" s="37" t="n">
        <x:v>46068</x:v>
      </x:c>
      <x:c r="C375" s="26" t="str">
        <x:v>RAH01-2026-038</x:v>
      </x:c>
      <x:c r="D375" s="36" t="n">
        <x:v>2</x:v>
      </x:c>
      <x:c r="E375" s="26" t="str">
        <x:v>Occupational-health education</x:v>
      </x:c>
      <x:c r="F375" s="25" t="str">
        <x:v>YES</x:v>
      </x:c>
      <x:c r="G375" s="25" t="str"/>
      <x:c r="H375" s="27" t="str">
        <x:v>occ_health_education</x:v>
      </x:c>
      <x:c r="I375" s="27" t="str">
        <x:v>ASM-2026-038</x:v>
      </x:c>
      <x:c r="J375" s="27" t="str">
        <x:v>CHK-2026-038-02</x:v>
      </x:c>
    </x:row>
    <x:row r="376">
      <x:c r="A376" s="28" t="str">
        <x:v>Outpatient Department</x:v>
      </x:c>
      <x:c r="B376" s="37" t="n">
        <x:v>46068</x:v>
      </x:c>
      <x:c r="C376" s="26" t="str">
        <x:v>RAH01-2026-038</x:v>
      </x:c>
      <x:c r="D376" s="36" t="n">
        <x:v>3</x:v>
      </x:c>
      <x:c r="E376" s="26" t="str">
        <x:v>Hazardous-waste management system</x:v>
      </x:c>
      <x:c r="F376" s="25" t="str">
        <x:v>YES</x:v>
      </x:c>
      <x:c r="G376" s="25" t="str"/>
      <x:c r="H376" s="27" t="str">
        <x:v>occ_waste_management</x:v>
      </x:c>
      <x:c r="I376" s="27" t="str">
        <x:v>ASM-2026-038</x:v>
      </x:c>
      <x:c r="J376" s="27" t="str">
        <x:v>CHK-2026-038-03</x:v>
      </x:c>
    </x:row>
    <x:row r="377">
      <x:c r="A377" s="28" t="str">
        <x:v>Outpatient Department</x:v>
      </x:c>
      <x:c r="B377" s="37" t="n">
        <x:v>46068</x:v>
      </x:c>
      <x:c r="C377" s="26" t="str">
        <x:v>RAH01-2026-038</x:v>
      </x:c>
      <x:c r="D377" s="36" t="n">
        <x:v>4</x:v>
      </x:c>
      <x:c r="E377" s="26" t="str">
        <x:v>Personal protective equipment measures</x:v>
      </x:c>
      <x:c r="F377" s="25" t="str">
        <x:v>YES</x:v>
      </x:c>
      <x:c r="G377" s="25" t="str"/>
      <x:c r="H377" s="27" t="str">
        <x:v>occ_ppe_measures</x:v>
      </x:c>
      <x:c r="I377" s="27" t="str">
        <x:v>ASM-2026-038</x:v>
      </x:c>
      <x:c r="J377" s="27" t="str">
        <x:v>CHK-2026-038-04</x:v>
      </x:c>
    </x:row>
    <x:row r="378">
      <x:c r="A378" s="28" t="str">
        <x:v>Outpatient Department</x:v>
      </x:c>
      <x:c r="B378" s="37" t="n">
        <x:v>46068</x:v>
      </x:c>
      <x:c r="C378" s="26" t="str">
        <x:v>RAH01-2026-038</x:v>
      </x:c>
      <x:c r="D378" s="36" t="n">
        <x:v>5</x:v>
      </x:c>
      <x:c r="E378" s="26" t="str">
        <x:v>Annual health examination</x:v>
      </x:c>
      <x:c r="F378" s="25" t="str">
        <x:v>YES</x:v>
      </x:c>
      <x:c r="G378" s="25" t="str"/>
      <x:c r="H378" s="27" t="str">
        <x:v>occ_annual_health_exam</x:v>
      </x:c>
      <x:c r="I378" s="27" t="str">
        <x:v>ASM-2026-038</x:v>
      </x:c>
      <x:c r="J378" s="27" t="str">
        <x:v>CHK-2026-038-05</x:v>
      </x:c>
    </x:row>
    <x:row r="379">
      <x:c r="A379" s="28" t="str">
        <x:v>Outpatient Department</x:v>
      </x:c>
      <x:c r="B379" s="37" t="n">
        <x:v>46068</x:v>
      </x:c>
      <x:c r="C379" s="26" t="str">
        <x:v>RAH01-2026-038</x:v>
      </x:c>
      <x:c r="D379" s="36" t="n">
        <x:v>6</x:v>
      </x:c>
      <x:c r="E379" s="26" t="str">
        <x:v>Risk-based lung-function examination</x:v>
      </x:c>
      <x:c r="F379" s="25" t="str">
        <x:v>NO</x:v>
      </x:c>
      <x:c r="G379" s="25" t="str"/>
      <x:c r="H379" s="27" t="str">
        <x:v>occ_risk_exam_lung</x:v>
      </x:c>
      <x:c r="I379" s="27" t="str">
        <x:v>ASM-2026-038</x:v>
      </x:c>
      <x:c r="J379" s="27" t="str">
        <x:v>CHK-2026-038-06</x:v>
      </x:c>
    </x:row>
    <x:row r="380">
      <x:c r="A380" s="28" t="str">
        <x:v>Outpatient Department</x:v>
      </x:c>
      <x:c r="B380" s="37" t="n">
        <x:v>46068</x:v>
      </x:c>
      <x:c r="C380" s="26" t="str">
        <x:v>RAH01-2026-038</x:v>
      </x:c>
      <x:c r="D380" s="36" t="n">
        <x:v>7</x:v>
      </x:c>
      <x:c r="E380" s="26" t="str">
        <x:v>Risk-based hearing examination</x:v>
      </x:c>
      <x:c r="F380" s="25" t="str">
        <x:v>NOT_APPLICABLE</x:v>
      </x:c>
      <x:c r="G380" s="25" t="str">
        <x:v>No indicated risk exam hearing exposure in this department's current risk profile.</x:v>
      </x:c>
      <x:c r="H380" s="27" t="str">
        <x:v>occ_risk_exam_hearing</x:v>
      </x:c>
      <x:c r="I380" s="27" t="str">
        <x:v>ASM-2026-038</x:v>
      </x:c>
      <x:c r="J380" s="27" t="str">
        <x:v>CHK-2026-038-07</x:v>
      </x:c>
    </x:row>
    <x:row r="381">
      <x:c r="A381" s="28" t="str">
        <x:v>Outpatient Department</x:v>
      </x:c>
      <x:c r="B381" s="37" t="n">
        <x:v>46068</x:v>
      </x:c>
      <x:c r="C381" s="26" t="str">
        <x:v>RAH01-2026-038</x:v>
      </x:c>
      <x:c r="D381" s="36" t="n">
        <x:v>8</x:v>
      </x:c>
      <x:c r="E381" s="26" t="str">
        <x:v>Risk-based vision examination</x:v>
      </x:c>
      <x:c r="F381" s="25" t="str">
        <x:v>YES</x:v>
      </x:c>
      <x:c r="G381" s="25" t="str"/>
      <x:c r="H381" s="27" t="str">
        <x:v>occ_risk_exam_vision</x:v>
      </x:c>
      <x:c r="I381" s="27" t="str">
        <x:v>ASM-2026-038</x:v>
      </x:c>
      <x:c r="J381" s="27" t="str">
        <x:v>CHK-2026-038-08</x:v>
      </x:c>
    </x:row>
    <x:row r="382">
      <x:c r="A382" s="28" t="str">
        <x:v>Outpatient Department</x:v>
      </x:c>
      <x:c r="B382" s="37" t="n">
        <x:v>46068</x:v>
      </x:c>
      <x:c r="C382" s="26" t="str">
        <x:v>RAH01-2026-038</x:v>
      </x:c>
      <x:c r="D382" s="36" t="n">
        <x:v>9</x:v>
      </x:c>
      <x:c r="E382" s="26" t="str">
        <x:v>Biological monitoring</x:v>
      </x:c>
      <x:c r="F382" s="25" t="str">
        <x:v>YES</x:v>
      </x:c>
      <x:c r="G382" s="25" t="str"/>
      <x:c r="H382" s="27" t="str">
        <x:v>occ_bio_exam</x:v>
      </x:c>
      <x:c r="I382" s="27" t="str">
        <x:v>ASM-2026-038</x:v>
      </x:c>
      <x:c r="J382" s="27" t="str">
        <x:v>CHK-2026-038-09</x:v>
      </x:c>
    </x:row>
    <x:row r="383">
      <x:c r="A383" s="28" t="str">
        <x:v>Outpatient Department</x:v>
      </x:c>
      <x:c r="B383" s="37" t="n">
        <x:v>46068</x:v>
      </x:c>
      <x:c r="C383" s="26" t="str">
        <x:v>RAH01-2026-038</x:v>
      </x:c>
      <x:c r="D383" s="36" t="n">
        <x:v>10</x:v>
      </x:c>
      <x:c r="E383" s="26" t="str">
        <x:v>Workplace environmental monitoring</x:v>
      </x:c>
      <x:c r="F383" s="25" t="str">
        <x:v>YES</x:v>
      </x:c>
      <x:c r="G383" s="25" t="str"/>
      <x:c r="H383" s="27" t="str">
        <x:v>occ_env_exam</x:v>
      </x:c>
      <x:c r="I383" s="27" t="str">
        <x:v>ASM-2026-038</x:v>
      </x:c>
      <x:c r="J383" s="27" t="str">
        <x:v>CHK-2026-038-10</x:v>
      </x:c>
    </x:row>
    <x:row r="384">
      <x:c r="A384" s="28" t="str">
        <x:v>Paediatrics</x:v>
      </x:c>
      <x:c r="B384" s="37" t="n">
        <x:v>46099</x:v>
      </x:c>
      <x:c r="C384" s="26" t="str">
        <x:v>RAH01-2026-039</x:v>
      </x:c>
      <x:c r="D384" s="36" t="n">
        <x:v>1</x:v>
      </x:c>
      <x:c r="E384" s="26" t="str">
        <x:v>Fire prevention and suppression system</x:v>
      </x:c>
      <x:c r="F384" s="25" t="str">
        <x:v>YES</x:v>
      </x:c>
      <x:c r="G384" s="25" t="str"/>
      <x:c r="H384" s="27" t="str">
        <x:v>occ_fire_safety</x:v>
      </x:c>
      <x:c r="I384" s="27" t="str">
        <x:v>ASM-2026-039</x:v>
      </x:c>
      <x:c r="J384" s="27" t="str">
        <x:v>CHK-2026-039-01</x:v>
      </x:c>
    </x:row>
    <x:row r="385">
      <x:c r="A385" s="28" t="str">
        <x:v>Paediatrics</x:v>
      </x:c>
      <x:c r="B385" s="37" t="n">
        <x:v>46099</x:v>
      </x:c>
      <x:c r="C385" s="26" t="str">
        <x:v>RAH01-2026-039</x:v>
      </x:c>
      <x:c r="D385" s="36" t="n">
        <x:v>2</x:v>
      </x:c>
      <x:c r="E385" s="26" t="str">
        <x:v>Occupational-health education</x:v>
      </x:c>
      <x:c r="F385" s="25" t="str">
        <x:v>YES</x:v>
      </x:c>
      <x:c r="G385" s="25" t="str"/>
      <x:c r="H385" s="27" t="str">
        <x:v>occ_health_education</x:v>
      </x:c>
      <x:c r="I385" s="27" t="str">
        <x:v>ASM-2026-039</x:v>
      </x:c>
      <x:c r="J385" s="27" t="str">
        <x:v>CHK-2026-039-02</x:v>
      </x:c>
    </x:row>
    <x:row r="386">
      <x:c r="A386" s="28" t="str">
        <x:v>Paediatrics</x:v>
      </x:c>
      <x:c r="B386" s="37" t="n">
        <x:v>46099</x:v>
      </x:c>
      <x:c r="C386" s="26" t="str">
        <x:v>RAH01-2026-039</x:v>
      </x:c>
      <x:c r="D386" s="36" t="n">
        <x:v>3</x:v>
      </x:c>
      <x:c r="E386" s="26" t="str">
        <x:v>Hazardous-waste management system</x:v>
      </x:c>
      <x:c r="F386" s="25" t="str">
        <x:v>NO</x:v>
      </x:c>
      <x:c r="G386" s="25" t="str"/>
      <x:c r="H386" s="27" t="str">
        <x:v>occ_waste_management</x:v>
      </x:c>
      <x:c r="I386" s="27" t="str">
        <x:v>ASM-2026-039</x:v>
      </x:c>
      <x:c r="J386" s="27" t="str">
        <x:v>CHK-2026-039-03</x:v>
      </x:c>
    </x:row>
    <x:row r="387">
      <x:c r="A387" s="28" t="str">
        <x:v>Paediatrics</x:v>
      </x:c>
      <x:c r="B387" s="37" t="n">
        <x:v>46099</x:v>
      </x:c>
      <x:c r="C387" s="26" t="str">
        <x:v>RAH01-2026-039</x:v>
      </x:c>
      <x:c r="D387" s="36" t="n">
        <x:v>4</x:v>
      </x:c>
      <x:c r="E387" s="26" t="str">
        <x:v>Personal protective equipment measures</x:v>
      </x:c>
      <x:c r="F387" s="25" t="str">
        <x:v>YES</x:v>
      </x:c>
      <x:c r="G387" s="25" t="str"/>
      <x:c r="H387" s="27" t="str">
        <x:v>occ_ppe_measures</x:v>
      </x:c>
      <x:c r="I387" s="27" t="str">
        <x:v>ASM-2026-039</x:v>
      </x:c>
      <x:c r="J387" s="27" t="str">
        <x:v>CHK-2026-039-04</x:v>
      </x:c>
    </x:row>
    <x:row r="388">
      <x:c r="A388" s="28" t="str">
        <x:v>Paediatrics</x:v>
      </x:c>
      <x:c r="B388" s="37" t="n">
        <x:v>46099</x:v>
      </x:c>
      <x:c r="C388" s="26" t="str">
        <x:v>RAH01-2026-039</x:v>
      </x:c>
      <x:c r="D388" s="36" t="n">
        <x:v>5</x:v>
      </x:c>
      <x:c r="E388" s="26" t="str">
        <x:v>Annual health examination</x:v>
      </x:c>
      <x:c r="F388" s="25" t="str">
        <x:v>YES</x:v>
      </x:c>
      <x:c r="G388" s="25" t="str"/>
      <x:c r="H388" s="27" t="str">
        <x:v>occ_annual_health_exam</x:v>
      </x:c>
      <x:c r="I388" s="27" t="str">
        <x:v>ASM-2026-039</x:v>
      </x:c>
      <x:c r="J388" s="27" t="str">
        <x:v>CHK-2026-039-05</x:v>
      </x:c>
    </x:row>
    <x:row r="389">
      <x:c r="A389" s="28" t="str">
        <x:v>Paediatrics</x:v>
      </x:c>
      <x:c r="B389" s="37" t="n">
        <x:v>46099</x:v>
      </x:c>
      <x:c r="C389" s="26" t="str">
        <x:v>RAH01-2026-039</x:v>
      </x:c>
      <x:c r="D389" s="36" t="n">
        <x:v>6</x:v>
      </x:c>
      <x:c r="E389" s="26" t="str">
        <x:v>Risk-based lung-function examination</x:v>
      </x:c>
      <x:c r="F389" s="25" t="str">
        <x:v>NOT_APPLICABLE</x:v>
      </x:c>
      <x:c r="G389" s="25" t="str">
        <x:v>No indicated risk exam lung exposure in this department's current risk profile.</x:v>
      </x:c>
      <x:c r="H389" s="27" t="str">
        <x:v>occ_risk_exam_lung</x:v>
      </x:c>
      <x:c r="I389" s="27" t="str">
        <x:v>ASM-2026-039</x:v>
      </x:c>
      <x:c r="J389" s="27" t="str">
        <x:v>CHK-2026-039-06</x:v>
      </x:c>
    </x:row>
    <x:row r="390">
      <x:c r="A390" s="28" t="str">
        <x:v>Paediatrics</x:v>
      </x:c>
      <x:c r="B390" s="37" t="n">
        <x:v>46099</x:v>
      </x:c>
      <x:c r="C390" s="26" t="str">
        <x:v>RAH01-2026-039</x:v>
      </x:c>
      <x:c r="D390" s="36" t="n">
        <x:v>7</x:v>
      </x:c>
      <x:c r="E390" s="26" t="str">
        <x:v>Risk-based hearing examination</x:v>
      </x:c>
      <x:c r="F390" s="25" t="str">
        <x:v>YES</x:v>
      </x:c>
      <x:c r="G390" s="25" t="str"/>
      <x:c r="H390" s="27" t="str">
        <x:v>occ_risk_exam_hearing</x:v>
      </x:c>
      <x:c r="I390" s="27" t="str">
        <x:v>ASM-2026-039</x:v>
      </x:c>
      <x:c r="J390" s="27" t="str">
        <x:v>CHK-2026-039-07</x:v>
      </x:c>
    </x:row>
    <x:row r="391">
      <x:c r="A391" s="28" t="str">
        <x:v>Paediatrics</x:v>
      </x:c>
      <x:c r="B391" s="37" t="n">
        <x:v>46099</x:v>
      </x:c>
      <x:c r="C391" s="26" t="str">
        <x:v>RAH01-2026-039</x:v>
      </x:c>
      <x:c r="D391" s="36" t="n">
        <x:v>8</x:v>
      </x:c>
      <x:c r="E391" s="26" t="str">
        <x:v>Risk-based vision examination</x:v>
      </x:c>
      <x:c r="F391" s="25" t="str">
        <x:v>YES</x:v>
      </x:c>
      <x:c r="G391" s="25" t="str"/>
      <x:c r="H391" s="27" t="str">
        <x:v>occ_risk_exam_vision</x:v>
      </x:c>
      <x:c r="I391" s="27" t="str">
        <x:v>ASM-2026-039</x:v>
      </x:c>
      <x:c r="J391" s="27" t="str">
        <x:v>CHK-2026-039-08</x:v>
      </x:c>
    </x:row>
    <x:row r="392">
      <x:c r="A392" s="28" t="str">
        <x:v>Paediatrics</x:v>
      </x:c>
      <x:c r="B392" s="37" t="n">
        <x:v>46099</x:v>
      </x:c>
      <x:c r="C392" s="26" t="str">
        <x:v>RAH01-2026-039</x:v>
      </x:c>
      <x:c r="D392" s="36" t="n">
        <x:v>9</x:v>
      </x:c>
      <x:c r="E392" s="26" t="str">
        <x:v>Biological monitoring</x:v>
      </x:c>
      <x:c r="F392" s="25" t="str">
        <x:v>YES</x:v>
      </x:c>
      <x:c r="G392" s="25" t="str"/>
      <x:c r="H392" s="27" t="str">
        <x:v>occ_bio_exam</x:v>
      </x:c>
      <x:c r="I392" s="27" t="str">
        <x:v>ASM-2026-039</x:v>
      </x:c>
      <x:c r="J392" s="27" t="str">
        <x:v>CHK-2026-039-09</x:v>
      </x:c>
    </x:row>
    <x:row r="393">
      <x:c r="A393" s="28" t="str">
        <x:v>Paediatrics</x:v>
      </x:c>
      <x:c r="B393" s="37" t="n">
        <x:v>46099</x:v>
      </x:c>
      <x:c r="C393" s="26" t="str">
        <x:v>RAH01-2026-039</x:v>
      </x:c>
      <x:c r="D393" s="36" t="n">
        <x:v>10</x:v>
      </x:c>
      <x:c r="E393" s="26" t="str">
        <x:v>Workplace environmental monitoring</x:v>
      </x:c>
      <x:c r="F393" s="25" t="str">
        <x:v>NOT_APPLICABLE</x:v>
      </x:c>
      <x:c r="G393" s="25" t="str">
        <x:v>No indicated env exam exposure in this department's current risk profile.</x:v>
      </x:c>
      <x:c r="H393" s="27" t="str">
        <x:v>occ_env_exam</x:v>
      </x:c>
      <x:c r="I393" s="27" t="str">
        <x:v>ASM-2026-039</x:v>
      </x:c>
      <x:c r="J393" s="27" t="str">
        <x:v>CHK-2026-039-10</x:v>
      </x:c>
    </x:row>
    <x:row r="394">
      <x:c r="A394" s="28" t="str">
        <x:v>Pathology</x:v>
      </x:c>
      <x:c r="B394" s="37" t="n">
        <x:v>46133</x:v>
      </x:c>
      <x:c r="C394" s="26" t="str">
        <x:v>RAH01-2026-040</x:v>
      </x:c>
      <x:c r="D394" s="36" t="n">
        <x:v>1</x:v>
      </x:c>
      <x:c r="E394" s="26" t="str">
        <x:v>Fire prevention and suppression system</x:v>
      </x:c>
      <x:c r="F394" s="25" t="str">
        <x:v>YES</x:v>
      </x:c>
      <x:c r="G394" s="25" t="str"/>
      <x:c r="H394" s="27" t="str">
        <x:v>occ_fire_safety</x:v>
      </x:c>
      <x:c r="I394" s="27" t="str">
        <x:v>ASM-2026-040</x:v>
      </x:c>
      <x:c r="J394" s="27" t="str">
        <x:v>CHK-2026-040-01</x:v>
      </x:c>
    </x:row>
    <x:row r="395">
      <x:c r="A395" s="28" t="str">
        <x:v>Pathology</x:v>
      </x:c>
      <x:c r="B395" s="37" t="n">
        <x:v>46133</x:v>
      </x:c>
      <x:c r="C395" s="26" t="str">
        <x:v>RAH01-2026-040</x:v>
      </x:c>
      <x:c r="D395" s="36" t="n">
        <x:v>2</x:v>
      </x:c>
      <x:c r="E395" s="26" t="str">
        <x:v>Occupational-health education</x:v>
      </x:c>
      <x:c r="F395" s="25" t="str">
        <x:v>YES</x:v>
      </x:c>
      <x:c r="G395" s="25" t="str"/>
      <x:c r="H395" s="27" t="str">
        <x:v>occ_health_education</x:v>
      </x:c>
      <x:c r="I395" s="27" t="str">
        <x:v>ASM-2026-040</x:v>
      </x:c>
      <x:c r="J395" s="27" t="str">
        <x:v>CHK-2026-040-02</x:v>
      </x:c>
    </x:row>
    <x:row r="396">
      <x:c r="A396" s="28" t="str">
        <x:v>Pathology</x:v>
      </x:c>
      <x:c r="B396" s="37" t="n">
        <x:v>46133</x:v>
      </x:c>
      <x:c r="C396" s="26" t="str">
        <x:v>RAH01-2026-040</x:v>
      </x:c>
      <x:c r="D396" s="36" t="n">
        <x:v>3</x:v>
      </x:c>
      <x:c r="E396" s="26" t="str">
        <x:v>Hazardous-waste management system</x:v>
      </x:c>
      <x:c r="F396" s="25" t="str">
        <x:v>YES</x:v>
      </x:c>
      <x:c r="G396" s="25" t="str"/>
      <x:c r="H396" s="27" t="str">
        <x:v>occ_waste_management</x:v>
      </x:c>
      <x:c r="I396" s="27" t="str">
        <x:v>ASM-2026-040</x:v>
      </x:c>
      <x:c r="J396" s="27" t="str">
        <x:v>CHK-2026-040-03</x:v>
      </x:c>
    </x:row>
    <x:row r="397">
      <x:c r="A397" s="28" t="str">
        <x:v>Pathology</x:v>
      </x:c>
      <x:c r="B397" s="37" t="n">
        <x:v>46133</x:v>
      </x:c>
      <x:c r="C397" s="26" t="str">
        <x:v>RAH01-2026-040</x:v>
      </x:c>
      <x:c r="D397" s="36" t="n">
        <x:v>4</x:v>
      </x:c>
      <x:c r="E397" s="26" t="str">
        <x:v>Personal protective equipment measures</x:v>
      </x:c>
      <x:c r="F397" s="25" t="str">
        <x:v>YES</x:v>
      </x:c>
      <x:c r="G397" s="25" t="str"/>
      <x:c r="H397" s="27" t="str">
        <x:v>occ_ppe_measures</x:v>
      </x:c>
      <x:c r="I397" s="27" t="str">
        <x:v>ASM-2026-040</x:v>
      </x:c>
      <x:c r="J397" s="27" t="str">
        <x:v>CHK-2026-040-04</x:v>
      </x:c>
    </x:row>
    <x:row r="398">
      <x:c r="A398" s="28" t="str">
        <x:v>Pathology</x:v>
      </x:c>
      <x:c r="B398" s="37" t="n">
        <x:v>46133</x:v>
      </x:c>
      <x:c r="C398" s="26" t="str">
        <x:v>RAH01-2026-040</x:v>
      </x:c>
      <x:c r="D398" s="36" t="n">
        <x:v>5</x:v>
      </x:c>
      <x:c r="E398" s="26" t="str">
        <x:v>Annual health examination</x:v>
      </x:c>
      <x:c r="F398" s="25" t="str">
        <x:v>YES</x:v>
      </x:c>
      <x:c r="G398" s="25" t="str"/>
      <x:c r="H398" s="27" t="str">
        <x:v>occ_annual_health_exam</x:v>
      </x:c>
      <x:c r="I398" s="27" t="str">
        <x:v>ASM-2026-040</x:v>
      </x:c>
      <x:c r="J398" s="27" t="str">
        <x:v>CHK-2026-040-05</x:v>
      </x:c>
    </x:row>
    <x:row r="399">
      <x:c r="A399" s="28" t="str">
        <x:v>Pathology</x:v>
      </x:c>
      <x:c r="B399" s="37" t="n">
        <x:v>46133</x:v>
      </x:c>
      <x:c r="C399" s="26" t="str">
        <x:v>RAH01-2026-040</x:v>
      </x:c>
      <x:c r="D399" s="36" t="n">
        <x:v>6</x:v>
      </x:c>
      <x:c r="E399" s="26" t="str">
        <x:v>Risk-based lung-function examination</x:v>
      </x:c>
      <x:c r="F399" s="25" t="str">
        <x:v>YES</x:v>
      </x:c>
      <x:c r="G399" s="25" t="str"/>
      <x:c r="H399" s="27" t="str">
        <x:v>occ_risk_exam_lung</x:v>
      </x:c>
      <x:c r="I399" s="27" t="str">
        <x:v>ASM-2026-040</x:v>
      </x:c>
      <x:c r="J399" s="27" t="str">
        <x:v>CHK-2026-040-06</x:v>
      </x:c>
    </x:row>
    <x:row r="400">
      <x:c r="A400" s="28" t="str">
        <x:v>Pathology</x:v>
      </x:c>
      <x:c r="B400" s="37" t="n">
        <x:v>46133</x:v>
      </x:c>
      <x:c r="C400" s="26" t="str">
        <x:v>RAH01-2026-040</x:v>
      </x:c>
      <x:c r="D400" s="36" t="n">
        <x:v>7</x:v>
      </x:c>
      <x:c r="E400" s="26" t="str">
        <x:v>Risk-based hearing examination</x:v>
      </x:c>
      <x:c r="F400" s="25" t="str">
        <x:v>YES</x:v>
      </x:c>
      <x:c r="G400" s="25" t="str"/>
      <x:c r="H400" s="27" t="str">
        <x:v>occ_risk_exam_hearing</x:v>
      </x:c>
      <x:c r="I400" s="27" t="str">
        <x:v>ASM-2026-040</x:v>
      </x:c>
      <x:c r="J400" s="27" t="str">
        <x:v>CHK-2026-040-07</x:v>
      </x:c>
    </x:row>
    <x:row r="401">
      <x:c r="A401" s="28" t="str">
        <x:v>Pathology</x:v>
      </x:c>
      <x:c r="B401" s="37" t="n">
        <x:v>46133</x:v>
      </x:c>
      <x:c r="C401" s="26" t="str">
        <x:v>RAH01-2026-040</x:v>
      </x:c>
      <x:c r="D401" s="36" t="n">
        <x:v>8</x:v>
      </x:c>
      <x:c r="E401" s="26" t="str">
        <x:v>Risk-based vision examination</x:v>
      </x:c>
      <x:c r="F401" s="25" t="str">
        <x:v>YES</x:v>
      </x:c>
      <x:c r="G401" s="25" t="str"/>
      <x:c r="H401" s="27" t="str">
        <x:v>occ_risk_exam_vision</x:v>
      </x:c>
      <x:c r="I401" s="27" t="str">
        <x:v>ASM-2026-040</x:v>
      </x:c>
      <x:c r="J401" s="27" t="str">
        <x:v>CHK-2026-040-08</x:v>
      </x:c>
    </x:row>
    <x:row r="402">
      <x:c r="A402" s="28" t="str">
        <x:v>Pathology</x:v>
      </x:c>
      <x:c r="B402" s="37" t="n">
        <x:v>46133</x:v>
      </x:c>
      <x:c r="C402" s="26" t="str">
        <x:v>RAH01-2026-040</x:v>
      </x:c>
      <x:c r="D402" s="36" t="n">
        <x:v>9</x:v>
      </x:c>
      <x:c r="E402" s="26" t="str">
        <x:v>Biological monitoring</x:v>
      </x:c>
      <x:c r="F402" s="25" t="str">
        <x:v>NOT_APPLICABLE</x:v>
      </x:c>
      <x:c r="G402" s="25" t="str">
        <x:v>No indicated bio exam exposure in this department's current risk profile.</x:v>
      </x:c>
      <x:c r="H402" s="27" t="str">
        <x:v>occ_bio_exam</x:v>
      </x:c>
      <x:c r="I402" s="27" t="str">
        <x:v>ASM-2026-040</x:v>
      </x:c>
      <x:c r="J402" s="27" t="str">
        <x:v>CHK-2026-040-09</x:v>
      </x:c>
    </x:row>
    <x:row r="403">
      <x:c r="A403" s="28" t="str">
        <x:v>Pathology</x:v>
      </x:c>
      <x:c r="B403" s="37" t="n">
        <x:v>46133</x:v>
      </x:c>
      <x:c r="C403" s="26" t="str">
        <x:v>RAH01-2026-040</x:v>
      </x:c>
      <x:c r="D403" s="36" t="n">
        <x:v>10</x:v>
      </x:c>
      <x:c r="E403" s="26" t="str">
        <x:v>Workplace environmental monitoring</x:v>
      </x:c>
      <x:c r="F403" s="25" t="str">
        <x:v>YES</x:v>
      </x:c>
      <x:c r="G403" s="25" t="str"/>
      <x:c r="H403" s="27" t="str">
        <x:v>occ_env_exam</x:v>
      </x:c>
      <x:c r="I403" s="27" t="str">
        <x:v>ASM-2026-040</x:v>
      </x:c>
      <x:c r="J403" s="27" t="str">
        <x:v>CHK-2026-040-10</x:v>
      </x:c>
    </x:row>
    <x:row r="404">
      <x:c r="A404" s="28" t="str">
        <x:v>Pharmacy</x:v>
      </x:c>
      <x:c r="B404" s="37" t="n">
        <x:v>46166</x:v>
      </x:c>
      <x:c r="C404" s="26" t="str">
        <x:v>RAH01-2026-041</x:v>
      </x:c>
      <x:c r="D404" s="36" t="n">
        <x:v>1</x:v>
      </x:c>
      <x:c r="E404" s="26" t="str">
        <x:v>Fire prevention and suppression system</x:v>
      </x:c>
      <x:c r="F404" s="25" t="str">
        <x:v>YES</x:v>
      </x:c>
      <x:c r="G404" s="25" t="str"/>
      <x:c r="H404" s="27" t="str">
        <x:v>occ_fire_safety</x:v>
      </x:c>
      <x:c r="I404" s="27" t="str">
        <x:v>ASM-2026-041</x:v>
      </x:c>
      <x:c r="J404" s="27" t="str">
        <x:v>CHK-2026-041-01</x:v>
      </x:c>
    </x:row>
    <x:row r="405">
      <x:c r="A405" s="28" t="str">
        <x:v>Pharmacy</x:v>
      </x:c>
      <x:c r="B405" s="37" t="n">
        <x:v>46166</x:v>
      </x:c>
      <x:c r="C405" s="26" t="str">
        <x:v>RAH01-2026-041</x:v>
      </x:c>
      <x:c r="D405" s="36" t="n">
        <x:v>2</x:v>
      </x:c>
      <x:c r="E405" s="26" t="str">
        <x:v>Occupational-health education</x:v>
      </x:c>
      <x:c r="F405" s="25" t="str">
        <x:v>YES</x:v>
      </x:c>
      <x:c r="G405" s="25" t="str"/>
      <x:c r="H405" s="27" t="str">
        <x:v>occ_health_education</x:v>
      </x:c>
      <x:c r="I405" s="27" t="str">
        <x:v>ASM-2026-041</x:v>
      </x:c>
      <x:c r="J405" s="27" t="str">
        <x:v>CHK-2026-041-02</x:v>
      </x:c>
    </x:row>
    <x:row r="406">
      <x:c r="A406" s="28" t="str">
        <x:v>Pharmacy</x:v>
      </x:c>
      <x:c r="B406" s="37" t="n">
        <x:v>46166</x:v>
      </x:c>
      <x:c r="C406" s="26" t="str">
        <x:v>RAH01-2026-041</x:v>
      </x:c>
      <x:c r="D406" s="36" t="n">
        <x:v>3</x:v>
      </x:c>
      <x:c r="E406" s="26" t="str">
        <x:v>Hazardous-waste management system</x:v>
      </x:c>
      <x:c r="F406" s="25" t="str">
        <x:v>YES</x:v>
      </x:c>
      <x:c r="G406" s="25" t="str"/>
      <x:c r="H406" s="27" t="str">
        <x:v>occ_waste_management</x:v>
      </x:c>
      <x:c r="I406" s="27" t="str">
        <x:v>ASM-2026-041</x:v>
      </x:c>
      <x:c r="J406" s="27" t="str">
        <x:v>CHK-2026-041-03</x:v>
      </x:c>
    </x:row>
    <x:row r="407">
      <x:c r="A407" s="28" t="str">
        <x:v>Pharmacy</x:v>
      </x:c>
      <x:c r="B407" s="37" t="n">
        <x:v>46166</x:v>
      </x:c>
      <x:c r="C407" s="26" t="str">
        <x:v>RAH01-2026-041</x:v>
      </x:c>
      <x:c r="D407" s="36" t="n">
        <x:v>4</x:v>
      </x:c>
      <x:c r="E407" s="26" t="str">
        <x:v>Personal protective equipment measures</x:v>
      </x:c>
      <x:c r="F407" s="25" t="str">
        <x:v>YES</x:v>
      </x:c>
      <x:c r="G407" s="25" t="str"/>
      <x:c r="H407" s="27" t="str">
        <x:v>occ_ppe_measures</x:v>
      </x:c>
      <x:c r="I407" s="27" t="str">
        <x:v>ASM-2026-041</x:v>
      </x:c>
      <x:c r="J407" s="27" t="str">
        <x:v>CHK-2026-041-04</x:v>
      </x:c>
    </x:row>
    <x:row r="408">
      <x:c r="A408" s="28" t="str">
        <x:v>Pharmacy</x:v>
      </x:c>
      <x:c r="B408" s="37" t="n">
        <x:v>46166</x:v>
      </x:c>
      <x:c r="C408" s="26" t="str">
        <x:v>RAH01-2026-041</x:v>
      </x:c>
      <x:c r="D408" s="36" t="n">
        <x:v>5</x:v>
      </x:c>
      <x:c r="E408" s="26" t="str">
        <x:v>Annual health examination</x:v>
      </x:c>
      <x:c r="F408" s="25" t="str">
        <x:v>YES</x:v>
      </x:c>
      <x:c r="G408" s="25" t="str"/>
      <x:c r="H408" s="27" t="str">
        <x:v>occ_annual_health_exam</x:v>
      </x:c>
      <x:c r="I408" s="27" t="str">
        <x:v>ASM-2026-041</x:v>
      </x:c>
      <x:c r="J408" s="27" t="str">
        <x:v>CHK-2026-041-05</x:v>
      </x:c>
    </x:row>
    <x:row r="409">
      <x:c r="A409" s="28" t="str">
        <x:v>Pharmacy</x:v>
      </x:c>
      <x:c r="B409" s="37" t="n">
        <x:v>46166</x:v>
      </x:c>
      <x:c r="C409" s="26" t="str">
        <x:v>RAH01-2026-041</x:v>
      </x:c>
      <x:c r="D409" s="36" t="n">
        <x:v>6</x:v>
      </x:c>
      <x:c r="E409" s="26" t="str">
        <x:v>Risk-based lung-function examination</x:v>
      </x:c>
      <x:c r="F409" s="25" t="str">
        <x:v>YES</x:v>
      </x:c>
      <x:c r="G409" s="25" t="str"/>
      <x:c r="H409" s="27" t="str">
        <x:v>occ_risk_exam_lung</x:v>
      </x:c>
      <x:c r="I409" s="27" t="str">
        <x:v>ASM-2026-041</x:v>
      </x:c>
      <x:c r="J409" s="27" t="str">
        <x:v>CHK-2026-041-06</x:v>
      </x:c>
    </x:row>
    <x:row r="410">
      <x:c r="A410" s="28" t="str">
        <x:v>Pharmacy</x:v>
      </x:c>
      <x:c r="B410" s="37" t="n">
        <x:v>46166</x:v>
      </x:c>
      <x:c r="C410" s="26" t="str">
        <x:v>RAH01-2026-041</x:v>
      </x:c>
      <x:c r="D410" s="36" t="n">
        <x:v>7</x:v>
      </x:c>
      <x:c r="E410" s="26" t="str">
        <x:v>Risk-based hearing examination</x:v>
      </x:c>
      <x:c r="F410" s="25" t="str">
        <x:v>YES</x:v>
      </x:c>
      <x:c r="G410" s="25" t="str"/>
      <x:c r="H410" s="27" t="str">
        <x:v>occ_risk_exam_hearing</x:v>
      </x:c>
      <x:c r="I410" s="27" t="str">
        <x:v>ASM-2026-041</x:v>
      </x:c>
      <x:c r="J410" s="27" t="str">
        <x:v>CHK-2026-041-07</x:v>
      </x:c>
    </x:row>
    <x:row r="411">
      <x:c r="A411" s="28" t="str">
        <x:v>Pharmacy</x:v>
      </x:c>
      <x:c r="B411" s="37" t="n">
        <x:v>46166</x:v>
      </x:c>
      <x:c r="C411" s="26" t="str">
        <x:v>RAH01-2026-041</x:v>
      </x:c>
      <x:c r="D411" s="36" t="n">
        <x:v>8</x:v>
      </x:c>
      <x:c r="E411" s="26" t="str">
        <x:v>Risk-based vision examination</x:v>
      </x:c>
      <x:c r="F411" s="25" t="str">
        <x:v>NOT_APPLICABLE</x:v>
      </x:c>
      <x:c r="G411" s="25" t="str">
        <x:v>No indicated risk exam vision exposure in this department's current risk profile.</x:v>
      </x:c>
      <x:c r="H411" s="27" t="str">
        <x:v>occ_risk_exam_vision</x:v>
      </x:c>
      <x:c r="I411" s="27" t="str">
        <x:v>ASM-2026-041</x:v>
      </x:c>
      <x:c r="J411" s="27" t="str">
        <x:v>CHK-2026-041-08</x:v>
      </x:c>
    </x:row>
    <x:row r="412">
      <x:c r="A412" s="28" t="str">
        <x:v>Pharmacy</x:v>
      </x:c>
      <x:c r="B412" s="37" t="n">
        <x:v>46166</x:v>
      </x:c>
      <x:c r="C412" s="26" t="str">
        <x:v>RAH01-2026-041</x:v>
      </x:c>
      <x:c r="D412" s="36" t="n">
        <x:v>9</x:v>
      </x:c>
      <x:c r="E412" s="26" t="str">
        <x:v>Biological monitoring</x:v>
      </x:c>
      <x:c r="F412" s="25" t="str">
        <x:v>YES</x:v>
      </x:c>
      <x:c r="G412" s="25" t="str"/>
      <x:c r="H412" s="27" t="str">
        <x:v>occ_bio_exam</x:v>
      </x:c>
      <x:c r="I412" s="27" t="str">
        <x:v>ASM-2026-041</x:v>
      </x:c>
      <x:c r="J412" s="27" t="str">
        <x:v>CHK-2026-041-09</x:v>
      </x:c>
    </x:row>
    <x:row r="413">
      <x:c r="A413" s="28" t="str">
        <x:v>Pharmacy</x:v>
      </x:c>
      <x:c r="B413" s="37" t="n">
        <x:v>46166</x:v>
      </x:c>
      <x:c r="C413" s="26" t="str">
        <x:v>RAH01-2026-041</x:v>
      </x:c>
      <x:c r="D413" s="36" t="n">
        <x:v>10</x:v>
      </x:c>
      <x:c r="E413" s="26" t="str">
        <x:v>Workplace environmental monitoring</x:v>
      </x:c>
      <x:c r="F413" s="25" t="str">
        <x:v>YES</x:v>
      </x:c>
      <x:c r="G413" s="25" t="str"/>
      <x:c r="H413" s="27" t="str">
        <x:v>occ_env_exam</x:v>
      </x:c>
      <x:c r="I413" s="27" t="str">
        <x:v>ASM-2026-041</x:v>
      </x:c>
      <x:c r="J413" s="27" t="str">
        <x:v>CHK-2026-041-10</x:v>
      </x:c>
    </x:row>
    <x:row r="414">
      <x:c r="A414" s="28" t="str">
        <x:v>Physical Therapy</x:v>
      </x:c>
      <x:c r="B414" s="37" t="n">
        <x:v>46175</x:v>
      </x:c>
      <x:c r="C414" s="26" t="str">
        <x:v>RAH01-2026-042</x:v>
      </x:c>
      <x:c r="D414" s="36" t="n">
        <x:v>1</x:v>
      </x:c>
      <x:c r="E414" s="26" t="str">
        <x:v>Fire prevention and suppression system</x:v>
      </x:c>
      <x:c r="F414" s="25" t="str">
        <x:v>YES</x:v>
      </x:c>
      <x:c r="G414" s="25" t="str"/>
      <x:c r="H414" s="27" t="str">
        <x:v>occ_fire_safety</x:v>
      </x:c>
      <x:c r="I414" s="27" t="str">
        <x:v>ASM-2026-042</x:v>
      </x:c>
      <x:c r="J414" s="27" t="str">
        <x:v>CHK-2026-042-01</x:v>
      </x:c>
    </x:row>
    <x:row r="415">
      <x:c r="A415" s="28" t="str">
        <x:v>Physical Therapy</x:v>
      </x:c>
      <x:c r="B415" s="37" t="n">
        <x:v>46175</x:v>
      </x:c>
      <x:c r="C415" s="26" t="str">
        <x:v>RAH01-2026-042</x:v>
      </x:c>
      <x:c r="D415" s="36" t="n">
        <x:v>2</x:v>
      </x:c>
      <x:c r="E415" s="26" t="str">
        <x:v>Occupational-health education</x:v>
      </x:c>
      <x:c r="F415" s="25" t="str">
        <x:v>YES</x:v>
      </x:c>
      <x:c r="G415" s="25" t="str"/>
      <x:c r="H415" s="27" t="str">
        <x:v>occ_health_education</x:v>
      </x:c>
      <x:c r="I415" s="27" t="str">
        <x:v>ASM-2026-042</x:v>
      </x:c>
      <x:c r="J415" s="27" t="str">
        <x:v>CHK-2026-042-02</x:v>
      </x:c>
    </x:row>
    <x:row r="416">
      <x:c r="A416" s="28" t="str">
        <x:v>Physical Therapy</x:v>
      </x:c>
      <x:c r="B416" s="37" t="n">
        <x:v>46175</x:v>
      </x:c>
      <x:c r="C416" s="26" t="str">
        <x:v>RAH01-2026-042</x:v>
      </x:c>
      <x:c r="D416" s="36" t="n">
        <x:v>3</x:v>
      </x:c>
      <x:c r="E416" s="26" t="str">
        <x:v>Hazardous-waste management system</x:v>
      </x:c>
      <x:c r="F416" s="25" t="str">
        <x:v>YES</x:v>
      </x:c>
      <x:c r="G416" s="25" t="str"/>
      <x:c r="H416" s="27" t="str">
        <x:v>occ_waste_management</x:v>
      </x:c>
      <x:c r="I416" s="27" t="str">
        <x:v>ASM-2026-042</x:v>
      </x:c>
      <x:c r="J416" s="27" t="str">
        <x:v>CHK-2026-042-03</x:v>
      </x:c>
    </x:row>
    <x:row r="417">
      <x:c r="A417" s="28" t="str">
        <x:v>Physical Therapy</x:v>
      </x:c>
      <x:c r="B417" s="37" t="n">
        <x:v>46175</x:v>
      </x:c>
      <x:c r="C417" s="26" t="str">
        <x:v>RAH01-2026-042</x:v>
      </x:c>
      <x:c r="D417" s="36" t="n">
        <x:v>4</x:v>
      </x:c>
      <x:c r="E417" s="26" t="str">
        <x:v>Personal protective equipment measures</x:v>
      </x:c>
      <x:c r="F417" s="25" t="str">
        <x:v>YES</x:v>
      </x:c>
      <x:c r="G417" s="25" t="str"/>
      <x:c r="H417" s="27" t="str">
        <x:v>occ_ppe_measures</x:v>
      </x:c>
      <x:c r="I417" s="27" t="str">
        <x:v>ASM-2026-042</x:v>
      </x:c>
      <x:c r="J417" s="27" t="str">
        <x:v>CHK-2026-042-04</x:v>
      </x:c>
    </x:row>
    <x:row r="418">
      <x:c r="A418" s="28" t="str">
        <x:v>Physical Therapy</x:v>
      </x:c>
      <x:c r="B418" s="37" t="n">
        <x:v>46175</x:v>
      </x:c>
      <x:c r="C418" s="26" t="str">
        <x:v>RAH01-2026-042</x:v>
      </x:c>
      <x:c r="D418" s="36" t="n">
        <x:v>5</x:v>
      </x:c>
      <x:c r="E418" s="26" t="str">
        <x:v>Annual health examination</x:v>
      </x:c>
      <x:c r="F418" s="25" t="str">
        <x:v>YES</x:v>
      </x:c>
      <x:c r="G418" s="25" t="str"/>
      <x:c r="H418" s="27" t="str">
        <x:v>occ_annual_health_exam</x:v>
      </x:c>
      <x:c r="I418" s="27" t="str">
        <x:v>ASM-2026-042</x:v>
      </x:c>
      <x:c r="J418" s="27" t="str">
        <x:v>CHK-2026-042-05</x:v>
      </x:c>
    </x:row>
    <x:row r="419">
      <x:c r="A419" s="28" t="str">
        <x:v>Physical Therapy</x:v>
      </x:c>
      <x:c r="B419" s="37" t="n">
        <x:v>46175</x:v>
      </x:c>
      <x:c r="C419" s="26" t="str">
        <x:v>RAH01-2026-042</x:v>
      </x:c>
      <x:c r="D419" s="36" t="n">
        <x:v>6</x:v>
      </x:c>
      <x:c r="E419" s="26" t="str">
        <x:v>Risk-based lung-function examination</x:v>
      </x:c>
      <x:c r="F419" s="25" t="str">
        <x:v>YES</x:v>
      </x:c>
      <x:c r="G419" s="25" t="str"/>
      <x:c r="H419" s="27" t="str">
        <x:v>occ_risk_exam_lung</x:v>
      </x:c>
      <x:c r="I419" s="27" t="str">
        <x:v>ASM-2026-042</x:v>
      </x:c>
      <x:c r="J419" s="27" t="str">
        <x:v>CHK-2026-042-06</x:v>
      </x:c>
    </x:row>
    <x:row r="420">
      <x:c r="A420" s="28" t="str">
        <x:v>Physical Therapy</x:v>
      </x:c>
      <x:c r="B420" s="37" t="n">
        <x:v>46175</x:v>
      </x:c>
      <x:c r="C420" s="26" t="str">
        <x:v>RAH01-2026-042</x:v>
      </x:c>
      <x:c r="D420" s="36" t="n">
        <x:v>7</x:v>
      </x:c>
      <x:c r="E420" s="26" t="str">
        <x:v>Risk-based hearing examination</x:v>
      </x:c>
      <x:c r="F420" s="25" t="str">
        <x:v>NOT_APPLICABLE</x:v>
      </x:c>
      <x:c r="G420" s="25" t="str">
        <x:v>No indicated risk exam hearing exposure in this department's current risk profile.</x:v>
      </x:c>
      <x:c r="H420" s="27" t="str">
        <x:v>occ_risk_exam_hearing</x:v>
      </x:c>
      <x:c r="I420" s="27" t="str">
        <x:v>ASM-2026-042</x:v>
      </x:c>
      <x:c r="J420" s="27" t="str">
        <x:v>CHK-2026-042-07</x:v>
      </x:c>
    </x:row>
    <x:row r="421">
      <x:c r="A421" s="28" t="str">
        <x:v>Physical Therapy</x:v>
      </x:c>
      <x:c r="B421" s="37" t="n">
        <x:v>46175</x:v>
      </x:c>
      <x:c r="C421" s="26" t="str">
        <x:v>RAH01-2026-042</x:v>
      </x:c>
      <x:c r="D421" s="36" t="n">
        <x:v>8</x:v>
      </x:c>
      <x:c r="E421" s="26" t="str">
        <x:v>Risk-based vision examination</x:v>
      </x:c>
      <x:c r="F421" s="25" t="str">
        <x:v>YES</x:v>
      </x:c>
      <x:c r="G421" s="25" t="str"/>
      <x:c r="H421" s="27" t="str">
        <x:v>occ_risk_exam_vision</x:v>
      </x:c>
      <x:c r="I421" s="27" t="str">
        <x:v>ASM-2026-042</x:v>
      </x:c>
      <x:c r="J421" s="27" t="str">
        <x:v>CHK-2026-042-08</x:v>
      </x:c>
    </x:row>
    <x:row r="422">
      <x:c r="A422" s="28" t="str">
        <x:v>Physical Therapy</x:v>
      </x:c>
      <x:c r="B422" s="37" t="n">
        <x:v>46175</x:v>
      </x:c>
      <x:c r="C422" s="26" t="str">
        <x:v>RAH01-2026-042</x:v>
      </x:c>
      <x:c r="D422" s="36" t="n">
        <x:v>9</x:v>
      </x:c>
      <x:c r="E422" s="26" t="str">
        <x:v>Biological monitoring</x:v>
      </x:c>
      <x:c r="F422" s="25" t="str">
        <x:v>YES</x:v>
      </x:c>
      <x:c r="G422" s="25" t="str"/>
      <x:c r="H422" s="27" t="str">
        <x:v>occ_bio_exam</x:v>
      </x:c>
      <x:c r="I422" s="27" t="str">
        <x:v>ASM-2026-042</x:v>
      </x:c>
      <x:c r="J422" s="27" t="str">
        <x:v>CHK-2026-042-09</x:v>
      </x:c>
    </x:row>
    <x:row r="423">
      <x:c r="A423" s="28" t="str">
        <x:v>Physical Therapy</x:v>
      </x:c>
      <x:c r="B423" s="37" t="n">
        <x:v>46175</x:v>
      </x:c>
      <x:c r="C423" s="26" t="str">
        <x:v>RAH01-2026-042</x:v>
      </x:c>
      <x:c r="D423" s="36" t="n">
        <x:v>10</x:v>
      </x:c>
      <x:c r="E423" s="26" t="str">
        <x:v>Workplace environmental monitoring</x:v>
      </x:c>
      <x:c r="F423" s="25" t="str">
        <x:v>YES</x:v>
      </x:c>
      <x:c r="G423" s="25" t="str"/>
      <x:c r="H423" s="27" t="str">
        <x:v>occ_env_exam</x:v>
      </x:c>
      <x:c r="I423" s="27" t="str">
        <x:v>ASM-2026-042</x:v>
      </x:c>
      <x:c r="J423" s="27" t="str">
        <x:v>CHK-2026-042-10</x:v>
      </x:c>
    </x:row>
    <x:row r="424">
      <x:c r="A424" s="28" t="str">
        <x:v>Plastic Surgery</x:v>
      </x:c>
      <x:c r="B424" s="37" t="n">
        <x:v>46027</x:v>
      </x:c>
      <x:c r="C424" s="26" t="str">
        <x:v>RAH01-2026-043</x:v>
      </x:c>
      <x:c r="D424" s="36" t="n">
        <x:v>1</x:v>
      </x:c>
      <x:c r="E424" s="26" t="str">
        <x:v>Fire prevention and suppression system</x:v>
      </x:c>
      <x:c r="F424" s="25" t="str">
        <x:v>YES</x:v>
      </x:c>
      <x:c r="G424" s="25" t="str"/>
      <x:c r="H424" s="27" t="str">
        <x:v>occ_fire_safety</x:v>
      </x:c>
      <x:c r="I424" s="27" t="str">
        <x:v>ASM-2026-043</x:v>
      </x:c>
      <x:c r="J424" s="27" t="str">
        <x:v>CHK-2026-043-01</x:v>
      </x:c>
    </x:row>
    <x:row r="425">
      <x:c r="A425" s="28" t="str">
        <x:v>Plastic Surgery</x:v>
      </x:c>
      <x:c r="B425" s="37" t="n">
        <x:v>46027</x:v>
      </x:c>
      <x:c r="C425" s="26" t="str">
        <x:v>RAH01-2026-043</x:v>
      </x:c>
      <x:c r="D425" s="36" t="n">
        <x:v>2</x:v>
      </x:c>
      <x:c r="E425" s="26" t="str">
        <x:v>Occupational-health education</x:v>
      </x:c>
      <x:c r="F425" s="25" t="str">
        <x:v>YES</x:v>
      </x:c>
      <x:c r="G425" s="25" t="str"/>
      <x:c r="H425" s="27" t="str">
        <x:v>occ_health_education</x:v>
      </x:c>
      <x:c r="I425" s="27" t="str">
        <x:v>ASM-2026-043</x:v>
      </x:c>
      <x:c r="J425" s="27" t="str">
        <x:v>CHK-2026-043-02</x:v>
      </x:c>
    </x:row>
    <x:row r="426">
      <x:c r="A426" s="28" t="str">
        <x:v>Plastic Surgery</x:v>
      </x:c>
      <x:c r="B426" s="37" t="n">
        <x:v>46027</x:v>
      </x:c>
      <x:c r="C426" s="26" t="str">
        <x:v>RAH01-2026-043</x:v>
      </x:c>
      <x:c r="D426" s="36" t="n">
        <x:v>3</x:v>
      </x:c>
      <x:c r="E426" s="26" t="str">
        <x:v>Hazardous-waste management system</x:v>
      </x:c>
      <x:c r="F426" s="25" t="str">
        <x:v>YES</x:v>
      </x:c>
      <x:c r="G426" s="25" t="str"/>
      <x:c r="H426" s="27" t="str">
        <x:v>occ_waste_management</x:v>
      </x:c>
      <x:c r="I426" s="27" t="str">
        <x:v>ASM-2026-043</x:v>
      </x:c>
      <x:c r="J426" s="27" t="str">
        <x:v>CHK-2026-043-03</x:v>
      </x:c>
    </x:row>
    <x:row r="427">
      <x:c r="A427" s="28" t="str">
        <x:v>Plastic Surgery</x:v>
      </x:c>
      <x:c r="B427" s="37" t="n">
        <x:v>46027</x:v>
      </x:c>
      <x:c r="C427" s="26" t="str">
        <x:v>RAH01-2026-043</x:v>
      </x:c>
      <x:c r="D427" s="36" t="n">
        <x:v>4</x:v>
      </x:c>
      <x:c r="E427" s="26" t="str">
        <x:v>Personal protective equipment measures</x:v>
      </x:c>
      <x:c r="F427" s="25" t="str">
        <x:v>YES</x:v>
      </x:c>
      <x:c r="G427" s="25" t="str"/>
      <x:c r="H427" s="27" t="str">
        <x:v>occ_ppe_measures</x:v>
      </x:c>
      <x:c r="I427" s="27" t="str">
        <x:v>ASM-2026-043</x:v>
      </x:c>
      <x:c r="J427" s="27" t="str">
        <x:v>CHK-2026-043-04</x:v>
      </x:c>
    </x:row>
    <x:row r="428">
      <x:c r="A428" s="28" t="str">
        <x:v>Plastic Surgery</x:v>
      </x:c>
      <x:c r="B428" s="37" t="n">
        <x:v>46027</x:v>
      </x:c>
      <x:c r="C428" s="26" t="str">
        <x:v>RAH01-2026-043</x:v>
      </x:c>
      <x:c r="D428" s="36" t="n">
        <x:v>5</x:v>
      </x:c>
      <x:c r="E428" s="26" t="str">
        <x:v>Annual health examination</x:v>
      </x:c>
      <x:c r="F428" s="25" t="str">
        <x:v>YES</x:v>
      </x:c>
      <x:c r="G428" s="25" t="str"/>
      <x:c r="H428" s="27" t="str">
        <x:v>occ_annual_health_exam</x:v>
      </x:c>
      <x:c r="I428" s="27" t="str">
        <x:v>ASM-2026-043</x:v>
      </x:c>
      <x:c r="J428" s="27" t="str">
        <x:v>CHK-2026-043-05</x:v>
      </x:c>
    </x:row>
    <x:row r="429">
      <x:c r="A429" s="28" t="str">
        <x:v>Plastic Surgery</x:v>
      </x:c>
      <x:c r="B429" s="37" t="n">
        <x:v>46027</x:v>
      </x:c>
      <x:c r="C429" s="26" t="str">
        <x:v>RAH01-2026-043</x:v>
      </x:c>
      <x:c r="D429" s="36" t="n">
        <x:v>6</x:v>
      </x:c>
      <x:c r="E429" s="26" t="str">
        <x:v>Risk-based lung-function examination</x:v>
      </x:c>
      <x:c r="F429" s="25" t="str">
        <x:v>NOT_APPLICABLE</x:v>
      </x:c>
      <x:c r="G429" s="25" t="str">
        <x:v>No indicated risk exam lung exposure in this department's current risk profile.</x:v>
      </x:c>
      <x:c r="H429" s="27" t="str">
        <x:v>occ_risk_exam_lung</x:v>
      </x:c>
      <x:c r="I429" s="27" t="str">
        <x:v>ASM-2026-043</x:v>
      </x:c>
      <x:c r="J429" s="27" t="str">
        <x:v>CHK-2026-043-06</x:v>
      </x:c>
    </x:row>
    <x:row r="430">
      <x:c r="A430" s="28" t="str">
        <x:v>Plastic Surgery</x:v>
      </x:c>
      <x:c r="B430" s="37" t="n">
        <x:v>46027</x:v>
      </x:c>
      <x:c r="C430" s="26" t="str">
        <x:v>RAH01-2026-043</x:v>
      </x:c>
      <x:c r="D430" s="36" t="n">
        <x:v>7</x:v>
      </x:c>
      <x:c r="E430" s="26" t="str">
        <x:v>Risk-based hearing examination</x:v>
      </x:c>
      <x:c r="F430" s="25" t="str">
        <x:v>YES</x:v>
      </x:c>
      <x:c r="G430" s="25" t="str"/>
      <x:c r="H430" s="27" t="str">
        <x:v>occ_risk_exam_hearing</x:v>
      </x:c>
      <x:c r="I430" s="27" t="str">
        <x:v>ASM-2026-043</x:v>
      </x:c>
      <x:c r="J430" s="27" t="str">
        <x:v>CHK-2026-043-07</x:v>
      </x:c>
    </x:row>
    <x:row r="431">
      <x:c r="A431" s="28" t="str">
        <x:v>Plastic Surgery</x:v>
      </x:c>
      <x:c r="B431" s="37" t="n">
        <x:v>46027</x:v>
      </x:c>
      <x:c r="C431" s="26" t="str">
        <x:v>RAH01-2026-043</x:v>
      </x:c>
      <x:c r="D431" s="36" t="n">
        <x:v>8</x:v>
      </x:c>
      <x:c r="E431" s="26" t="str">
        <x:v>Risk-based vision examination</x:v>
      </x:c>
      <x:c r="F431" s="25" t="str">
        <x:v>NO</x:v>
      </x:c>
      <x:c r="G431" s="25" t="str"/>
      <x:c r="H431" s="27" t="str">
        <x:v>occ_risk_exam_vision</x:v>
      </x:c>
      <x:c r="I431" s="27" t="str">
        <x:v>ASM-2026-043</x:v>
      </x:c>
      <x:c r="J431" s="27" t="str">
        <x:v>CHK-2026-043-08</x:v>
      </x:c>
    </x:row>
    <x:row r="432">
      <x:c r="A432" s="28" t="str">
        <x:v>Plastic Surgery</x:v>
      </x:c>
      <x:c r="B432" s="37" t="n">
        <x:v>46027</x:v>
      </x:c>
      <x:c r="C432" s="26" t="str">
        <x:v>RAH01-2026-043</x:v>
      </x:c>
      <x:c r="D432" s="36" t="n">
        <x:v>9</x:v>
      </x:c>
      <x:c r="E432" s="26" t="str">
        <x:v>Biological monitoring</x:v>
      </x:c>
      <x:c r="F432" s="25" t="str">
        <x:v>YES</x:v>
      </x:c>
      <x:c r="G432" s="25" t="str"/>
      <x:c r="H432" s="27" t="str">
        <x:v>occ_bio_exam</x:v>
      </x:c>
      <x:c r="I432" s="27" t="str">
        <x:v>ASM-2026-043</x:v>
      </x:c>
      <x:c r="J432" s="27" t="str">
        <x:v>CHK-2026-043-09</x:v>
      </x:c>
    </x:row>
    <x:row r="433">
      <x:c r="A433" s="28" t="str">
        <x:v>Plastic Surgery</x:v>
      </x:c>
      <x:c r="B433" s="37" t="n">
        <x:v>46027</x:v>
      </x:c>
      <x:c r="C433" s="26" t="str">
        <x:v>RAH01-2026-043</x:v>
      </x:c>
      <x:c r="D433" s="36" t="n">
        <x:v>10</x:v>
      </x:c>
      <x:c r="E433" s="26" t="str">
        <x:v>Workplace environmental monitoring</x:v>
      </x:c>
      <x:c r="F433" s="25" t="str">
        <x:v>NOT_APPLICABLE</x:v>
      </x:c>
      <x:c r="G433" s="25" t="str">
        <x:v>No indicated env exam exposure in this department's current risk profile.</x:v>
      </x:c>
      <x:c r="H433" s="27" t="str">
        <x:v>occ_env_exam</x:v>
      </x:c>
      <x:c r="I433" s="27" t="str">
        <x:v>ASM-2026-043</x:v>
      </x:c>
      <x:c r="J433" s="27" t="str">
        <x:v>CHK-2026-043-10</x:v>
      </x:c>
    </x:row>
    <x:row r="434">
      <x:c r="A434" s="28" t="str">
        <x:v>Psychiatry</x:v>
      </x:c>
      <x:c r="B434" s="37" t="n">
        <x:v>46061</x:v>
      </x:c>
      <x:c r="C434" s="26" t="str">
        <x:v>RAH01-2026-044</x:v>
      </x:c>
      <x:c r="D434" s="36" t="n">
        <x:v>1</x:v>
      </x:c>
      <x:c r="E434" s="26" t="str">
        <x:v>Fire prevention and suppression system</x:v>
      </x:c>
      <x:c r="F434" s="25" t="str">
        <x:v>YES</x:v>
      </x:c>
      <x:c r="G434" s="25" t="str"/>
      <x:c r="H434" s="27" t="str">
        <x:v>occ_fire_safety</x:v>
      </x:c>
      <x:c r="I434" s="27" t="str">
        <x:v>ASM-2026-044</x:v>
      </x:c>
      <x:c r="J434" s="27" t="str">
        <x:v>CHK-2026-044-01</x:v>
      </x:c>
    </x:row>
    <x:row r="435">
      <x:c r="A435" s="28" t="str">
        <x:v>Psychiatry</x:v>
      </x:c>
      <x:c r="B435" s="37" t="n">
        <x:v>46061</x:v>
      </x:c>
      <x:c r="C435" s="26" t="str">
        <x:v>RAH01-2026-044</x:v>
      </x:c>
      <x:c r="D435" s="36" t="n">
        <x:v>2</x:v>
      </x:c>
      <x:c r="E435" s="26" t="str">
        <x:v>Occupational-health education</x:v>
      </x:c>
      <x:c r="F435" s="25" t="str">
        <x:v>YES</x:v>
      </x:c>
      <x:c r="G435" s="25" t="str"/>
      <x:c r="H435" s="27" t="str">
        <x:v>occ_health_education</x:v>
      </x:c>
      <x:c r="I435" s="27" t="str">
        <x:v>ASM-2026-044</x:v>
      </x:c>
      <x:c r="J435" s="27" t="str">
        <x:v>CHK-2026-044-02</x:v>
      </x:c>
    </x:row>
    <x:row r="436">
      <x:c r="A436" s="28" t="str">
        <x:v>Psychiatry</x:v>
      </x:c>
      <x:c r="B436" s="37" t="n">
        <x:v>46061</x:v>
      </x:c>
      <x:c r="C436" s="26" t="str">
        <x:v>RAH01-2026-044</x:v>
      </x:c>
      <x:c r="D436" s="36" t="n">
        <x:v>3</x:v>
      </x:c>
      <x:c r="E436" s="26" t="str">
        <x:v>Hazardous-waste management system</x:v>
      </x:c>
      <x:c r="F436" s="25" t="str">
        <x:v>YES</x:v>
      </x:c>
      <x:c r="G436" s="25" t="str"/>
      <x:c r="H436" s="27" t="str">
        <x:v>occ_waste_management</x:v>
      </x:c>
      <x:c r="I436" s="27" t="str">
        <x:v>ASM-2026-044</x:v>
      </x:c>
      <x:c r="J436" s="27" t="str">
        <x:v>CHK-2026-044-03</x:v>
      </x:c>
    </x:row>
    <x:row r="437">
      <x:c r="A437" s="28" t="str">
        <x:v>Psychiatry</x:v>
      </x:c>
      <x:c r="B437" s="37" t="n">
        <x:v>46061</x:v>
      </x:c>
      <x:c r="C437" s="26" t="str">
        <x:v>RAH01-2026-044</x:v>
      </x:c>
      <x:c r="D437" s="36" t="n">
        <x:v>4</x:v>
      </x:c>
      <x:c r="E437" s="26" t="str">
        <x:v>Personal protective equipment measures</x:v>
      </x:c>
      <x:c r="F437" s="25" t="str">
        <x:v>YES</x:v>
      </x:c>
      <x:c r="G437" s="25" t="str"/>
      <x:c r="H437" s="27" t="str">
        <x:v>occ_ppe_measures</x:v>
      </x:c>
      <x:c r="I437" s="27" t="str">
        <x:v>ASM-2026-044</x:v>
      </x:c>
      <x:c r="J437" s="27" t="str">
        <x:v>CHK-2026-044-04</x:v>
      </x:c>
    </x:row>
    <x:row r="438">
      <x:c r="A438" s="28" t="str">
        <x:v>Psychiatry</x:v>
      </x:c>
      <x:c r="B438" s="37" t="n">
        <x:v>46061</x:v>
      </x:c>
      <x:c r="C438" s="26" t="str">
        <x:v>RAH01-2026-044</x:v>
      </x:c>
      <x:c r="D438" s="36" t="n">
        <x:v>5</x:v>
      </x:c>
      <x:c r="E438" s="26" t="str">
        <x:v>Annual health examination</x:v>
      </x:c>
      <x:c r="F438" s="25" t="str">
        <x:v>NO</x:v>
      </x:c>
      <x:c r="G438" s="25" t="str"/>
      <x:c r="H438" s="27" t="str">
        <x:v>occ_annual_health_exam</x:v>
      </x:c>
      <x:c r="I438" s="27" t="str">
        <x:v>ASM-2026-044</x:v>
      </x:c>
      <x:c r="J438" s="27" t="str">
        <x:v>CHK-2026-044-05</x:v>
      </x:c>
    </x:row>
    <x:row r="439">
      <x:c r="A439" s="28" t="str">
        <x:v>Psychiatry</x:v>
      </x:c>
      <x:c r="B439" s="37" t="n">
        <x:v>46061</x:v>
      </x:c>
      <x:c r="C439" s="26" t="str">
        <x:v>RAH01-2026-044</x:v>
      </x:c>
      <x:c r="D439" s="36" t="n">
        <x:v>6</x:v>
      </x:c>
      <x:c r="E439" s="26" t="str">
        <x:v>Risk-based lung-function examination</x:v>
      </x:c>
      <x:c r="F439" s="25" t="str">
        <x:v>YES</x:v>
      </x:c>
      <x:c r="G439" s="25" t="str"/>
      <x:c r="H439" s="27" t="str">
        <x:v>occ_risk_exam_lung</x:v>
      </x:c>
      <x:c r="I439" s="27" t="str">
        <x:v>ASM-2026-044</x:v>
      </x:c>
      <x:c r="J439" s="27" t="str">
        <x:v>CHK-2026-044-06</x:v>
      </x:c>
    </x:row>
    <x:row r="440">
      <x:c r="A440" s="28" t="str">
        <x:v>Psychiatry</x:v>
      </x:c>
      <x:c r="B440" s="37" t="n">
        <x:v>46061</x:v>
      </x:c>
      <x:c r="C440" s="26" t="str">
        <x:v>RAH01-2026-044</x:v>
      </x:c>
      <x:c r="D440" s="36" t="n">
        <x:v>7</x:v>
      </x:c>
      <x:c r="E440" s="26" t="str">
        <x:v>Risk-based hearing examination</x:v>
      </x:c>
      <x:c r="F440" s="25" t="str">
        <x:v>YES</x:v>
      </x:c>
      <x:c r="G440" s="25" t="str"/>
      <x:c r="H440" s="27" t="str">
        <x:v>occ_risk_exam_hearing</x:v>
      </x:c>
      <x:c r="I440" s="27" t="str">
        <x:v>ASM-2026-044</x:v>
      </x:c>
      <x:c r="J440" s="27" t="str">
        <x:v>CHK-2026-044-07</x:v>
      </x:c>
    </x:row>
    <x:row r="441">
      <x:c r="A441" s="28" t="str">
        <x:v>Psychiatry</x:v>
      </x:c>
      <x:c r="B441" s="37" t="n">
        <x:v>46061</x:v>
      </x:c>
      <x:c r="C441" s="26" t="str">
        <x:v>RAH01-2026-044</x:v>
      </x:c>
      <x:c r="D441" s="36" t="n">
        <x:v>8</x:v>
      </x:c>
      <x:c r="E441" s="26" t="str">
        <x:v>Risk-based vision examination</x:v>
      </x:c>
      <x:c r="F441" s="25" t="str">
        <x:v>YES</x:v>
      </x:c>
      <x:c r="G441" s="25" t="str"/>
      <x:c r="H441" s="27" t="str">
        <x:v>occ_risk_exam_vision</x:v>
      </x:c>
      <x:c r="I441" s="27" t="str">
        <x:v>ASM-2026-044</x:v>
      </x:c>
      <x:c r="J441" s="27" t="str">
        <x:v>CHK-2026-044-08</x:v>
      </x:c>
    </x:row>
    <x:row r="442">
      <x:c r="A442" s="28" t="str">
        <x:v>Psychiatry</x:v>
      </x:c>
      <x:c r="B442" s="37" t="n">
        <x:v>46061</x:v>
      </x:c>
      <x:c r="C442" s="26" t="str">
        <x:v>RAH01-2026-044</x:v>
      </x:c>
      <x:c r="D442" s="36" t="n">
        <x:v>9</x:v>
      </x:c>
      <x:c r="E442" s="26" t="str">
        <x:v>Biological monitoring</x:v>
      </x:c>
      <x:c r="F442" s="25" t="str">
        <x:v>NOT_APPLICABLE</x:v>
      </x:c>
      <x:c r="G442" s="25" t="str">
        <x:v>No indicated bio exam exposure in this department's current risk profile.</x:v>
      </x:c>
      <x:c r="H442" s="27" t="str">
        <x:v>occ_bio_exam</x:v>
      </x:c>
      <x:c r="I442" s="27" t="str">
        <x:v>ASM-2026-044</x:v>
      </x:c>
      <x:c r="J442" s="27" t="str">
        <x:v>CHK-2026-044-09</x:v>
      </x:c>
    </x:row>
    <x:row r="443">
      <x:c r="A443" s="28" t="str">
        <x:v>Psychiatry</x:v>
      </x:c>
      <x:c r="B443" s="37" t="n">
        <x:v>46061</x:v>
      </x:c>
      <x:c r="C443" s="26" t="str">
        <x:v>RAH01-2026-044</x:v>
      </x:c>
      <x:c r="D443" s="36" t="n">
        <x:v>10</x:v>
      </x:c>
      <x:c r="E443" s="26" t="str">
        <x:v>Workplace environmental monitoring</x:v>
      </x:c>
      <x:c r="F443" s="25" t="str">
        <x:v>YES</x:v>
      </x:c>
      <x:c r="G443" s="25" t="str"/>
      <x:c r="H443" s="27" t="str">
        <x:v>occ_env_exam</x:v>
      </x:c>
      <x:c r="I443" s="27" t="str">
        <x:v>ASM-2026-044</x:v>
      </x:c>
      <x:c r="J443" s="27" t="str">
        <x:v>CHK-2026-044-10</x:v>
      </x:c>
    </x:row>
    <x:row r="444">
      <x:c r="A444" s="28" t="str">
        <x:v>Quality Improvement</x:v>
      </x:c>
      <x:c r="B444" s="37" t="n">
        <x:v>46092</x:v>
      </x:c>
      <x:c r="C444" s="26" t="str">
        <x:v>RAH01-2026-045</x:v>
      </x:c>
      <x:c r="D444" s="36" t="n">
        <x:v>1</x:v>
      </x:c>
      <x:c r="E444" s="26" t="str">
        <x:v>Fire prevention and suppression system</x:v>
      </x:c>
      <x:c r="F444" s="25" t="str">
        <x:v>YES</x:v>
      </x:c>
      <x:c r="G444" s="25" t="str"/>
      <x:c r="H444" s="27" t="str">
        <x:v>occ_fire_safety</x:v>
      </x:c>
      <x:c r="I444" s="27" t="str">
        <x:v>ASM-2026-045</x:v>
      </x:c>
      <x:c r="J444" s="27" t="str">
        <x:v>CHK-2026-045-01</x:v>
      </x:c>
    </x:row>
    <x:row r="445">
      <x:c r="A445" s="28" t="str">
        <x:v>Quality Improvement</x:v>
      </x:c>
      <x:c r="B445" s="37" t="n">
        <x:v>46092</x:v>
      </x:c>
      <x:c r="C445" s="26" t="str">
        <x:v>RAH01-2026-045</x:v>
      </x:c>
      <x:c r="D445" s="36" t="n">
        <x:v>2</x:v>
      </x:c>
      <x:c r="E445" s="26" t="str">
        <x:v>Occupational-health education</x:v>
      </x:c>
      <x:c r="F445" s="25" t="str">
        <x:v>NO</x:v>
      </x:c>
      <x:c r="G445" s="25" t="str"/>
      <x:c r="H445" s="27" t="str">
        <x:v>occ_health_education</x:v>
      </x:c>
      <x:c r="I445" s="27" t="str">
        <x:v>ASM-2026-045</x:v>
      </x:c>
      <x:c r="J445" s="27" t="str">
        <x:v>CHK-2026-045-02</x:v>
      </x:c>
    </x:row>
    <x:row r="446">
      <x:c r="A446" s="28" t="str">
        <x:v>Quality Improvement</x:v>
      </x:c>
      <x:c r="B446" s="37" t="n">
        <x:v>46092</x:v>
      </x:c>
      <x:c r="C446" s="26" t="str">
        <x:v>RAH01-2026-045</x:v>
      </x:c>
      <x:c r="D446" s="36" t="n">
        <x:v>3</x:v>
      </x:c>
      <x:c r="E446" s="26" t="str">
        <x:v>Hazardous-waste management system</x:v>
      </x:c>
      <x:c r="F446" s="25" t="str">
        <x:v>YES</x:v>
      </x:c>
      <x:c r="G446" s="25" t="str"/>
      <x:c r="H446" s="27" t="str">
        <x:v>occ_waste_management</x:v>
      </x:c>
      <x:c r="I446" s="27" t="str">
        <x:v>ASM-2026-045</x:v>
      </x:c>
      <x:c r="J446" s="27" t="str">
        <x:v>CHK-2026-045-03</x:v>
      </x:c>
    </x:row>
    <x:row r="447">
      <x:c r="A447" s="28" t="str">
        <x:v>Quality Improvement</x:v>
      </x:c>
      <x:c r="B447" s="37" t="n">
        <x:v>46092</x:v>
      </x:c>
      <x:c r="C447" s="26" t="str">
        <x:v>RAH01-2026-045</x:v>
      </x:c>
      <x:c r="D447" s="36" t="n">
        <x:v>4</x:v>
      </x:c>
      <x:c r="E447" s="26" t="str">
        <x:v>Personal protective equipment measures</x:v>
      </x:c>
      <x:c r="F447" s="25" t="str">
        <x:v>YES</x:v>
      </x:c>
      <x:c r="G447" s="25" t="str"/>
      <x:c r="H447" s="27" t="str">
        <x:v>occ_ppe_measures</x:v>
      </x:c>
      <x:c r="I447" s="27" t="str">
        <x:v>ASM-2026-045</x:v>
      </x:c>
      <x:c r="J447" s="27" t="str">
        <x:v>CHK-2026-045-04</x:v>
      </x:c>
    </x:row>
    <x:row r="448">
      <x:c r="A448" s="28" t="str">
        <x:v>Quality Improvement</x:v>
      </x:c>
      <x:c r="B448" s="37" t="n">
        <x:v>46092</x:v>
      </x:c>
      <x:c r="C448" s="26" t="str">
        <x:v>RAH01-2026-045</x:v>
      </x:c>
      <x:c r="D448" s="36" t="n">
        <x:v>5</x:v>
      </x:c>
      <x:c r="E448" s="26" t="str">
        <x:v>Annual health examination</x:v>
      </x:c>
      <x:c r="F448" s="25" t="str">
        <x:v>YES</x:v>
      </x:c>
      <x:c r="G448" s="25" t="str"/>
      <x:c r="H448" s="27" t="str">
        <x:v>occ_annual_health_exam</x:v>
      </x:c>
      <x:c r="I448" s="27" t="str">
        <x:v>ASM-2026-045</x:v>
      </x:c>
      <x:c r="J448" s="27" t="str">
        <x:v>CHK-2026-045-05</x:v>
      </x:c>
    </x:row>
    <x:row r="449">
      <x:c r="A449" s="28" t="str">
        <x:v>Quality Improvement</x:v>
      </x:c>
      <x:c r="B449" s="37" t="n">
        <x:v>46092</x:v>
      </x:c>
      <x:c r="C449" s="26" t="str">
        <x:v>RAH01-2026-045</x:v>
      </x:c>
      <x:c r="D449" s="36" t="n">
        <x:v>6</x:v>
      </x:c>
      <x:c r="E449" s="26" t="str">
        <x:v>Risk-based lung-function examination</x:v>
      </x:c>
      <x:c r="F449" s="25" t="str">
        <x:v>YES</x:v>
      </x:c>
      <x:c r="G449" s="25" t="str"/>
      <x:c r="H449" s="27" t="str">
        <x:v>occ_risk_exam_lung</x:v>
      </x:c>
      <x:c r="I449" s="27" t="str">
        <x:v>ASM-2026-045</x:v>
      </x:c>
      <x:c r="J449" s="27" t="str">
        <x:v>CHK-2026-045-06</x:v>
      </x:c>
    </x:row>
    <x:row r="450">
      <x:c r="A450" s="28" t="str">
        <x:v>Quality Improvement</x:v>
      </x:c>
      <x:c r="B450" s="37" t="n">
        <x:v>46092</x:v>
      </x:c>
      <x:c r="C450" s="26" t="str">
        <x:v>RAH01-2026-045</x:v>
      </x:c>
      <x:c r="D450" s="36" t="n">
        <x:v>7</x:v>
      </x:c>
      <x:c r="E450" s="26" t="str">
        <x:v>Risk-based hearing examination</x:v>
      </x:c>
      <x:c r="F450" s="25" t="str">
        <x:v>YES</x:v>
      </x:c>
      <x:c r="G450" s="25" t="str"/>
      <x:c r="H450" s="27" t="str">
        <x:v>occ_risk_exam_hearing</x:v>
      </x:c>
      <x:c r="I450" s="27" t="str">
        <x:v>ASM-2026-045</x:v>
      </x:c>
      <x:c r="J450" s="27" t="str">
        <x:v>CHK-2026-045-07</x:v>
      </x:c>
    </x:row>
    <x:row r="451">
      <x:c r="A451" s="28" t="str">
        <x:v>Quality Improvement</x:v>
      </x:c>
      <x:c r="B451" s="37" t="n">
        <x:v>46092</x:v>
      </x:c>
      <x:c r="C451" s="26" t="str">
        <x:v>RAH01-2026-045</x:v>
      </x:c>
      <x:c r="D451" s="36" t="n">
        <x:v>8</x:v>
      </x:c>
      <x:c r="E451" s="26" t="str">
        <x:v>Risk-based vision examination</x:v>
      </x:c>
      <x:c r="F451" s="25" t="str">
        <x:v>NOT_APPLICABLE</x:v>
      </x:c>
      <x:c r="G451" s="25" t="str">
        <x:v>No indicated risk exam vision exposure in this department's current risk profile.</x:v>
      </x:c>
      <x:c r="H451" s="27" t="str">
        <x:v>occ_risk_exam_vision</x:v>
      </x:c>
      <x:c r="I451" s="27" t="str">
        <x:v>ASM-2026-045</x:v>
      </x:c>
      <x:c r="J451" s="27" t="str">
        <x:v>CHK-2026-045-08</x:v>
      </x:c>
    </x:row>
    <x:row r="452">
      <x:c r="A452" s="28" t="str">
        <x:v>Quality Improvement</x:v>
      </x:c>
      <x:c r="B452" s="37" t="n">
        <x:v>46092</x:v>
      </x:c>
      <x:c r="C452" s="26" t="str">
        <x:v>RAH01-2026-045</x:v>
      </x:c>
      <x:c r="D452" s="36" t="n">
        <x:v>9</x:v>
      </x:c>
      <x:c r="E452" s="26" t="str">
        <x:v>Biological monitoring</x:v>
      </x:c>
      <x:c r="F452" s="25" t="str">
        <x:v>YES</x:v>
      </x:c>
      <x:c r="G452" s="25" t="str"/>
      <x:c r="H452" s="27" t="str">
        <x:v>occ_bio_exam</x:v>
      </x:c>
      <x:c r="I452" s="27" t="str">
        <x:v>ASM-2026-045</x:v>
      </x:c>
      <x:c r="J452" s="27" t="str">
        <x:v>CHK-2026-045-09</x:v>
      </x:c>
    </x:row>
    <x:row r="453">
      <x:c r="A453" s="28" t="str">
        <x:v>Quality Improvement</x:v>
      </x:c>
      <x:c r="B453" s="37" t="n">
        <x:v>46092</x:v>
      </x:c>
      <x:c r="C453" s="26" t="str">
        <x:v>RAH01-2026-045</x:v>
      </x:c>
      <x:c r="D453" s="36" t="n">
        <x:v>10</x:v>
      </x:c>
      <x:c r="E453" s="26" t="str">
        <x:v>Workplace environmental monitoring</x:v>
      </x:c>
      <x:c r="F453" s="25" t="str">
        <x:v>YES</x:v>
      </x:c>
      <x:c r="G453" s="25" t="str"/>
      <x:c r="H453" s="27" t="str">
        <x:v>occ_env_exam</x:v>
      </x:c>
      <x:c r="I453" s="27" t="str">
        <x:v>ASM-2026-045</x:v>
      </x:c>
      <x:c r="J453" s="27" t="str">
        <x:v>CHK-2026-045-10</x:v>
      </x:c>
    </x:row>
    <x:row r="454">
      <x:c r="A454" s="28" t="str">
        <x:v>Radiotherapy</x:v>
      </x:c>
      <x:c r="B454" s="37" t="n">
        <x:v>46126</x:v>
      </x:c>
      <x:c r="C454" s="26" t="str">
        <x:v>RAH01-2026-046</x:v>
      </x:c>
      <x:c r="D454" s="36" t="n">
        <x:v>1</x:v>
      </x:c>
      <x:c r="E454" s="26" t="str">
        <x:v>Fire prevention and suppression system</x:v>
      </x:c>
      <x:c r="F454" s="25" t="str">
        <x:v>YES</x:v>
      </x:c>
      <x:c r="G454" s="25" t="str"/>
      <x:c r="H454" s="27" t="str">
        <x:v>occ_fire_safety</x:v>
      </x:c>
      <x:c r="I454" s="27" t="str">
        <x:v>ASM-2026-046</x:v>
      </x:c>
      <x:c r="J454" s="27" t="str">
        <x:v>CHK-2026-046-01</x:v>
      </x:c>
    </x:row>
    <x:row r="455">
      <x:c r="A455" s="28" t="str">
        <x:v>Radiotherapy</x:v>
      </x:c>
      <x:c r="B455" s="37" t="n">
        <x:v>46126</x:v>
      </x:c>
      <x:c r="C455" s="26" t="str">
        <x:v>RAH01-2026-046</x:v>
      </x:c>
      <x:c r="D455" s="36" t="n">
        <x:v>2</x:v>
      </x:c>
      <x:c r="E455" s="26" t="str">
        <x:v>Occupational-health education</x:v>
      </x:c>
      <x:c r="F455" s="25" t="str">
        <x:v>YES</x:v>
      </x:c>
      <x:c r="G455" s="25" t="str"/>
      <x:c r="H455" s="27" t="str">
        <x:v>occ_health_education</x:v>
      </x:c>
      <x:c r="I455" s="27" t="str">
        <x:v>ASM-2026-046</x:v>
      </x:c>
      <x:c r="J455" s="27" t="str">
        <x:v>CHK-2026-046-02</x:v>
      </x:c>
    </x:row>
    <x:row r="456">
      <x:c r="A456" s="28" t="str">
        <x:v>Radiotherapy</x:v>
      </x:c>
      <x:c r="B456" s="37" t="n">
        <x:v>46126</x:v>
      </x:c>
      <x:c r="C456" s="26" t="str">
        <x:v>RAH01-2026-046</x:v>
      </x:c>
      <x:c r="D456" s="36" t="n">
        <x:v>3</x:v>
      </x:c>
      <x:c r="E456" s="26" t="str">
        <x:v>Hazardous-waste management system</x:v>
      </x:c>
      <x:c r="F456" s="25" t="str">
        <x:v>YES</x:v>
      </x:c>
      <x:c r="G456" s="25" t="str"/>
      <x:c r="H456" s="27" t="str">
        <x:v>occ_waste_management</x:v>
      </x:c>
      <x:c r="I456" s="27" t="str">
        <x:v>ASM-2026-046</x:v>
      </x:c>
      <x:c r="J456" s="27" t="str">
        <x:v>CHK-2026-046-03</x:v>
      </x:c>
    </x:row>
    <x:row r="457">
      <x:c r="A457" s="28" t="str">
        <x:v>Radiotherapy</x:v>
      </x:c>
      <x:c r="B457" s="37" t="n">
        <x:v>46126</x:v>
      </x:c>
      <x:c r="C457" s="26" t="str">
        <x:v>RAH01-2026-046</x:v>
      </x:c>
      <x:c r="D457" s="36" t="n">
        <x:v>4</x:v>
      </x:c>
      <x:c r="E457" s="26" t="str">
        <x:v>Personal protective equipment measures</x:v>
      </x:c>
      <x:c r="F457" s="25" t="str">
        <x:v>YES</x:v>
      </x:c>
      <x:c r="G457" s="25" t="str"/>
      <x:c r="H457" s="27" t="str">
        <x:v>occ_ppe_measures</x:v>
      </x:c>
      <x:c r="I457" s="27" t="str">
        <x:v>ASM-2026-046</x:v>
      </x:c>
      <x:c r="J457" s="27" t="str">
        <x:v>CHK-2026-046-04</x:v>
      </x:c>
    </x:row>
    <x:row r="458">
      <x:c r="A458" s="28" t="str">
        <x:v>Radiotherapy</x:v>
      </x:c>
      <x:c r="B458" s="37" t="n">
        <x:v>46126</x:v>
      </x:c>
      <x:c r="C458" s="26" t="str">
        <x:v>RAH01-2026-046</x:v>
      </x:c>
      <x:c r="D458" s="36" t="n">
        <x:v>5</x:v>
      </x:c>
      <x:c r="E458" s="26" t="str">
        <x:v>Annual health examination</x:v>
      </x:c>
      <x:c r="F458" s="25" t="str">
        <x:v>YES</x:v>
      </x:c>
      <x:c r="G458" s="25" t="str"/>
      <x:c r="H458" s="27" t="str">
        <x:v>occ_annual_health_exam</x:v>
      </x:c>
      <x:c r="I458" s="27" t="str">
        <x:v>ASM-2026-046</x:v>
      </x:c>
      <x:c r="J458" s="27" t="str">
        <x:v>CHK-2026-046-05</x:v>
      </x:c>
    </x:row>
    <x:row r="459">
      <x:c r="A459" s="28" t="str">
        <x:v>Radiotherapy</x:v>
      </x:c>
      <x:c r="B459" s="37" t="n">
        <x:v>46126</x:v>
      </x:c>
      <x:c r="C459" s="26" t="str">
        <x:v>RAH01-2026-046</x:v>
      </x:c>
      <x:c r="D459" s="36" t="n">
        <x:v>6</x:v>
      </x:c>
      <x:c r="E459" s="26" t="str">
        <x:v>Risk-based lung-function examination</x:v>
      </x:c>
      <x:c r="F459" s="25" t="str">
        <x:v>YES</x:v>
      </x:c>
      <x:c r="G459" s="25" t="str"/>
      <x:c r="H459" s="27" t="str">
        <x:v>occ_risk_exam_lung</x:v>
      </x:c>
      <x:c r="I459" s="27" t="str">
        <x:v>ASM-2026-046</x:v>
      </x:c>
      <x:c r="J459" s="27" t="str">
        <x:v>CHK-2026-046-06</x:v>
      </x:c>
    </x:row>
    <x:row r="460">
      <x:c r="A460" s="28" t="str">
        <x:v>Radiotherapy</x:v>
      </x:c>
      <x:c r="B460" s="37" t="n">
        <x:v>46126</x:v>
      </x:c>
      <x:c r="C460" s="26" t="str">
        <x:v>RAH01-2026-046</x:v>
      </x:c>
      <x:c r="D460" s="36" t="n">
        <x:v>7</x:v>
      </x:c>
      <x:c r="E460" s="26" t="str">
        <x:v>Risk-based hearing examination</x:v>
      </x:c>
      <x:c r="F460" s="25" t="str">
        <x:v>NOT_APPLICABLE</x:v>
      </x:c>
      <x:c r="G460" s="25" t="str">
        <x:v>No indicated risk exam hearing exposure in this department's current risk profile.</x:v>
      </x:c>
      <x:c r="H460" s="27" t="str">
        <x:v>occ_risk_exam_hearing</x:v>
      </x:c>
      <x:c r="I460" s="27" t="str">
        <x:v>ASM-2026-046</x:v>
      </x:c>
      <x:c r="J460" s="27" t="str">
        <x:v>CHK-2026-046-07</x:v>
      </x:c>
    </x:row>
    <x:row r="461">
      <x:c r="A461" s="28" t="str">
        <x:v>Radiotherapy</x:v>
      </x:c>
      <x:c r="B461" s="37" t="n">
        <x:v>46126</x:v>
      </x:c>
      <x:c r="C461" s="26" t="str">
        <x:v>RAH01-2026-046</x:v>
      </x:c>
      <x:c r="D461" s="36" t="n">
        <x:v>8</x:v>
      </x:c>
      <x:c r="E461" s="26" t="str">
        <x:v>Risk-based vision examination</x:v>
      </x:c>
      <x:c r="F461" s="25" t="str">
        <x:v>YES</x:v>
      </x:c>
      <x:c r="G461" s="25" t="str"/>
      <x:c r="H461" s="27" t="str">
        <x:v>occ_risk_exam_vision</x:v>
      </x:c>
      <x:c r="I461" s="27" t="str">
        <x:v>ASM-2026-046</x:v>
      </x:c>
      <x:c r="J461" s="27" t="str">
        <x:v>CHK-2026-046-08</x:v>
      </x:c>
    </x:row>
    <x:row r="462">
      <x:c r="A462" s="28" t="str">
        <x:v>Radiotherapy</x:v>
      </x:c>
      <x:c r="B462" s="37" t="n">
        <x:v>46126</x:v>
      </x:c>
      <x:c r="C462" s="26" t="str">
        <x:v>RAH01-2026-046</x:v>
      </x:c>
      <x:c r="D462" s="36" t="n">
        <x:v>9</x:v>
      </x:c>
      <x:c r="E462" s="26" t="str">
        <x:v>Biological monitoring</x:v>
      </x:c>
      <x:c r="F462" s="25" t="str">
        <x:v>YES</x:v>
      </x:c>
      <x:c r="G462" s="25" t="str"/>
      <x:c r="H462" s="27" t="str">
        <x:v>occ_bio_exam</x:v>
      </x:c>
      <x:c r="I462" s="27" t="str">
        <x:v>ASM-2026-046</x:v>
      </x:c>
      <x:c r="J462" s="27" t="str">
        <x:v>CHK-2026-046-09</x:v>
      </x:c>
    </x:row>
    <x:row r="463">
      <x:c r="A463" s="28" t="str">
        <x:v>Radiotherapy</x:v>
      </x:c>
      <x:c r="B463" s="37" t="n">
        <x:v>46126</x:v>
      </x:c>
      <x:c r="C463" s="26" t="str">
        <x:v>RAH01-2026-046</x:v>
      </x:c>
      <x:c r="D463" s="36" t="n">
        <x:v>10</x:v>
      </x:c>
      <x:c r="E463" s="26" t="str">
        <x:v>Workplace environmental monitoring</x:v>
      </x:c>
      <x:c r="F463" s="25" t="str">
        <x:v>YES</x:v>
      </x:c>
      <x:c r="G463" s="25" t="str"/>
      <x:c r="H463" s="27" t="str">
        <x:v>occ_env_exam</x:v>
      </x:c>
      <x:c r="I463" s="27" t="str">
        <x:v>ASM-2026-046</x:v>
      </x:c>
      <x:c r="J463" s="27" t="str">
        <x:v>CHK-2026-046-10</x:v>
      </x:c>
    </x:row>
    <x:row r="464">
      <x:c r="A464" s="28" t="str">
        <x:v>Rehabilitation</x:v>
      </x:c>
      <x:c r="B464" s="37" t="n">
        <x:v>46159</x:v>
      </x:c>
      <x:c r="C464" s="26" t="str">
        <x:v>RAH01-2026-047</x:v>
      </x:c>
      <x:c r="D464" s="36" t="n">
        <x:v>1</x:v>
      </x:c>
      <x:c r="E464" s="26" t="str">
        <x:v>Fire prevention and suppression system</x:v>
      </x:c>
      <x:c r="F464" s="25" t="str">
        <x:v>YES</x:v>
      </x:c>
      <x:c r="G464" s="25" t="str"/>
      <x:c r="H464" s="27" t="str">
        <x:v>occ_fire_safety</x:v>
      </x:c>
      <x:c r="I464" s="27" t="str">
        <x:v>ASM-2026-047</x:v>
      </x:c>
      <x:c r="J464" s="27" t="str">
        <x:v>CHK-2026-047-01</x:v>
      </x:c>
    </x:row>
    <x:row r="465">
      <x:c r="A465" s="28" t="str">
        <x:v>Rehabilitation</x:v>
      </x:c>
      <x:c r="B465" s="37" t="n">
        <x:v>46159</x:v>
      </x:c>
      <x:c r="C465" s="26" t="str">
        <x:v>RAH01-2026-047</x:v>
      </x:c>
      <x:c r="D465" s="36" t="n">
        <x:v>2</x:v>
      </x:c>
      <x:c r="E465" s="26" t="str">
        <x:v>Occupational-health education</x:v>
      </x:c>
      <x:c r="F465" s="25" t="str">
        <x:v>YES</x:v>
      </x:c>
      <x:c r="G465" s="25" t="str"/>
      <x:c r="H465" s="27" t="str">
        <x:v>occ_health_education</x:v>
      </x:c>
      <x:c r="I465" s="27" t="str">
        <x:v>ASM-2026-047</x:v>
      </x:c>
      <x:c r="J465" s="27" t="str">
        <x:v>CHK-2026-047-02</x:v>
      </x:c>
    </x:row>
    <x:row r="466">
      <x:c r="A466" s="28" t="str">
        <x:v>Rehabilitation</x:v>
      </x:c>
      <x:c r="B466" s="37" t="n">
        <x:v>46159</x:v>
      </x:c>
      <x:c r="C466" s="26" t="str">
        <x:v>RAH01-2026-047</x:v>
      </x:c>
      <x:c r="D466" s="36" t="n">
        <x:v>3</x:v>
      </x:c>
      <x:c r="E466" s="26" t="str">
        <x:v>Hazardous-waste management system</x:v>
      </x:c>
      <x:c r="F466" s="25" t="str">
        <x:v>YES</x:v>
      </x:c>
      <x:c r="G466" s="25" t="str"/>
      <x:c r="H466" s="27" t="str">
        <x:v>occ_waste_management</x:v>
      </x:c>
      <x:c r="I466" s="27" t="str">
        <x:v>ASM-2026-047</x:v>
      </x:c>
      <x:c r="J466" s="27" t="str">
        <x:v>CHK-2026-047-03</x:v>
      </x:c>
    </x:row>
    <x:row r="467">
      <x:c r="A467" s="28" t="str">
        <x:v>Rehabilitation</x:v>
      </x:c>
      <x:c r="B467" s="37" t="n">
        <x:v>46159</x:v>
      </x:c>
      <x:c r="C467" s="26" t="str">
        <x:v>RAH01-2026-047</x:v>
      </x:c>
      <x:c r="D467" s="36" t="n">
        <x:v>4</x:v>
      </x:c>
      <x:c r="E467" s="26" t="str">
        <x:v>Personal protective equipment measures</x:v>
      </x:c>
      <x:c r="F467" s="25" t="str">
        <x:v>YES</x:v>
      </x:c>
      <x:c r="G467" s="25" t="str"/>
      <x:c r="H467" s="27" t="str">
        <x:v>occ_ppe_measures</x:v>
      </x:c>
      <x:c r="I467" s="27" t="str">
        <x:v>ASM-2026-047</x:v>
      </x:c>
      <x:c r="J467" s="27" t="str">
        <x:v>CHK-2026-047-04</x:v>
      </x:c>
    </x:row>
    <x:row r="468">
      <x:c r="A468" s="28" t="str">
        <x:v>Rehabilitation</x:v>
      </x:c>
      <x:c r="B468" s="37" t="n">
        <x:v>46159</x:v>
      </x:c>
      <x:c r="C468" s="26" t="str">
        <x:v>RAH01-2026-047</x:v>
      </x:c>
      <x:c r="D468" s="36" t="n">
        <x:v>5</x:v>
      </x:c>
      <x:c r="E468" s="26" t="str">
        <x:v>Annual health examination</x:v>
      </x:c>
      <x:c r="F468" s="25" t="str">
        <x:v>YES</x:v>
      </x:c>
      <x:c r="G468" s="25" t="str"/>
      <x:c r="H468" s="27" t="str">
        <x:v>occ_annual_health_exam</x:v>
      </x:c>
      <x:c r="I468" s="27" t="str">
        <x:v>ASM-2026-047</x:v>
      </x:c>
      <x:c r="J468" s="27" t="str">
        <x:v>CHK-2026-047-05</x:v>
      </x:c>
    </x:row>
    <x:row r="469">
      <x:c r="A469" s="28" t="str">
        <x:v>Rehabilitation</x:v>
      </x:c>
      <x:c r="B469" s="37" t="n">
        <x:v>46159</x:v>
      </x:c>
      <x:c r="C469" s="26" t="str">
        <x:v>RAH01-2026-047</x:v>
      </x:c>
      <x:c r="D469" s="36" t="n">
        <x:v>6</x:v>
      </x:c>
      <x:c r="E469" s="26" t="str">
        <x:v>Risk-based lung-function examination</x:v>
      </x:c>
      <x:c r="F469" s="25" t="str">
        <x:v>NOT_APPLICABLE</x:v>
      </x:c>
      <x:c r="G469" s="25" t="str">
        <x:v>No indicated risk exam lung exposure in this department's current risk profile.</x:v>
      </x:c>
      <x:c r="H469" s="27" t="str">
        <x:v>occ_risk_exam_lung</x:v>
      </x:c>
      <x:c r="I469" s="27" t="str">
        <x:v>ASM-2026-047</x:v>
      </x:c>
      <x:c r="J469" s="27" t="str">
        <x:v>CHK-2026-047-06</x:v>
      </x:c>
    </x:row>
    <x:row r="470">
      <x:c r="A470" s="28" t="str">
        <x:v>Rehabilitation</x:v>
      </x:c>
      <x:c r="B470" s="37" t="n">
        <x:v>46159</x:v>
      </x:c>
      <x:c r="C470" s="26" t="str">
        <x:v>RAH01-2026-047</x:v>
      </x:c>
      <x:c r="D470" s="36" t="n">
        <x:v>7</x:v>
      </x:c>
      <x:c r="E470" s="26" t="str">
        <x:v>Risk-based hearing examination</x:v>
      </x:c>
      <x:c r="F470" s="25" t="str">
        <x:v>YES</x:v>
      </x:c>
      <x:c r="G470" s="25" t="str"/>
      <x:c r="H470" s="27" t="str">
        <x:v>occ_risk_exam_hearing</x:v>
      </x:c>
      <x:c r="I470" s="27" t="str">
        <x:v>ASM-2026-047</x:v>
      </x:c>
      <x:c r="J470" s="27" t="str">
        <x:v>CHK-2026-047-07</x:v>
      </x:c>
    </x:row>
    <x:row r="471">
      <x:c r="A471" s="28" t="str">
        <x:v>Rehabilitation</x:v>
      </x:c>
      <x:c r="B471" s="37" t="n">
        <x:v>46159</x:v>
      </x:c>
      <x:c r="C471" s="26" t="str">
        <x:v>RAH01-2026-047</x:v>
      </x:c>
      <x:c r="D471" s="36" t="n">
        <x:v>8</x:v>
      </x:c>
      <x:c r="E471" s="26" t="str">
        <x:v>Risk-based vision examination</x:v>
      </x:c>
      <x:c r="F471" s="25" t="str">
        <x:v>YES</x:v>
      </x:c>
      <x:c r="G471" s="25" t="str"/>
      <x:c r="H471" s="27" t="str">
        <x:v>occ_risk_exam_vision</x:v>
      </x:c>
      <x:c r="I471" s="27" t="str">
        <x:v>ASM-2026-047</x:v>
      </x:c>
      <x:c r="J471" s="27" t="str">
        <x:v>CHK-2026-047-08</x:v>
      </x:c>
    </x:row>
    <x:row r="472">
      <x:c r="A472" s="28" t="str">
        <x:v>Rehabilitation</x:v>
      </x:c>
      <x:c r="B472" s="37" t="n">
        <x:v>46159</x:v>
      </x:c>
      <x:c r="C472" s="26" t="str">
        <x:v>RAH01-2026-047</x:v>
      </x:c>
      <x:c r="D472" s="36" t="n">
        <x:v>9</x:v>
      </x:c>
      <x:c r="E472" s="26" t="str">
        <x:v>Biological monitoring</x:v>
      </x:c>
      <x:c r="F472" s="25" t="str">
        <x:v>YES</x:v>
      </x:c>
      <x:c r="G472" s="25" t="str"/>
      <x:c r="H472" s="27" t="str">
        <x:v>occ_bio_exam</x:v>
      </x:c>
      <x:c r="I472" s="27" t="str">
        <x:v>ASM-2026-047</x:v>
      </x:c>
      <x:c r="J472" s="27" t="str">
        <x:v>CHK-2026-047-09</x:v>
      </x:c>
    </x:row>
    <x:row r="473">
      <x:c r="A473" s="28" t="str">
        <x:v>Rehabilitation</x:v>
      </x:c>
      <x:c r="B473" s="37" t="n">
        <x:v>46159</x:v>
      </x:c>
      <x:c r="C473" s="26" t="str">
        <x:v>RAH01-2026-047</x:v>
      </x:c>
      <x:c r="D473" s="36" t="n">
        <x:v>10</x:v>
      </x:c>
      <x:c r="E473" s="26" t="str">
        <x:v>Workplace environmental monitoring</x:v>
      </x:c>
      <x:c r="F473" s="25" t="str">
        <x:v>NOT_APPLICABLE</x:v>
      </x:c>
      <x:c r="G473" s="25" t="str">
        <x:v>No indicated env exam exposure in this department's current risk profile.</x:v>
      </x:c>
      <x:c r="H473" s="27" t="str">
        <x:v>occ_env_exam</x:v>
      </x:c>
      <x:c r="I473" s="27" t="str">
        <x:v>ASM-2026-047</x:v>
      </x:c>
      <x:c r="J473" s="27" t="str">
        <x:v>CHK-2026-047-10</x:v>
      </x:c>
    </x:row>
    <x:row r="474">
      <x:c r="A474" s="28" t="str">
        <x:v>Renal Unit</x:v>
      </x:c>
      <x:c r="B474" s="37" t="n">
        <x:v>46193</x:v>
      </x:c>
      <x:c r="C474" s="26" t="str">
        <x:v>RAH01-2026-048</x:v>
      </x:c>
      <x:c r="D474" s="36" t="n">
        <x:v>1</x:v>
      </x:c>
      <x:c r="E474" s="26" t="str">
        <x:v>Fire prevention and suppression system</x:v>
      </x:c>
      <x:c r="F474" s="25" t="str">
        <x:v>YES</x:v>
      </x:c>
      <x:c r="G474" s="25" t="str"/>
      <x:c r="H474" s="27" t="str">
        <x:v>occ_fire_safety</x:v>
      </x:c>
      <x:c r="I474" s="27" t="str">
        <x:v>ASM-2026-048</x:v>
      </x:c>
      <x:c r="J474" s="27" t="str">
        <x:v>CHK-2026-048-01</x:v>
      </x:c>
    </x:row>
    <x:row r="475">
      <x:c r="A475" s="28" t="str">
        <x:v>Renal Unit</x:v>
      </x:c>
      <x:c r="B475" s="37" t="n">
        <x:v>46193</x:v>
      </x:c>
      <x:c r="C475" s="26" t="str">
        <x:v>RAH01-2026-048</x:v>
      </x:c>
      <x:c r="D475" s="36" t="n">
        <x:v>2</x:v>
      </x:c>
      <x:c r="E475" s="26" t="str">
        <x:v>Occupational-health education</x:v>
      </x:c>
      <x:c r="F475" s="25" t="str">
        <x:v>YES</x:v>
      </x:c>
      <x:c r="G475" s="25" t="str"/>
      <x:c r="H475" s="27" t="str">
        <x:v>occ_health_education</x:v>
      </x:c>
      <x:c r="I475" s="27" t="str">
        <x:v>ASM-2026-048</x:v>
      </x:c>
      <x:c r="J475" s="27" t="str">
        <x:v>CHK-2026-048-02</x:v>
      </x:c>
    </x:row>
    <x:row r="476">
      <x:c r="A476" s="28" t="str">
        <x:v>Renal Unit</x:v>
      </x:c>
      <x:c r="B476" s="37" t="n">
        <x:v>46193</x:v>
      </x:c>
      <x:c r="C476" s="26" t="str">
        <x:v>RAH01-2026-048</x:v>
      </x:c>
      <x:c r="D476" s="36" t="n">
        <x:v>3</x:v>
      </x:c>
      <x:c r="E476" s="26" t="str">
        <x:v>Hazardous-waste management system</x:v>
      </x:c>
      <x:c r="F476" s="25" t="str">
        <x:v>YES</x:v>
      </x:c>
      <x:c r="G476" s="25" t="str"/>
      <x:c r="H476" s="27" t="str">
        <x:v>occ_waste_management</x:v>
      </x:c>
      <x:c r="I476" s="27" t="str">
        <x:v>ASM-2026-048</x:v>
      </x:c>
      <x:c r="J476" s="27" t="str">
        <x:v>CHK-2026-048-03</x:v>
      </x:c>
    </x:row>
    <x:row r="477">
      <x:c r="A477" s="28" t="str">
        <x:v>Renal Unit</x:v>
      </x:c>
      <x:c r="B477" s="37" t="n">
        <x:v>46193</x:v>
      </x:c>
      <x:c r="C477" s="26" t="str">
        <x:v>RAH01-2026-048</x:v>
      </x:c>
      <x:c r="D477" s="36" t="n">
        <x:v>4</x:v>
      </x:c>
      <x:c r="E477" s="26" t="str">
        <x:v>Personal protective equipment measures</x:v>
      </x:c>
      <x:c r="F477" s="25" t="str">
        <x:v>YES</x:v>
      </x:c>
      <x:c r="G477" s="25" t="str"/>
      <x:c r="H477" s="27" t="str">
        <x:v>occ_ppe_measures</x:v>
      </x:c>
      <x:c r="I477" s="27" t="str">
        <x:v>ASM-2026-048</x:v>
      </x:c>
      <x:c r="J477" s="27" t="str">
        <x:v>CHK-2026-048-04</x:v>
      </x:c>
    </x:row>
    <x:row r="478">
      <x:c r="A478" s="28" t="str">
        <x:v>Renal Unit</x:v>
      </x:c>
      <x:c r="B478" s="37" t="n">
        <x:v>46193</x:v>
      </x:c>
      <x:c r="C478" s="26" t="str">
        <x:v>RAH01-2026-048</x:v>
      </x:c>
      <x:c r="D478" s="36" t="n">
        <x:v>5</x:v>
      </x:c>
      <x:c r="E478" s="26" t="str">
        <x:v>Annual health examination</x:v>
      </x:c>
      <x:c r="F478" s="25" t="str">
        <x:v>YES</x:v>
      </x:c>
      <x:c r="G478" s="25" t="str"/>
      <x:c r="H478" s="27" t="str">
        <x:v>occ_annual_health_exam</x:v>
      </x:c>
      <x:c r="I478" s="27" t="str">
        <x:v>ASM-2026-048</x:v>
      </x:c>
      <x:c r="J478" s="27" t="str">
        <x:v>CHK-2026-048-05</x:v>
      </x:c>
    </x:row>
    <x:row r="479">
      <x:c r="A479" s="28" t="str">
        <x:v>Renal Unit</x:v>
      </x:c>
      <x:c r="B479" s="37" t="n">
        <x:v>46193</x:v>
      </x:c>
      <x:c r="C479" s="26" t="str">
        <x:v>RAH01-2026-048</x:v>
      </x:c>
      <x:c r="D479" s="36" t="n">
        <x:v>6</x:v>
      </x:c>
      <x:c r="E479" s="26" t="str">
        <x:v>Risk-based lung-function examination</x:v>
      </x:c>
      <x:c r="F479" s="25" t="str">
        <x:v>YES</x:v>
      </x:c>
      <x:c r="G479" s="25" t="str"/>
      <x:c r="H479" s="27" t="str">
        <x:v>occ_risk_exam_lung</x:v>
      </x:c>
      <x:c r="I479" s="27" t="str">
        <x:v>ASM-2026-048</x:v>
      </x:c>
      <x:c r="J479" s="27" t="str">
        <x:v>CHK-2026-048-06</x:v>
      </x:c>
    </x:row>
    <x:row r="480">
      <x:c r="A480" s="28" t="str">
        <x:v>Renal Unit</x:v>
      </x:c>
      <x:c r="B480" s="37" t="n">
        <x:v>46193</x:v>
      </x:c>
      <x:c r="C480" s="26" t="str">
        <x:v>RAH01-2026-048</x:v>
      </x:c>
      <x:c r="D480" s="36" t="n">
        <x:v>7</x:v>
      </x:c>
      <x:c r="E480" s="26" t="str">
        <x:v>Risk-based hearing examination</x:v>
      </x:c>
      <x:c r="F480" s="25" t="str">
        <x:v>YES</x:v>
      </x:c>
      <x:c r="G480" s="25" t="str"/>
      <x:c r="H480" s="27" t="str">
        <x:v>occ_risk_exam_hearing</x:v>
      </x:c>
      <x:c r="I480" s="27" t="str">
        <x:v>ASM-2026-048</x:v>
      </x:c>
      <x:c r="J480" s="27" t="str">
        <x:v>CHK-2026-048-07</x:v>
      </x:c>
    </x:row>
    <x:row r="481">
      <x:c r="A481" s="28" t="str">
        <x:v>Renal Unit</x:v>
      </x:c>
      <x:c r="B481" s="37" t="n">
        <x:v>46193</x:v>
      </x:c>
      <x:c r="C481" s="26" t="str">
        <x:v>RAH01-2026-048</x:v>
      </x:c>
      <x:c r="D481" s="36" t="n">
        <x:v>8</x:v>
      </x:c>
      <x:c r="E481" s="26" t="str">
        <x:v>Risk-based vision examination</x:v>
      </x:c>
      <x:c r="F481" s="25" t="str">
        <x:v>YES</x:v>
      </x:c>
      <x:c r="G481" s="25" t="str"/>
      <x:c r="H481" s="27" t="str">
        <x:v>occ_risk_exam_vision</x:v>
      </x:c>
      <x:c r="I481" s="27" t="str">
        <x:v>ASM-2026-048</x:v>
      </x:c>
      <x:c r="J481" s="27" t="str">
        <x:v>CHK-2026-048-08</x:v>
      </x:c>
    </x:row>
    <x:row r="482">
      <x:c r="A482" s="28" t="str">
        <x:v>Renal Unit</x:v>
      </x:c>
      <x:c r="B482" s="37" t="n">
        <x:v>46193</x:v>
      </x:c>
      <x:c r="C482" s="26" t="str">
        <x:v>RAH01-2026-048</x:v>
      </x:c>
      <x:c r="D482" s="36" t="n">
        <x:v>9</x:v>
      </x:c>
      <x:c r="E482" s="26" t="str">
        <x:v>Biological monitoring</x:v>
      </x:c>
      <x:c r="F482" s="25" t="str">
        <x:v>NOT_APPLICABLE</x:v>
      </x:c>
      <x:c r="G482" s="25" t="str">
        <x:v>No indicated bio exam exposure in this department's current risk profile.</x:v>
      </x:c>
      <x:c r="H482" s="27" t="str">
        <x:v>occ_bio_exam</x:v>
      </x:c>
      <x:c r="I482" s="27" t="str">
        <x:v>ASM-2026-048</x:v>
      </x:c>
      <x:c r="J482" s="27" t="str">
        <x:v>CHK-2026-048-09</x:v>
      </x:c>
    </x:row>
    <x:row r="483">
      <x:c r="A483" s="28" t="str">
        <x:v>Renal Unit</x:v>
      </x:c>
      <x:c r="B483" s="37" t="n">
        <x:v>46193</x:v>
      </x:c>
      <x:c r="C483" s="26" t="str">
        <x:v>RAH01-2026-048</x:v>
      </x:c>
      <x:c r="D483" s="36" t="n">
        <x:v>10</x:v>
      </x:c>
      <x:c r="E483" s="26" t="str">
        <x:v>Workplace environmental monitoring</x:v>
      </x:c>
      <x:c r="F483" s="25" t="str">
        <x:v>NO</x:v>
      </x:c>
      <x:c r="G483" s="25" t="str"/>
      <x:c r="H483" s="27" t="str">
        <x:v>occ_env_exam</x:v>
      </x:c>
      <x:c r="I483" s="27" t="str">
        <x:v>ASM-2026-048</x:v>
      </x:c>
      <x:c r="J483" s="27" t="str">
        <x:v>CHK-2026-048-10</x:v>
      </x:c>
    </x:row>
    <x:row r="484">
      <x:c r="A484" s="28" t="str">
        <x:v>Respiratory Medicine</x:v>
      </x:c>
      <x:c r="B484" s="37" t="n">
        <x:v>46045</x:v>
      </x:c>
      <x:c r="C484" s="26" t="str">
        <x:v>RAH01-2026-049</x:v>
      </x:c>
      <x:c r="D484" s="36" t="n">
        <x:v>1</x:v>
      </x:c>
      <x:c r="E484" s="26" t="str">
        <x:v>Fire prevention and suppression system</x:v>
      </x:c>
      <x:c r="F484" s="25" t="str">
        <x:v>YES</x:v>
      </x:c>
      <x:c r="G484" s="25" t="str"/>
      <x:c r="H484" s="27" t="str">
        <x:v>occ_fire_safety</x:v>
      </x:c>
      <x:c r="I484" s="27" t="str">
        <x:v>ASM-2026-049</x:v>
      </x:c>
      <x:c r="J484" s="27" t="str">
        <x:v>CHK-2026-049-01</x:v>
      </x:c>
    </x:row>
    <x:row r="485">
      <x:c r="A485" s="28" t="str">
        <x:v>Respiratory Medicine</x:v>
      </x:c>
      <x:c r="B485" s="37" t="n">
        <x:v>46045</x:v>
      </x:c>
      <x:c r="C485" s="26" t="str">
        <x:v>RAH01-2026-049</x:v>
      </x:c>
      <x:c r="D485" s="36" t="n">
        <x:v>2</x:v>
      </x:c>
      <x:c r="E485" s="26" t="str">
        <x:v>Occupational-health education</x:v>
      </x:c>
      <x:c r="F485" s="25" t="str">
        <x:v>YES</x:v>
      </x:c>
      <x:c r="G485" s="25" t="str"/>
      <x:c r="H485" s="27" t="str">
        <x:v>occ_health_education</x:v>
      </x:c>
      <x:c r="I485" s="27" t="str">
        <x:v>ASM-2026-049</x:v>
      </x:c>
      <x:c r="J485" s="27" t="str">
        <x:v>CHK-2026-049-02</x:v>
      </x:c>
    </x:row>
    <x:row r="486">
      <x:c r="A486" s="28" t="str">
        <x:v>Respiratory Medicine</x:v>
      </x:c>
      <x:c r="B486" s="37" t="n">
        <x:v>46045</x:v>
      </x:c>
      <x:c r="C486" s="26" t="str">
        <x:v>RAH01-2026-049</x:v>
      </x:c>
      <x:c r="D486" s="36" t="n">
        <x:v>3</x:v>
      </x:c>
      <x:c r="E486" s="26" t="str">
        <x:v>Hazardous-waste management system</x:v>
      </x:c>
      <x:c r="F486" s="25" t="str">
        <x:v>YES</x:v>
      </x:c>
      <x:c r="G486" s="25" t="str"/>
      <x:c r="H486" s="27" t="str">
        <x:v>occ_waste_management</x:v>
      </x:c>
      <x:c r="I486" s="27" t="str">
        <x:v>ASM-2026-049</x:v>
      </x:c>
      <x:c r="J486" s="27" t="str">
        <x:v>CHK-2026-049-03</x:v>
      </x:c>
    </x:row>
    <x:row r="487">
      <x:c r="A487" s="28" t="str">
        <x:v>Respiratory Medicine</x:v>
      </x:c>
      <x:c r="B487" s="37" t="n">
        <x:v>46045</x:v>
      </x:c>
      <x:c r="C487" s="26" t="str">
        <x:v>RAH01-2026-049</x:v>
      </x:c>
      <x:c r="D487" s="36" t="n">
        <x:v>4</x:v>
      </x:c>
      <x:c r="E487" s="26" t="str">
        <x:v>Personal protective equipment measures</x:v>
      </x:c>
      <x:c r="F487" s="25" t="str">
        <x:v>YES</x:v>
      </x:c>
      <x:c r="G487" s="25" t="str"/>
      <x:c r="H487" s="27" t="str">
        <x:v>occ_ppe_measures</x:v>
      </x:c>
      <x:c r="I487" s="27" t="str">
        <x:v>ASM-2026-049</x:v>
      </x:c>
      <x:c r="J487" s="27" t="str">
        <x:v>CHK-2026-049-04</x:v>
      </x:c>
    </x:row>
    <x:row r="488">
      <x:c r="A488" s="28" t="str">
        <x:v>Respiratory Medicine</x:v>
      </x:c>
      <x:c r="B488" s="37" t="n">
        <x:v>46045</x:v>
      </x:c>
      <x:c r="C488" s="26" t="str">
        <x:v>RAH01-2026-049</x:v>
      </x:c>
      <x:c r="D488" s="36" t="n">
        <x:v>5</x:v>
      </x:c>
      <x:c r="E488" s="26" t="str">
        <x:v>Annual health examination</x:v>
      </x:c>
      <x:c r="F488" s="25" t="str">
        <x:v>YES</x:v>
      </x:c>
      <x:c r="G488" s="25" t="str"/>
      <x:c r="H488" s="27" t="str">
        <x:v>occ_annual_health_exam</x:v>
      </x:c>
      <x:c r="I488" s="27" t="str">
        <x:v>ASM-2026-049</x:v>
      </x:c>
      <x:c r="J488" s="27" t="str">
        <x:v>CHK-2026-049-05</x:v>
      </x:c>
    </x:row>
    <x:row r="489">
      <x:c r="A489" s="28" t="str">
        <x:v>Respiratory Medicine</x:v>
      </x:c>
      <x:c r="B489" s="37" t="n">
        <x:v>46045</x:v>
      </x:c>
      <x:c r="C489" s="26" t="str">
        <x:v>RAH01-2026-049</x:v>
      </x:c>
      <x:c r="D489" s="36" t="n">
        <x:v>6</x:v>
      </x:c>
      <x:c r="E489" s="26" t="str">
        <x:v>Risk-based lung-function examination</x:v>
      </x:c>
      <x:c r="F489" s="25" t="str">
        <x:v>YES</x:v>
      </x:c>
      <x:c r="G489" s="25" t="str"/>
      <x:c r="H489" s="27" t="str">
        <x:v>occ_risk_exam_lung</x:v>
      </x:c>
      <x:c r="I489" s="27" t="str">
        <x:v>ASM-2026-049</x:v>
      </x:c>
      <x:c r="J489" s="27" t="str">
        <x:v>CHK-2026-049-06</x:v>
      </x:c>
    </x:row>
    <x:row r="490">
      <x:c r="A490" s="28" t="str">
        <x:v>Respiratory Medicine</x:v>
      </x:c>
      <x:c r="B490" s="37" t="n">
        <x:v>46045</x:v>
      </x:c>
      <x:c r="C490" s="26" t="str">
        <x:v>RAH01-2026-049</x:v>
      </x:c>
      <x:c r="D490" s="36" t="n">
        <x:v>7</x:v>
      </x:c>
      <x:c r="E490" s="26" t="str">
        <x:v>Risk-based hearing examination</x:v>
      </x:c>
      <x:c r="F490" s="25" t="str">
        <x:v>NO</x:v>
      </x:c>
      <x:c r="G490" s="25" t="str"/>
      <x:c r="H490" s="27" t="str">
        <x:v>occ_risk_exam_hearing</x:v>
      </x:c>
      <x:c r="I490" s="27" t="str">
        <x:v>ASM-2026-049</x:v>
      </x:c>
      <x:c r="J490" s="27" t="str">
        <x:v>CHK-2026-049-07</x:v>
      </x:c>
    </x:row>
    <x:row r="491">
      <x:c r="A491" s="28" t="str">
        <x:v>Respiratory Medicine</x:v>
      </x:c>
      <x:c r="B491" s="37" t="n">
        <x:v>46045</x:v>
      </x:c>
      <x:c r="C491" s="26" t="str">
        <x:v>RAH01-2026-049</x:v>
      </x:c>
      <x:c r="D491" s="36" t="n">
        <x:v>8</x:v>
      </x:c>
      <x:c r="E491" s="26" t="str">
        <x:v>Risk-based vision examination</x:v>
      </x:c>
      <x:c r="F491" s="25" t="str">
        <x:v>NOT_APPLICABLE</x:v>
      </x:c>
      <x:c r="G491" s="25" t="str">
        <x:v>No indicated risk exam vision exposure in this department's current risk profile.</x:v>
      </x:c>
      <x:c r="H491" s="27" t="str">
        <x:v>occ_risk_exam_vision</x:v>
      </x:c>
      <x:c r="I491" s="27" t="str">
        <x:v>ASM-2026-049</x:v>
      </x:c>
      <x:c r="J491" s="27" t="str">
        <x:v>CHK-2026-049-08</x:v>
      </x:c>
    </x:row>
    <x:row r="492">
      <x:c r="A492" s="28" t="str">
        <x:v>Respiratory Medicine</x:v>
      </x:c>
      <x:c r="B492" s="37" t="n">
        <x:v>46045</x:v>
      </x:c>
      <x:c r="C492" s="26" t="str">
        <x:v>RAH01-2026-049</x:v>
      </x:c>
      <x:c r="D492" s="36" t="n">
        <x:v>9</x:v>
      </x:c>
      <x:c r="E492" s="26" t="str">
        <x:v>Biological monitoring</x:v>
      </x:c>
      <x:c r="F492" s="25" t="str">
        <x:v>YES</x:v>
      </x:c>
      <x:c r="G492" s="25" t="str"/>
      <x:c r="H492" s="27" t="str">
        <x:v>occ_bio_exam</x:v>
      </x:c>
      <x:c r="I492" s="27" t="str">
        <x:v>ASM-2026-049</x:v>
      </x:c>
      <x:c r="J492" s="27" t="str">
        <x:v>CHK-2026-049-09</x:v>
      </x:c>
    </x:row>
    <x:row r="493">
      <x:c r="A493" s="28" t="str">
        <x:v>Respiratory Medicine</x:v>
      </x:c>
      <x:c r="B493" s="37" t="n">
        <x:v>46045</x:v>
      </x:c>
      <x:c r="C493" s="26" t="str">
        <x:v>RAH01-2026-049</x:v>
      </x:c>
      <x:c r="D493" s="36" t="n">
        <x:v>10</x:v>
      </x:c>
      <x:c r="E493" s="26" t="str">
        <x:v>Workplace environmental monitoring</x:v>
      </x:c>
      <x:c r="F493" s="25" t="str">
        <x:v>YES</x:v>
      </x:c>
      <x:c r="G493" s="25" t="str"/>
      <x:c r="H493" s="27" t="str">
        <x:v>occ_env_exam</x:v>
      </x:c>
      <x:c r="I493" s="27" t="str">
        <x:v>ASM-2026-049</x:v>
      </x:c>
      <x:c r="J493" s="27" t="str">
        <x:v>CHK-2026-049-10</x:v>
      </x:c>
    </x:row>
    <x:row r="494">
      <x:c r="A494" s="28" t="str">
        <x:v>Social Work</x:v>
      </x:c>
      <x:c r="B494" s="37" t="n">
        <x:v>46054</x:v>
      </x:c>
      <x:c r="C494" s="26" t="str">
        <x:v>RAH01-2026-050</x:v>
      </x:c>
      <x:c r="D494" s="36" t="n">
        <x:v>1</x:v>
      </x:c>
      <x:c r="E494" s="26" t="str">
        <x:v>Fire prevention and suppression system</x:v>
      </x:c>
      <x:c r="F494" s="25" t="str">
        <x:v>YES</x:v>
      </x:c>
      <x:c r="G494" s="25" t="str"/>
      <x:c r="H494" s="27" t="str">
        <x:v>occ_fire_safety</x:v>
      </x:c>
      <x:c r="I494" s="27" t="str">
        <x:v>ASM-2026-050</x:v>
      </x:c>
      <x:c r="J494" s="27" t="str">
        <x:v>CHK-2026-050-01</x:v>
      </x:c>
    </x:row>
    <x:row r="495">
      <x:c r="A495" s="28" t="str">
        <x:v>Social Work</x:v>
      </x:c>
      <x:c r="B495" s="37" t="n">
        <x:v>46054</x:v>
      </x:c>
      <x:c r="C495" s="26" t="str">
        <x:v>RAH01-2026-050</x:v>
      </x:c>
      <x:c r="D495" s="36" t="n">
        <x:v>2</x:v>
      </x:c>
      <x:c r="E495" s="26" t="str">
        <x:v>Occupational-health education</x:v>
      </x:c>
      <x:c r="F495" s="25" t="str">
        <x:v>YES</x:v>
      </x:c>
      <x:c r="G495" s="25" t="str"/>
      <x:c r="H495" s="27" t="str">
        <x:v>occ_health_education</x:v>
      </x:c>
      <x:c r="I495" s="27" t="str">
        <x:v>ASM-2026-050</x:v>
      </x:c>
      <x:c r="J495" s="27" t="str">
        <x:v>CHK-2026-050-02</x:v>
      </x:c>
    </x:row>
    <x:row r="496">
      <x:c r="A496" s="28" t="str">
        <x:v>Social Work</x:v>
      </x:c>
      <x:c r="B496" s="37" t="n">
        <x:v>46054</x:v>
      </x:c>
      <x:c r="C496" s="26" t="str">
        <x:v>RAH01-2026-050</x:v>
      </x:c>
      <x:c r="D496" s="36" t="n">
        <x:v>3</x:v>
      </x:c>
      <x:c r="E496" s="26" t="str">
        <x:v>Hazardous-waste management system</x:v>
      </x:c>
      <x:c r="F496" s="25" t="str">
        <x:v>YES</x:v>
      </x:c>
      <x:c r="G496" s="25" t="str"/>
      <x:c r="H496" s="27" t="str">
        <x:v>occ_waste_management</x:v>
      </x:c>
      <x:c r="I496" s="27" t="str">
        <x:v>ASM-2026-050</x:v>
      </x:c>
      <x:c r="J496" s="27" t="str">
        <x:v>CHK-2026-050-03</x:v>
      </x:c>
    </x:row>
    <x:row r="497">
      <x:c r="A497" s="28" t="str">
        <x:v>Social Work</x:v>
      </x:c>
      <x:c r="B497" s="37" t="n">
        <x:v>46054</x:v>
      </x:c>
      <x:c r="C497" s="26" t="str">
        <x:v>RAH01-2026-050</x:v>
      </x:c>
      <x:c r="D497" s="36" t="n">
        <x:v>4</x:v>
      </x:c>
      <x:c r="E497" s="26" t="str">
        <x:v>Personal protective equipment measures</x:v>
      </x:c>
      <x:c r="F497" s="25" t="str">
        <x:v>NO</x:v>
      </x:c>
      <x:c r="G497" s="25" t="str"/>
      <x:c r="H497" s="27" t="str">
        <x:v>occ_ppe_measures</x:v>
      </x:c>
      <x:c r="I497" s="27" t="str">
        <x:v>ASM-2026-050</x:v>
      </x:c>
      <x:c r="J497" s="27" t="str">
        <x:v>CHK-2026-050-04</x:v>
      </x:c>
    </x:row>
    <x:row r="498">
      <x:c r="A498" s="28" t="str">
        <x:v>Social Work</x:v>
      </x:c>
      <x:c r="B498" s="37" t="n">
        <x:v>46054</x:v>
      </x:c>
      <x:c r="C498" s="26" t="str">
        <x:v>RAH01-2026-050</x:v>
      </x:c>
      <x:c r="D498" s="36" t="n">
        <x:v>5</x:v>
      </x:c>
      <x:c r="E498" s="26" t="str">
        <x:v>Annual health examination</x:v>
      </x:c>
      <x:c r="F498" s="25" t="str">
        <x:v>YES</x:v>
      </x:c>
      <x:c r="G498" s="25" t="str"/>
      <x:c r="H498" s="27" t="str">
        <x:v>occ_annual_health_exam</x:v>
      </x:c>
      <x:c r="I498" s="27" t="str">
        <x:v>ASM-2026-050</x:v>
      </x:c>
      <x:c r="J498" s="27" t="str">
        <x:v>CHK-2026-050-05</x:v>
      </x:c>
    </x:row>
    <x:row r="499">
      <x:c r="A499" s="28" t="str">
        <x:v>Social Work</x:v>
      </x:c>
      <x:c r="B499" s="37" t="n">
        <x:v>46054</x:v>
      </x:c>
      <x:c r="C499" s="26" t="str">
        <x:v>RAH01-2026-050</x:v>
      </x:c>
      <x:c r="D499" s="36" t="n">
        <x:v>6</x:v>
      </x:c>
      <x:c r="E499" s="26" t="str">
        <x:v>Risk-based lung-function examination</x:v>
      </x:c>
      <x:c r="F499" s="25" t="str">
        <x:v>YES</x:v>
      </x:c>
      <x:c r="G499" s="25" t="str"/>
      <x:c r="H499" s="27" t="str">
        <x:v>occ_risk_exam_lung</x:v>
      </x:c>
      <x:c r="I499" s="27" t="str">
        <x:v>ASM-2026-050</x:v>
      </x:c>
      <x:c r="J499" s="27" t="str">
        <x:v>CHK-2026-050-06</x:v>
      </x:c>
    </x:row>
    <x:row r="500">
      <x:c r="A500" s="28" t="str">
        <x:v>Social Work</x:v>
      </x:c>
      <x:c r="B500" s="37" t="n">
        <x:v>46054</x:v>
      </x:c>
      <x:c r="C500" s="26" t="str">
        <x:v>RAH01-2026-050</x:v>
      </x:c>
      <x:c r="D500" s="36" t="n">
        <x:v>7</x:v>
      </x:c>
      <x:c r="E500" s="26" t="str">
        <x:v>Risk-based hearing examination</x:v>
      </x:c>
      <x:c r="F500" s="25" t="str">
        <x:v>NOT_APPLICABLE</x:v>
      </x:c>
      <x:c r="G500" s="25" t="str">
        <x:v>No indicated risk exam hearing exposure in this department's current risk profile.</x:v>
      </x:c>
      <x:c r="H500" s="27" t="str">
        <x:v>occ_risk_exam_hearing</x:v>
      </x:c>
      <x:c r="I500" s="27" t="str">
        <x:v>ASM-2026-050</x:v>
      </x:c>
      <x:c r="J500" s="27" t="str">
        <x:v>CHK-2026-050-07</x:v>
      </x:c>
    </x:row>
    <x:row r="501">
      <x:c r="A501" s="28" t="str">
        <x:v>Social Work</x:v>
      </x:c>
      <x:c r="B501" s="37" t="n">
        <x:v>46054</x:v>
      </x:c>
      <x:c r="C501" s="26" t="str">
        <x:v>RAH01-2026-050</x:v>
      </x:c>
      <x:c r="D501" s="36" t="n">
        <x:v>8</x:v>
      </x:c>
      <x:c r="E501" s="26" t="str">
        <x:v>Risk-based vision examination</x:v>
      </x:c>
      <x:c r="F501" s="25" t="str">
        <x:v>YES</x:v>
      </x:c>
      <x:c r="G501" s="25" t="str"/>
      <x:c r="H501" s="27" t="str">
        <x:v>occ_risk_exam_vision</x:v>
      </x:c>
      <x:c r="I501" s="27" t="str">
        <x:v>ASM-2026-050</x:v>
      </x:c>
      <x:c r="J501" s="27" t="str">
        <x:v>CHK-2026-050-08</x:v>
      </x:c>
    </x:row>
    <x:row r="502">
      <x:c r="A502" s="28" t="str">
        <x:v>Social Work</x:v>
      </x:c>
      <x:c r="B502" s="37" t="n">
        <x:v>46054</x:v>
      </x:c>
      <x:c r="C502" s="26" t="str">
        <x:v>RAH01-2026-050</x:v>
      </x:c>
      <x:c r="D502" s="36" t="n">
        <x:v>9</x:v>
      </x:c>
      <x:c r="E502" s="26" t="str">
        <x:v>Biological monitoring</x:v>
      </x:c>
      <x:c r="F502" s="25" t="str">
        <x:v>YES</x:v>
      </x:c>
      <x:c r="G502" s="25" t="str"/>
      <x:c r="H502" s="27" t="str">
        <x:v>occ_bio_exam</x:v>
      </x:c>
      <x:c r="I502" s="27" t="str">
        <x:v>ASM-2026-050</x:v>
      </x:c>
      <x:c r="J502" s="27" t="str">
        <x:v>CHK-2026-050-09</x:v>
      </x:c>
    </x:row>
    <x:row r="503">
      <x:c r="A503" s="28" t="str">
        <x:v>Social Work</x:v>
      </x:c>
      <x:c r="B503" s="37" t="n">
        <x:v>46054</x:v>
      </x:c>
      <x:c r="C503" s="26" t="str">
        <x:v>RAH01-2026-050</x:v>
      </x:c>
      <x:c r="D503" s="36" t="n">
        <x:v>10</x:v>
      </x:c>
      <x:c r="E503" s="26" t="str">
        <x:v>Workplace environmental monitoring</x:v>
      </x:c>
      <x:c r="F503" s="25" t="str">
        <x:v>YES</x:v>
      </x:c>
      <x:c r="G503" s="25" t="str"/>
      <x:c r="H503" s="27" t="str">
        <x:v>occ_env_exam</x:v>
      </x:c>
      <x:c r="I503" s="27" t="str">
        <x:v>ASM-2026-050</x:v>
      </x:c>
      <x:c r="J503" s="27" t="str">
        <x:v>CHK-2026-050-10</x:v>
      </x:c>
    </x:row>
    <x:row r="504">
      <x:c r="A504" s="28" t="str">
        <x:v>Speech Therapy</x:v>
      </x:c>
      <x:c r="B504" s="37" t="n">
        <x:v>46085</x:v>
      </x:c>
      <x:c r="C504" s="26" t="str">
        <x:v>RAH01-2026-051</x:v>
      </x:c>
      <x:c r="D504" s="36" t="n">
        <x:v>1</x:v>
      </x:c>
      <x:c r="E504" s="26" t="str">
        <x:v>Fire prevention and suppression system</x:v>
      </x:c>
      <x:c r="F504" s="25" t="str">
        <x:v>NO</x:v>
      </x:c>
      <x:c r="G504" s="25" t="str"/>
      <x:c r="H504" s="27" t="str">
        <x:v>occ_fire_safety</x:v>
      </x:c>
      <x:c r="I504" s="27" t="str">
        <x:v>ASM-2026-051</x:v>
      </x:c>
      <x:c r="J504" s="27" t="str">
        <x:v>CHK-2026-051-01</x:v>
      </x:c>
    </x:row>
    <x:row r="505">
      <x:c r="A505" s="28" t="str">
        <x:v>Speech Therapy</x:v>
      </x:c>
      <x:c r="B505" s="37" t="n">
        <x:v>46085</x:v>
      </x:c>
      <x:c r="C505" s="26" t="str">
        <x:v>RAH01-2026-051</x:v>
      </x:c>
      <x:c r="D505" s="36" t="n">
        <x:v>2</x:v>
      </x:c>
      <x:c r="E505" s="26" t="str">
        <x:v>Occupational-health education</x:v>
      </x:c>
      <x:c r="F505" s="25" t="str">
        <x:v>YES</x:v>
      </x:c>
      <x:c r="G505" s="25" t="str"/>
      <x:c r="H505" s="27" t="str">
        <x:v>occ_health_education</x:v>
      </x:c>
      <x:c r="I505" s="27" t="str">
        <x:v>ASM-2026-051</x:v>
      </x:c>
      <x:c r="J505" s="27" t="str">
        <x:v>CHK-2026-051-02</x:v>
      </x:c>
    </x:row>
    <x:row r="506">
      <x:c r="A506" s="28" t="str">
        <x:v>Speech Therapy</x:v>
      </x:c>
      <x:c r="B506" s="37" t="n">
        <x:v>46085</x:v>
      </x:c>
      <x:c r="C506" s="26" t="str">
        <x:v>RAH01-2026-051</x:v>
      </x:c>
      <x:c r="D506" s="36" t="n">
        <x:v>3</x:v>
      </x:c>
      <x:c r="E506" s="26" t="str">
        <x:v>Hazardous-waste management system</x:v>
      </x:c>
      <x:c r="F506" s="25" t="str">
        <x:v>YES</x:v>
      </x:c>
      <x:c r="G506" s="25" t="str"/>
      <x:c r="H506" s="27" t="str">
        <x:v>occ_waste_management</x:v>
      </x:c>
      <x:c r="I506" s="27" t="str">
        <x:v>ASM-2026-051</x:v>
      </x:c>
      <x:c r="J506" s="27" t="str">
        <x:v>CHK-2026-051-03</x:v>
      </x:c>
    </x:row>
    <x:row r="507">
      <x:c r="A507" s="28" t="str">
        <x:v>Speech Therapy</x:v>
      </x:c>
      <x:c r="B507" s="37" t="n">
        <x:v>46085</x:v>
      </x:c>
      <x:c r="C507" s="26" t="str">
        <x:v>RAH01-2026-051</x:v>
      </x:c>
      <x:c r="D507" s="36" t="n">
        <x:v>4</x:v>
      </x:c>
      <x:c r="E507" s="26" t="str">
        <x:v>Personal protective equipment measures</x:v>
      </x:c>
      <x:c r="F507" s="25" t="str">
        <x:v>YES</x:v>
      </x:c>
      <x:c r="G507" s="25" t="str"/>
      <x:c r="H507" s="27" t="str">
        <x:v>occ_ppe_measures</x:v>
      </x:c>
      <x:c r="I507" s="27" t="str">
        <x:v>ASM-2026-051</x:v>
      </x:c>
      <x:c r="J507" s="27" t="str">
        <x:v>CHK-2026-051-04</x:v>
      </x:c>
    </x:row>
    <x:row r="508">
      <x:c r="A508" s="28" t="str">
        <x:v>Speech Therapy</x:v>
      </x:c>
      <x:c r="B508" s="37" t="n">
        <x:v>46085</x:v>
      </x:c>
      <x:c r="C508" s="26" t="str">
        <x:v>RAH01-2026-051</x:v>
      </x:c>
      <x:c r="D508" s="36" t="n">
        <x:v>5</x:v>
      </x:c>
      <x:c r="E508" s="26" t="str">
        <x:v>Annual health examination</x:v>
      </x:c>
      <x:c r="F508" s="25" t="str">
        <x:v>YES</x:v>
      </x:c>
      <x:c r="G508" s="25" t="str"/>
      <x:c r="H508" s="27" t="str">
        <x:v>occ_annual_health_exam</x:v>
      </x:c>
      <x:c r="I508" s="27" t="str">
        <x:v>ASM-2026-051</x:v>
      </x:c>
      <x:c r="J508" s="27" t="str">
        <x:v>CHK-2026-051-05</x:v>
      </x:c>
    </x:row>
    <x:row r="509">
      <x:c r="A509" s="28" t="str">
        <x:v>Speech Therapy</x:v>
      </x:c>
      <x:c r="B509" s="37" t="n">
        <x:v>46085</x:v>
      </x:c>
      <x:c r="C509" s="26" t="str">
        <x:v>RAH01-2026-051</x:v>
      </x:c>
      <x:c r="D509" s="36" t="n">
        <x:v>6</x:v>
      </x:c>
      <x:c r="E509" s="26" t="str">
        <x:v>Risk-based lung-function examination</x:v>
      </x:c>
      <x:c r="F509" s="25" t="str">
        <x:v>NOT_APPLICABLE</x:v>
      </x:c>
      <x:c r="G509" s="25" t="str">
        <x:v>No indicated risk exam lung exposure in this department's current risk profile.</x:v>
      </x:c>
      <x:c r="H509" s="27" t="str">
        <x:v>occ_risk_exam_lung</x:v>
      </x:c>
      <x:c r="I509" s="27" t="str">
        <x:v>ASM-2026-051</x:v>
      </x:c>
      <x:c r="J509" s="27" t="str">
        <x:v>CHK-2026-051-06</x:v>
      </x:c>
    </x:row>
    <x:row r="510">
      <x:c r="A510" s="28" t="str">
        <x:v>Speech Therapy</x:v>
      </x:c>
      <x:c r="B510" s="37" t="n">
        <x:v>46085</x:v>
      </x:c>
      <x:c r="C510" s="26" t="str">
        <x:v>RAH01-2026-051</x:v>
      </x:c>
      <x:c r="D510" s="36" t="n">
        <x:v>7</x:v>
      </x:c>
      <x:c r="E510" s="26" t="str">
        <x:v>Risk-based hearing examination</x:v>
      </x:c>
      <x:c r="F510" s="25" t="str">
        <x:v>YES</x:v>
      </x:c>
      <x:c r="G510" s="25" t="str"/>
      <x:c r="H510" s="27" t="str">
        <x:v>occ_risk_exam_hearing</x:v>
      </x:c>
      <x:c r="I510" s="27" t="str">
        <x:v>ASM-2026-051</x:v>
      </x:c>
      <x:c r="J510" s="27" t="str">
        <x:v>CHK-2026-051-07</x:v>
      </x:c>
    </x:row>
    <x:row r="511">
      <x:c r="A511" s="28" t="str">
        <x:v>Speech Therapy</x:v>
      </x:c>
      <x:c r="B511" s="37" t="n">
        <x:v>46085</x:v>
      </x:c>
      <x:c r="C511" s="26" t="str">
        <x:v>RAH01-2026-051</x:v>
      </x:c>
      <x:c r="D511" s="36" t="n">
        <x:v>8</x:v>
      </x:c>
      <x:c r="E511" s="26" t="str">
        <x:v>Risk-based vision examination</x:v>
      </x:c>
      <x:c r="F511" s="25" t="str">
        <x:v>YES</x:v>
      </x:c>
      <x:c r="G511" s="25" t="str"/>
      <x:c r="H511" s="27" t="str">
        <x:v>occ_risk_exam_vision</x:v>
      </x:c>
      <x:c r="I511" s="27" t="str">
        <x:v>ASM-2026-051</x:v>
      </x:c>
      <x:c r="J511" s="27" t="str">
        <x:v>CHK-2026-051-08</x:v>
      </x:c>
    </x:row>
    <x:row r="512">
      <x:c r="A512" s="28" t="str">
        <x:v>Speech Therapy</x:v>
      </x:c>
      <x:c r="B512" s="37" t="n">
        <x:v>46085</x:v>
      </x:c>
      <x:c r="C512" s="26" t="str">
        <x:v>RAH01-2026-051</x:v>
      </x:c>
      <x:c r="D512" s="36" t="n">
        <x:v>9</x:v>
      </x:c>
      <x:c r="E512" s="26" t="str">
        <x:v>Biological monitoring</x:v>
      </x:c>
      <x:c r="F512" s="25" t="str">
        <x:v>YES</x:v>
      </x:c>
      <x:c r="G512" s="25" t="str"/>
      <x:c r="H512" s="27" t="str">
        <x:v>occ_bio_exam</x:v>
      </x:c>
      <x:c r="I512" s="27" t="str">
        <x:v>ASM-2026-051</x:v>
      </x:c>
      <x:c r="J512" s="27" t="str">
        <x:v>CHK-2026-051-09</x:v>
      </x:c>
    </x:row>
    <x:row r="513">
      <x:c r="A513" s="28" t="str">
        <x:v>Speech Therapy</x:v>
      </x:c>
      <x:c r="B513" s="37" t="n">
        <x:v>46085</x:v>
      </x:c>
      <x:c r="C513" s="26" t="str">
        <x:v>RAH01-2026-051</x:v>
      </x:c>
      <x:c r="D513" s="36" t="n">
        <x:v>10</x:v>
      </x:c>
      <x:c r="E513" s="26" t="str">
        <x:v>Workplace environmental monitoring</x:v>
      </x:c>
      <x:c r="F513" s="25" t="str">
        <x:v>NOT_APPLICABLE</x:v>
      </x:c>
      <x:c r="G513" s="25" t="str">
        <x:v>No indicated env exam exposure in this department's current risk profile.</x:v>
      </x:c>
      <x:c r="H513" s="27" t="str">
        <x:v>occ_env_exam</x:v>
      </x:c>
      <x:c r="I513" s="27" t="str">
        <x:v>ASM-2026-051</x:v>
      </x:c>
      <x:c r="J513" s="27" t="str">
        <x:v>CHK-2026-051-10</x:v>
      </x:c>
    </x:row>
    <x:row r="514">
      <x:c r="A514" s="28" t="str">
        <x:v>Surgical ICU</x:v>
      </x:c>
      <x:c r="B514" s="37" t="n">
        <x:v>46119</x:v>
      </x:c>
      <x:c r="C514" s="26" t="str">
        <x:v>RAH01-2026-052</x:v>
      </x:c>
      <x:c r="D514" s="36" t="n">
        <x:v>1</x:v>
      </x:c>
      <x:c r="E514" s="26" t="str">
        <x:v>Fire prevention and suppression system</x:v>
      </x:c>
      <x:c r="F514" s="25" t="str">
        <x:v>YES</x:v>
      </x:c>
      <x:c r="G514" s="25" t="str"/>
      <x:c r="H514" s="27" t="str">
        <x:v>occ_fire_safety</x:v>
      </x:c>
      <x:c r="I514" s="27" t="str">
        <x:v>ASM-2026-052</x:v>
      </x:c>
      <x:c r="J514" s="27" t="str">
        <x:v>CHK-2026-052-01</x:v>
      </x:c>
    </x:row>
    <x:row r="515">
      <x:c r="A515" s="28" t="str">
        <x:v>Surgical ICU</x:v>
      </x:c>
      <x:c r="B515" s="37" t="n">
        <x:v>46119</x:v>
      </x:c>
      <x:c r="C515" s="26" t="str">
        <x:v>RAH01-2026-052</x:v>
      </x:c>
      <x:c r="D515" s="36" t="n">
        <x:v>2</x:v>
      </x:c>
      <x:c r="E515" s="26" t="str">
        <x:v>Occupational-health education</x:v>
      </x:c>
      <x:c r="F515" s="25" t="str">
        <x:v>YES</x:v>
      </x:c>
      <x:c r="G515" s="25" t="str"/>
      <x:c r="H515" s="27" t="str">
        <x:v>occ_health_education</x:v>
      </x:c>
      <x:c r="I515" s="27" t="str">
        <x:v>ASM-2026-052</x:v>
      </x:c>
      <x:c r="J515" s="27" t="str">
        <x:v>CHK-2026-052-02</x:v>
      </x:c>
    </x:row>
    <x:row r="516">
      <x:c r="A516" s="28" t="str">
        <x:v>Surgical ICU</x:v>
      </x:c>
      <x:c r="B516" s="37" t="n">
        <x:v>46119</x:v>
      </x:c>
      <x:c r="C516" s="26" t="str">
        <x:v>RAH01-2026-052</x:v>
      </x:c>
      <x:c r="D516" s="36" t="n">
        <x:v>3</x:v>
      </x:c>
      <x:c r="E516" s="26" t="str">
        <x:v>Hazardous-waste management system</x:v>
      </x:c>
      <x:c r="F516" s="25" t="str">
        <x:v>YES</x:v>
      </x:c>
      <x:c r="G516" s="25" t="str"/>
      <x:c r="H516" s="27" t="str">
        <x:v>occ_waste_management</x:v>
      </x:c>
      <x:c r="I516" s="27" t="str">
        <x:v>ASM-2026-052</x:v>
      </x:c>
      <x:c r="J516" s="27" t="str">
        <x:v>CHK-2026-052-03</x:v>
      </x:c>
    </x:row>
    <x:row r="517">
      <x:c r="A517" s="28" t="str">
        <x:v>Surgical ICU</x:v>
      </x:c>
      <x:c r="B517" s="37" t="n">
        <x:v>46119</x:v>
      </x:c>
      <x:c r="C517" s="26" t="str">
        <x:v>RAH01-2026-052</x:v>
      </x:c>
      <x:c r="D517" s="36" t="n">
        <x:v>4</x:v>
      </x:c>
      <x:c r="E517" s="26" t="str">
        <x:v>Personal protective equipment measures</x:v>
      </x:c>
      <x:c r="F517" s="25" t="str">
        <x:v>YES</x:v>
      </x:c>
      <x:c r="G517" s="25" t="str"/>
      <x:c r="H517" s="27" t="str">
        <x:v>occ_ppe_measures</x:v>
      </x:c>
      <x:c r="I517" s="27" t="str">
        <x:v>ASM-2026-052</x:v>
      </x:c>
      <x:c r="J517" s="27" t="str">
        <x:v>CHK-2026-052-04</x:v>
      </x:c>
    </x:row>
    <x:row r="518">
      <x:c r="A518" s="28" t="str">
        <x:v>Surgical ICU</x:v>
      </x:c>
      <x:c r="B518" s="37" t="n">
        <x:v>46119</x:v>
      </x:c>
      <x:c r="C518" s="26" t="str">
        <x:v>RAH01-2026-052</x:v>
      </x:c>
      <x:c r="D518" s="36" t="n">
        <x:v>5</x:v>
      </x:c>
      <x:c r="E518" s="26" t="str">
        <x:v>Annual health examination</x:v>
      </x:c>
      <x:c r="F518" s="25" t="str">
        <x:v>YES</x:v>
      </x:c>
      <x:c r="G518" s="25" t="str"/>
      <x:c r="H518" s="27" t="str">
        <x:v>occ_annual_health_exam</x:v>
      </x:c>
      <x:c r="I518" s="27" t="str">
        <x:v>ASM-2026-052</x:v>
      </x:c>
      <x:c r="J518" s="27" t="str">
        <x:v>CHK-2026-052-05</x:v>
      </x:c>
    </x:row>
    <x:row r="519">
      <x:c r="A519" s="28" t="str">
        <x:v>Surgical ICU</x:v>
      </x:c>
      <x:c r="B519" s="37" t="n">
        <x:v>46119</x:v>
      </x:c>
      <x:c r="C519" s="26" t="str">
        <x:v>RAH01-2026-052</x:v>
      </x:c>
      <x:c r="D519" s="36" t="n">
        <x:v>6</x:v>
      </x:c>
      <x:c r="E519" s="26" t="str">
        <x:v>Risk-based lung-function examination</x:v>
      </x:c>
      <x:c r="F519" s="25" t="str">
        <x:v>YES</x:v>
      </x:c>
      <x:c r="G519" s="25" t="str"/>
      <x:c r="H519" s="27" t="str">
        <x:v>occ_risk_exam_lung</x:v>
      </x:c>
      <x:c r="I519" s="27" t="str">
        <x:v>ASM-2026-052</x:v>
      </x:c>
      <x:c r="J519" s="27" t="str">
        <x:v>CHK-2026-052-06</x:v>
      </x:c>
    </x:row>
    <x:row r="520">
      <x:c r="A520" s="28" t="str">
        <x:v>Surgical ICU</x:v>
      </x:c>
      <x:c r="B520" s="37" t="n">
        <x:v>46119</x:v>
      </x:c>
      <x:c r="C520" s="26" t="str">
        <x:v>RAH01-2026-052</x:v>
      </x:c>
      <x:c r="D520" s="36" t="n">
        <x:v>7</x:v>
      </x:c>
      <x:c r="E520" s="26" t="str">
        <x:v>Risk-based hearing examination</x:v>
      </x:c>
      <x:c r="F520" s="25" t="str">
        <x:v>YES</x:v>
      </x:c>
      <x:c r="G520" s="25" t="str"/>
      <x:c r="H520" s="27" t="str">
        <x:v>occ_risk_exam_hearing</x:v>
      </x:c>
      <x:c r="I520" s="27" t="str">
        <x:v>ASM-2026-052</x:v>
      </x:c>
      <x:c r="J520" s="27" t="str">
        <x:v>CHK-2026-052-07</x:v>
      </x:c>
    </x:row>
    <x:row r="521">
      <x:c r="A521" s="28" t="str">
        <x:v>Surgical ICU</x:v>
      </x:c>
      <x:c r="B521" s="37" t="n">
        <x:v>46119</x:v>
      </x:c>
      <x:c r="C521" s="26" t="str">
        <x:v>RAH01-2026-052</x:v>
      </x:c>
      <x:c r="D521" s="36" t="n">
        <x:v>8</x:v>
      </x:c>
      <x:c r="E521" s="26" t="str">
        <x:v>Risk-based vision examination</x:v>
      </x:c>
      <x:c r="F521" s="25" t="str">
        <x:v>YES</x:v>
      </x:c>
      <x:c r="G521" s="25" t="str"/>
      <x:c r="H521" s="27" t="str">
        <x:v>occ_risk_exam_vision</x:v>
      </x:c>
      <x:c r="I521" s="27" t="str">
        <x:v>ASM-2026-052</x:v>
      </x:c>
      <x:c r="J521" s="27" t="str">
        <x:v>CHK-2026-052-08</x:v>
      </x:c>
    </x:row>
    <x:row r="522">
      <x:c r="A522" s="28" t="str">
        <x:v>Surgical ICU</x:v>
      </x:c>
      <x:c r="B522" s="37" t="n">
        <x:v>46119</x:v>
      </x:c>
      <x:c r="C522" s="26" t="str">
        <x:v>RAH01-2026-052</x:v>
      </x:c>
      <x:c r="D522" s="36" t="n">
        <x:v>9</x:v>
      </x:c>
      <x:c r="E522" s="26" t="str">
        <x:v>Biological monitoring</x:v>
      </x:c>
      <x:c r="F522" s="25" t="str">
        <x:v>NOT_APPLICABLE</x:v>
      </x:c>
      <x:c r="G522" s="25" t="str">
        <x:v>No indicated bio exam exposure in this department's current risk profile.</x:v>
      </x:c>
      <x:c r="H522" s="27" t="str">
        <x:v>occ_bio_exam</x:v>
      </x:c>
      <x:c r="I522" s="27" t="str">
        <x:v>ASM-2026-052</x:v>
      </x:c>
      <x:c r="J522" s="27" t="str">
        <x:v>CHK-2026-052-09</x:v>
      </x:c>
    </x:row>
    <x:row r="523">
      <x:c r="A523" s="28" t="str">
        <x:v>Surgical ICU</x:v>
      </x:c>
      <x:c r="B523" s="37" t="n">
        <x:v>46119</x:v>
      </x:c>
      <x:c r="C523" s="26" t="str">
        <x:v>RAH01-2026-052</x:v>
      </x:c>
      <x:c r="D523" s="36" t="n">
        <x:v>10</x:v>
      </x:c>
      <x:c r="E523" s="26" t="str">
        <x:v>Workplace environmental monitoring</x:v>
      </x:c>
      <x:c r="F523" s="25" t="str">
        <x:v>YES</x:v>
      </x:c>
      <x:c r="G523" s="25" t="str"/>
      <x:c r="H523" s="27" t="str">
        <x:v>occ_env_exam</x:v>
      </x:c>
      <x:c r="I523" s="27" t="str">
        <x:v>ASM-2026-052</x:v>
      </x:c>
      <x:c r="J523" s="27" t="str">
        <x:v>CHK-2026-052-10</x:v>
      </x:c>
    </x:row>
    <x:row r="524">
      <x:c r="A524" s="28" t="str">
        <x:v>Thai Traditional Medicine</x:v>
      </x:c>
      <x:c r="B524" s="37" t="n">
        <x:v>46152</x:v>
      </x:c>
      <x:c r="C524" s="26" t="str">
        <x:v>RAH01-2026-053</x:v>
      </x:c>
      <x:c r="D524" s="36" t="n">
        <x:v>1</x:v>
      </x:c>
      <x:c r="E524" s="26" t="str">
        <x:v>Fire prevention and suppression system</x:v>
      </x:c>
      <x:c r="F524" s="25" t="str">
        <x:v>YES</x:v>
      </x:c>
      <x:c r="G524" s="25" t="str"/>
      <x:c r="H524" s="27" t="str">
        <x:v>occ_fire_safety</x:v>
      </x:c>
      <x:c r="I524" s="27" t="str">
        <x:v>ASM-2026-053</x:v>
      </x:c>
      <x:c r="J524" s="27" t="str">
        <x:v>CHK-2026-053-01</x:v>
      </x:c>
    </x:row>
    <x:row r="525">
      <x:c r="A525" s="28" t="str">
        <x:v>Thai Traditional Medicine</x:v>
      </x:c>
      <x:c r="B525" s="37" t="n">
        <x:v>46152</x:v>
      </x:c>
      <x:c r="C525" s="26" t="str">
        <x:v>RAH01-2026-053</x:v>
      </x:c>
      <x:c r="D525" s="36" t="n">
        <x:v>2</x:v>
      </x:c>
      <x:c r="E525" s="26" t="str">
        <x:v>Occupational-health education</x:v>
      </x:c>
      <x:c r="F525" s="25" t="str">
        <x:v>YES</x:v>
      </x:c>
      <x:c r="G525" s="25" t="str"/>
      <x:c r="H525" s="27" t="str">
        <x:v>occ_health_education</x:v>
      </x:c>
      <x:c r="I525" s="27" t="str">
        <x:v>ASM-2026-053</x:v>
      </x:c>
      <x:c r="J525" s="27" t="str">
        <x:v>CHK-2026-053-02</x:v>
      </x:c>
    </x:row>
    <x:row r="526">
      <x:c r="A526" s="28" t="str">
        <x:v>Thai Traditional Medicine</x:v>
      </x:c>
      <x:c r="B526" s="37" t="n">
        <x:v>46152</x:v>
      </x:c>
      <x:c r="C526" s="26" t="str">
        <x:v>RAH01-2026-053</x:v>
      </x:c>
      <x:c r="D526" s="36" t="n">
        <x:v>3</x:v>
      </x:c>
      <x:c r="E526" s="26" t="str">
        <x:v>Hazardous-waste management system</x:v>
      </x:c>
      <x:c r="F526" s="25" t="str">
        <x:v>YES</x:v>
      </x:c>
      <x:c r="G526" s="25" t="str"/>
      <x:c r="H526" s="27" t="str">
        <x:v>occ_waste_management</x:v>
      </x:c>
      <x:c r="I526" s="27" t="str">
        <x:v>ASM-2026-053</x:v>
      </x:c>
      <x:c r="J526" s="27" t="str">
        <x:v>CHK-2026-053-03</x:v>
      </x:c>
    </x:row>
    <x:row r="527">
      <x:c r="A527" s="28" t="str">
        <x:v>Thai Traditional Medicine</x:v>
      </x:c>
      <x:c r="B527" s="37" t="n">
        <x:v>46152</x:v>
      </x:c>
      <x:c r="C527" s="26" t="str">
        <x:v>RAH01-2026-053</x:v>
      </x:c>
      <x:c r="D527" s="36" t="n">
        <x:v>4</x:v>
      </x:c>
      <x:c r="E527" s="26" t="str">
        <x:v>Personal protective equipment measures</x:v>
      </x:c>
      <x:c r="F527" s="25" t="str">
        <x:v>YES</x:v>
      </x:c>
      <x:c r="G527" s="25" t="str"/>
      <x:c r="H527" s="27" t="str">
        <x:v>occ_ppe_measures</x:v>
      </x:c>
      <x:c r="I527" s="27" t="str">
        <x:v>ASM-2026-053</x:v>
      </x:c>
      <x:c r="J527" s="27" t="str">
        <x:v>CHK-2026-053-04</x:v>
      </x:c>
    </x:row>
    <x:row r="528">
      <x:c r="A528" s="28" t="str">
        <x:v>Thai Traditional Medicine</x:v>
      </x:c>
      <x:c r="B528" s="37" t="n">
        <x:v>46152</x:v>
      </x:c>
      <x:c r="C528" s="26" t="str">
        <x:v>RAH01-2026-053</x:v>
      </x:c>
      <x:c r="D528" s="36" t="n">
        <x:v>5</x:v>
      </x:c>
      <x:c r="E528" s="26" t="str">
        <x:v>Annual health examination</x:v>
      </x:c>
      <x:c r="F528" s="25" t="str">
        <x:v>YES</x:v>
      </x:c>
      <x:c r="G528" s="25" t="str"/>
      <x:c r="H528" s="27" t="str">
        <x:v>occ_annual_health_exam</x:v>
      </x:c>
      <x:c r="I528" s="27" t="str">
        <x:v>ASM-2026-053</x:v>
      </x:c>
      <x:c r="J528" s="27" t="str">
        <x:v>CHK-2026-053-05</x:v>
      </x:c>
    </x:row>
    <x:row r="529">
      <x:c r="A529" s="28" t="str">
        <x:v>Thai Traditional Medicine</x:v>
      </x:c>
      <x:c r="B529" s="37" t="n">
        <x:v>46152</x:v>
      </x:c>
      <x:c r="C529" s="26" t="str">
        <x:v>RAH01-2026-053</x:v>
      </x:c>
      <x:c r="D529" s="36" t="n">
        <x:v>6</x:v>
      </x:c>
      <x:c r="E529" s="26" t="str">
        <x:v>Risk-based lung-function examination</x:v>
      </x:c>
      <x:c r="F529" s="25" t="str">
        <x:v>YES</x:v>
      </x:c>
      <x:c r="G529" s="25" t="str"/>
      <x:c r="H529" s="27" t="str">
        <x:v>occ_risk_exam_lung</x:v>
      </x:c>
      <x:c r="I529" s="27" t="str">
        <x:v>ASM-2026-053</x:v>
      </x:c>
      <x:c r="J529" s="27" t="str">
        <x:v>CHK-2026-053-06</x:v>
      </x:c>
    </x:row>
    <x:row r="530">
      <x:c r="A530" s="28" t="str">
        <x:v>Thai Traditional Medicine</x:v>
      </x:c>
      <x:c r="B530" s="37" t="n">
        <x:v>46152</x:v>
      </x:c>
      <x:c r="C530" s="26" t="str">
        <x:v>RAH01-2026-053</x:v>
      </x:c>
      <x:c r="D530" s="36" t="n">
        <x:v>7</x:v>
      </x:c>
      <x:c r="E530" s="26" t="str">
        <x:v>Risk-based hearing examination</x:v>
      </x:c>
      <x:c r="F530" s="25" t="str">
        <x:v>YES</x:v>
      </x:c>
      <x:c r="G530" s="25" t="str"/>
      <x:c r="H530" s="27" t="str">
        <x:v>occ_risk_exam_hearing</x:v>
      </x:c>
      <x:c r="I530" s="27" t="str">
        <x:v>ASM-2026-053</x:v>
      </x:c>
      <x:c r="J530" s="27" t="str">
        <x:v>CHK-2026-053-07</x:v>
      </x:c>
    </x:row>
    <x:row r="531">
      <x:c r="A531" s="28" t="str">
        <x:v>Thai Traditional Medicine</x:v>
      </x:c>
      <x:c r="B531" s="37" t="n">
        <x:v>46152</x:v>
      </x:c>
      <x:c r="C531" s="26" t="str">
        <x:v>RAH01-2026-053</x:v>
      </x:c>
      <x:c r="D531" s="36" t="n">
        <x:v>8</x:v>
      </x:c>
      <x:c r="E531" s="26" t="str">
        <x:v>Risk-based vision examination</x:v>
      </x:c>
      <x:c r="F531" s="25" t="str">
        <x:v>NOT_APPLICABLE</x:v>
      </x:c>
      <x:c r="G531" s="25" t="str">
        <x:v>No indicated risk exam vision exposure in this department's current risk profile.</x:v>
      </x:c>
      <x:c r="H531" s="27" t="str">
        <x:v>occ_risk_exam_vision</x:v>
      </x:c>
      <x:c r="I531" s="27" t="str">
        <x:v>ASM-2026-053</x:v>
      </x:c>
      <x:c r="J531" s="27" t="str">
        <x:v>CHK-2026-053-08</x:v>
      </x:c>
    </x:row>
    <x:row r="532">
      <x:c r="A532" s="28" t="str">
        <x:v>Thai Traditional Medicine</x:v>
      </x:c>
      <x:c r="B532" s="37" t="n">
        <x:v>46152</x:v>
      </x:c>
      <x:c r="C532" s="26" t="str">
        <x:v>RAH01-2026-053</x:v>
      </x:c>
      <x:c r="D532" s="36" t="n">
        <x:v>9</x:v>
      </x:c>
      <x:c r="E532" s="26" t="str">
        <x:v>Biological monitoring</x:v>
      </x:c>
      <x:c r="F532" s="25" t="str">
        <x:v>YES</x:v>
      </x:c>
      <x:c r="G532" s="25" t="str"/>
      <x:c r="H532" s="27" t="str">
        <x:v>occ_bio_exam</x:v>
      </x:c>
      <x:c r="I532" s="27" t="str">
        <x:v>ASM-2026-053</x:v>
      </x:c>
      <x:c r="J532" s="27" t="str">
        <x:v>CHK-2026-053-09</x:v>
      </x:c>
    </x:row>
    <x:row r="533">
      <x:c r="A533" s="28" t="str">
        <x:v>Thai Traditional Medicine</x:v>
      </x:c>
      <x:c r="B533" s="37" t="n">
        <x:v>46152</x:v>
      </x:c>
      <x:c r="C533" s="26" t="str">
        <x:v>RAH01-2026-053</x:v>
      </x:c>
      <x:c r="D533" s="36" t="n">
        <x:v>10</x:v>
      </x:c>
      <x:c r="E533" s="26" t="str">
        <x:v>Workplace environmental monitoring</x:v>
      </x:c>
      <x:c r="F533" s="25" t="str">
        <x:v>YES</x:v>
      </x:c>
      <x:c r="G533" s="25" t="str"/>
      <x:c r="H533" s="27" t="str">
        <x:v>occ_env_exam</x:v>
      </x:c>
      <x:c r="I533" s="27" t="str">
        <x:v>ASM-2026-053</x:v>
      </x:c>
      <x:c r="J533" s="27" t="str">
        <x:v>CHK-2026-053-10</x:v>
      </x:c>
    </x:row>
    <x:row r="534">
      <x:c r="A534" s="28" t="str">
        <x:v>Thoracic Medicine</x:v>
      </x:c>
      <x:c r="B534" s="37" t="n">
        <x:v>46186</x:v>
      </x:c>
      <x:c r="C534" s="26" t="str">
        <x:v>RAH01-2026-054</x:v>
      </x:c>
      <x:c r="D534" s="36" t="n">
        <x:v>1</x:v>
      </x:c>
      <x:c r="E534" s="26" t="str">
        <x:v>Fire prevention and suppression system</x:v>
      </x:c>
      <x:c r="F534" s="25" t="str">
        <x:v>YES</x:v>
      </x:c>
      <x:c r="G534" s="25" t="str"/>
      <x:c r="H534" s="27" t="str">
        <x:v>occ_fire_safety</x:v>
      </x:c>
      <x:c r="I534" s="27" t="str">
        <x:v>ASM-2026-054</x:v>
      </x:c>
      <x:c r="J534" s="27" t="str">
        <x:v>CHK-2026-054-01</x:v>
      </x:c>
    </x:row>
    <x:row r="535">
      <x:c r="A535" s="28" t="str">
        <x:v>Thoracic Medicine</x:v>
      </x:c>
      <x:c r="B535" s="37" t="n">
        <x:v>46186</x:v>
      </x:c>
      <x:c r="C535" s="26" t="str">
        <x:v>RAH01-2026-054</x:v>
      </x:c>
      <x:c r="D535" s="36" t="n">
        <x:v>2</x:v>
      </x:c>
      <x:c r="E535" s="26" t="str">
        <x:v>Occupational-health education</x:v>
      </x:c>
      <x:c r="F535" s="25" t="str">
        <x:v>YES</x:v>
      </x:c>
      <x:c r="G535" s="25" t="str"/>
      <x:c r="H535" s="27" t="str">
        <x:v>occ_health_education</x:v>
      </x:c>
      <x:c r="I535" s="27" t="str">
        <x:v>ASM-2026-054</x:v>
      </x:c>
      <x:c r="J535" s="27" t="str">
        <x:v>CHK-2026-054-02</x:v>
      </x:c>
    </x:row>
    <x:row r="536">
      <x:c r="A536" s="28" t="str">
        <x:v>Thoracic Medicine</x:v>
      </x:c>
      <x:c r="B536" s="37" t="n">
        <x:v>46186</x:v>
      </x:c>
      <x:c r="C536" s="26" t="str">
        <x:v>RAH01-2026-054</x:v>
      </x:c>
      <x:c r="D536" s="36" t="n">
        <x:v>3</x:v>
      </x:c>
      <x:c r="E536" s="26" t="str">
        <x:v>Hazardous-waste management system</x:v>
      </x:c>
      <x:c r="F536" s="25" t="str">
        <x:v>YES</x:v>
      </x:c>
      <x:c r="G536" s="25" t="str"/>
      <x:c r="H536" s="27" t="str">
        <x:v>occ_waste_management</x:v>
      </x:c>
      <x:c r="I536" s="27" t="str">
        <x:v>ASM-2026-054</x:v>
      </x:c>
      <x:c r="J536" s="27" t="str">
        <x:v>CHK-2026-054-03</x:v>
      </x:c>
    </x:row>
    <x:row r="537">
      <x:c r="A537" s="28" t="str">
        <x:v>Thoracic Medicine</x:v>
      </x:c>
      <x:c r="B537" s="37" t="n">
        <x:v>46186</x:v>
      </x:c>
      <x:c r="C537" s="26" t="str">
        <x:v>RAH01-2026-054</x:v>
      </x:c>
      <x:c r="D537" s="36" t="n">
        <x:v>4</x:v>
      </x:c>
      <x:c r="E537" s="26" t="str">
        <x:v>Personal protective equipment measures</x:v>
      </x:c>
      <x:c r="F537" s="25" t="str">
        <x:v>YES</x:v>
      </x:c>
      <x:c r="G537" s="25" t="str"/>
      <x:c r="H537" s="27" t="str">
        <x:v>occ_ppe_measures</x:v>
      </x:c>
      <x:c r="I537" s="27" t="str">
        <x:v>ASM-2026-054</x:v>
      </x:c>
      <x:c r="J537" s="27" t="str">
        <x:v>CHK-2026-054-04</x:v>
      </x:c>
    </x:row>
    <x:row r="538">
      <x:c r="A538" s="28" t="str">
        <x:v>Thoracic Medicine</x:v>
      </x:c>
      <x:c r="B538" s="37" t="n">
        <x:v>46186</x:v>
      </x:c>
      <x:c r="C538" s="26" t="str">
        <x:v>RAH01-2026-054</x:v>
      </x:c>
      <x:c r="D538" s="36" t="n">
        <x:v>5</x:v>
      </x:c>
      <x:c r="E538" s="26" t="str">
        <x:v>Annual health examination</x:v>
      </x:c>
      <x:c r="F538" s="25" t="str">
        <x:v>YES</x:v>
      </x:c>
      <x:c r="G538" s="25" t="str"/>
      <x:c r="H538" s="27" t="str">
        <x:v>occ_annual_health_exam</x:v>
      </x:c>
      <x:c r="I538" s="27" t="str">
        <x:v>ASM-2026-054</x:v>
      </x:c>
      <x:c r="J538" s="27" t="str">
        <x:v>CHK-2026-054-05</x:v>
      </x:c>
    </x:row>
    <x:row r="539">
      <x:c r="A539" s="28" t="str">
        <x:v>Thoracic Medicine</x:v>
      </x:c>
      <x:c r="B539" s="37" t="n">
        <x:v>46186</x:v>
      </x:c>
      <x:c r="C539" s="26" t="str">
        <x:v>RAH01-2026-054</x:v>
      </x:c>
      <x:c r="D539" s="36" t="n">
        <x:v>6</x:v>
      </x:c>
      <x:c r="E539" s="26" t="str">
        <x:v>Risk-based lung-function examination</x:v>
      </x:c>
      <x:c r="F539" s="25" t="str">
        <x:v>YES</x:v>
      </x:c>
      <x:c r="G539" s="25" t="str"/>
      <x:c r="H539" s="27" t="str">
        <x:v>occ_risk_exam_lung</x:v>
      </x:c>
      <x:c r="I539" s="27" t="str">
        <x:v>ASM-2026-054</x:v>
      </x:c>
      <x:c r="J539" s="27" t="str">
        <x:v>CHK-2026-054-06</x:v>
      </x:c>
    </x:row>
    <x:row r="540">
      <x:c r="A540" s="28" t="str">
        <x:v>Thoracic Medicine</x:v>
      </x:c>
      <x:c r="B540" s="37" t="n">
        <x:v>46186</x:v>
      </x:c>
      <x:c r="C540" s="26" t="str">
        <x:v>RAH01-2026-054</x:v>
      </x:c>
      <x:c r="D540" s="36" t="n">
        <x:v>7</x:v>
      </x:c>
      <x:c r="E540" s="26" t="str">
        <x:v>Risk-based hearing examination</x:v>
      </x:c>
      <x:c r="F540" s="25" t="str">
        <x:v>NOT_APPLICABLE</x:v>
      </x:c>
      <x:c r="G540" s="25" t="str">
        <x:v>No indicated risk exam hearing exposure in this department's current risk profile.</x:v>
      </x:c>
      <x:c r="H540" s="27" t="str">
        <x:v>occ_risk_exam_hearing</x:v>
      </x:c>
      <x:c r="I540" s="27" t="str">
        <x:v>ASM-2026-054</x:v>
      </x:c>
      <x:c r="J540" s="27" t="str">
        <x:v>CHK-2026-054-07</x:v>
      </x:c>
    </x:row>
    <x:row r="541">
      <x:c r="A541" s="28" t="str">
        <x:v>Thoracic Medicine</x:v>
      </x:c>
      <x:c r="B541" s="37" t="n">
        <x:v>46186</x:v>
      </x:c>
      <x:c r="C541" s="26" t="str">
        <x:v>RAH01-2026-054</x:v>
      </x:c>
      <x:c r="D541" s="36" t="n">
        <x:v>8</x:v>
      </x:c>
      <x:c r="E541" s="26" t="str">
        <x:v>Risk-based vision examination</x:v>
      </x:c>
      <x:c r="F541" s="25" t="str">
        <x:v>YES</x:v>
      </x:c>
      <x:c r="G541" s="25" t="str"/>
      <x:c r="H541" s="27" t="str">
        <x:v>occ_risk_exam_vision</x:v>
      </x:c>
      <x:c r="I541" s="27" t="str">
        <x:v>ASM-2026-054</x:v>
      </x:c>
      <x:c r="J541" s="27" t="str">
        <x:v>CHK-2026-054-08</x:v>
      </x:c>
    </x:row>
    <x:row r="542">
      <x:c r="A542" s="28" t="str">
        <x:v>Thoracic Medicine</x:v>
      </x:c>
      <x:c r="B542" s="37" t="n">
        <x:v>46186</x:v>
      </x:c>
      <x:c r="C542" s="26" t="str">
        <x:v>RAH01-2026-054</x:v>
      </x:c>
      <x:c r="D542" s="36" t="n">
        <x:v>9</x:v>
      </x:c>
      <x:c r="E542" s="26" t="str">
        <x:v>Biological monitoring</x:v>
      </x:c>
      <x:c r="F542" s="25" t="str">
        <x:v>NO</x:v>
      </x:c>
      <x:c r="G542" s="25" t="str"/>
      <x:c r="H542" s="27" t="str">
        <x:v>occ_bio_exam</x:v>
      </x:c>
      <x:c r="I542" s="27" t="str">
        <x:v>ASM-2026-054</x:v>
      </x:c>
      <x:c r="J542" s="27" t="str">
        <x:v>CHK-2026-054-09</x:v>
      </x:c>
    </x:row>
    <x:row r="543">
      <x:c r="A543" s="28" t="str">
        <x:v>Thoracic Medicine</x:v>
      </x:c>
      <x:c r="B543" s="37" t="n">
        <x:v>46186</x:v>
      </x:c>
      <x:c r="C543" s="26" t="str">
        <x:v>RAH01-2026-054</x:v>
      </x:c>
      <x:c r="D543" s="36" t="n">
        <x:v>10</x:v>
      </x:c>
      <x:c r="E543" s="26" t="str">
        <x:v>Workplace environmental monitoring</x:v>
      </x:c>
      <x:c r="F543" s="25" t="str">
        <x:v>YES</x:v>
      </x:c>
      <x:c r="G543" s="25" t="str"/>
      <x:c r="H543" s="27" t="str">
        <x:v>occ_env_exam</x:v>
      </x:c>
      <x:c r="I543" s="27" t="str">
        <x:v>ASM-2026-054</x:v>
      </x:c>
      <x:c r="J543" s="27" t="str">
        <x:v>CHK-2026-054-10</x:v>
      </x:c>
    </x:row>
    <x:row r="544">
      <x:c r="A544" s="28" t="str">
        <x:v>Transfusion Medicine</x:v>
      </x:c>
      <x:c r="B544" s="37" t="n">
        <x:v>46038</x:v>
      </x:c>
      <x:c r="C544" s="26" t="str">
        <x:v>RAH01-2026-055</x:v>
      </x:c>
      <x:c r="D544" s="36" t="n">
        <x:v>1</x:v>
      </x:c>
      <x:c r="E544" s="26" t="str">
        <x:v>Fire prevention and suppression system</x:v>
      </x:c>
      <x:c r="F544" s="25" t="str">
        <x:v>YES</x:v>
      </x:c>
      <x:c r="G544" s="25" t="str"/>
      <x:c r="H544" s="27" t="str">
        <x:v>occ_fire_safety</x:v>
      </x:c>
      <x:c r="I544" s="27" t="str">
        <x:v>ASM-2026-055</x:v>
      </x:c>
      <x:c r="J544" s="27" t="str">
        <x:v>CHK-2026-055-01</x:v>
      </x:c>
    </x:row>
    <x:row r="545">
      <x:c r="A545" s="28" t="str">
        <x:v>Transfusion Medicine</x:v>
      </x:c>
      <x:c r="B545" s="37" t="n">
        <x:v>46038</x:v>
      </x:c>
      <x:c r="C545" s="26" t="str">
        <x:v>RAH01-2026-055</x:v>
      </x:c>
      <x:c r="D545" s="36" t="n">
        <x:v>2</x:v>
      </x:c>
      <x:c r="E545" s="26" t="str">
        <x:v>Occupational-health education</x:v>
      </x:c>
      <x:c r="F545" s="25" t="str">
        <x:v>YES</x:v>
      </x:c>
      <x:c r="G545" s="25" t="str"/>
      <x:c r="H545" s="27" t="str">
        <x:v>occ_health_education</x:v>
      </x:c>
      <x:c r="I545" s="27" t="str">
        <x:v>ASM-2026-055</x:v>
      </x:c>
      <x:c r="J545" s="27" t="str">
        <x:v>CHK-2026-055-02</x:v>
      </x:c>
    </x:row>
    <x:row r="546">
      <x:c r="A546" s="28" t="str">
        <x:v>Transfusion Medicine</x:v>
      </x:c>
      <x:c r="B546" s="37" t="n">
        <x:v>46038</x:v>
      </x:c>
      <x:c r="C546" s="26" t="str">
        <x:v>RAH01-2026-055</x:v>
      </x:c>
      <x:c r="D546" s="36" t="n">
        <x:v>3</x:v>
      </x:c>
      <x:c r="E546" s="26" t="str">
        <x:v>Hazardous-waste management system</x:v>
      </x:c>
      <x:c r="F546" s="25" t="str">
        <x:v>YES</x:v>
      </x:c>
      <x:c r="G546" s="25" t="str"/>
      <x:c r="H546" s="27" t="str">
        <x:v>occ_waste_management</x:v>
      </x:c>
      <x:c r="I546" s="27" t="str">
        <x:v>ASM-2026-055</x:v>
      </x:c>
      <x:c r="J546" s="27" t="str">
        <x:v>CHK-2026-055-03</x:v>
      </x:c>
    </x:row>
    <x:row r="547">
      <x:c r="A547" s="28" t="str">
        <x:v>Transfusion Medicine</x:v>
      </x:c>
      <x:c r="B547" s="37" t="n">
        <x:v>46038</x:v>
      </x:c>
      <x:c r="C547" s="26" t="str">
        <x:v>RAH01-2026-055</x:v>
      </x:c>
      <x:c r="D547" s="36" t="n">
        <x:v>4</x:v>
      </x:c>
      <x:c r="E547" s="26" t="str">
        <x:v>Personal protective equipment measures</x:v>
      </x:c>
      <x:c r="F547" s="25" t="str">
        <x:v>YES</x:v>
      </x:c>
      <x:c r="G547" s="25" t="str"/>
      <x:c r="H547" s="27" t="str">
        <x:v>occ_ppe_measures</x:v>
      </x:c>
      <x:c r="I547" s="27" t="str">
        <x:v>ASM-2026-055</x:v>
      </x:c>
      <x:c r="J547" s="27" t="str">
        <x:v>CHK-2026-055-04</x:v>
      </x:c>
    </x:row>
    <x:row r="548">
      <x:c r="A548" s="28" t="str">
        <x:v>Transfusion Medicine</x:v>
      </x:c>
      <x:c r="B548" s="37" t="n">
        <x:v>46038</x:v>
      </x:c>
      <x:c r="C548" s="26" t="str">
        <x:v>RAH01-2026-055</x:v>
      </x:c>
      <x:c r="D548" s="36" t="n">
        <x:v>5</x:v>
      </x:c>
      <x:c r="E548" s="26" t="str">
        <x:v>Annual health examination</x:v>
      </x:c>
      <x:c r="F548" s="25" t="str">
        <x:v>YES</x:v>
      </x:c>
      <x:c r="G548" s="25" t="str"/>
      <x:c r="H548" s="27" t="str">
        <x:v>occ_annual_health_exam</x:v>
      </x:c>
      <x:c r="I548" s="27" t="str">
        <x:v>ASM-2026-055</x:v>
      </x:c>
      <x:c r="J548" s="27" t="str">
        <x:v>CHK-2026-055-05</x:v>
      </x:c>
    </x:row>
    <x:row r="549">
      <x:c r="A549" s="28" t="str">
        <x:v>Transfusion Medicine</x:v>
      </x:c>
      <x:c r="B549" s="37" t="n">
        <x:v>46038</x:v>
      </x:c>
      <x:c r="C549" s="26" t="str">
        <x:v>RAH01-2026-055</x:v>
      </x:c>
      <x:c r="D549" s="36" t="n">
        <x:v>6</x:v>
      </x:c>
      <x:c r="E549" s="26" t="str">
        <x:v>Risk-based lung-function examination</x:v>
      </x:c>
      <x:c r="F549" s="25" t="str">
        <x:v>NOT_APPLICABLE</x:v>
      </x:c>
      <x:c r="G549" s="25" t="str">
        <x:v>No indicated risk exam lung exposure in this department's current risk profile.</x:v>
      </x:c>
      <x:c r="H549" s="27" t="str">
        <x:v>occ_risk_exam_lung</x:v>
      </x:c>
      <x:c r="I549" s="27" t="str">
        <x:v>ASM-2026-055</x:v>
      </x:c>
      <x:c r="J549" s="27" t="str">
        <x:v>CHK-2026-055-06</x:v>
      </x:c>
    </x:row>
    <x:row r="550">
      <x:c r="A550" s="28" t="str">
        <x:v>Transfusion Medicine</x:v>
      </x:c>
      <x:c r="B550" s="37" t="n">
        <x:v>46038</x:v>
      </x:c>
      <x:c r="C550" s="26" t="str">
        <x:v>RAH01-2026-055</x:v>
      </x:c>
      <x:c r="D550" s="36" t="n">
        <x:v>7</x:v>
      </x:c>
      <x:c r="E550" s="26" t="str">
        <x:v>Risk-based hearing examination</x:v>
      </x:c>
      <x:c r="F550" s="25" t="str">
        <x:v>YES</x:v>
      </x:c>
      <x:c r="G550" s="25" t="str"/>
      <x:c r="H550" s="27" t="str">
        <x:v>occ_risk_exam_hearing</x:v>
      </x:c>
      <x:c r="I550" s="27" t="str">
        <x:v>ASM-2026-055</x:v>
      </x:c>
      <x:c r="J550" s="27" t="str">
        <x:v>CHK-2026-055-07</x:v>
      </x:c>
    </x:row>
    <x:row r="551">
      <x:c r="A551" s="28" t="str">
        <x:v>Transfusion Medicine</x:v>
      </x:c>
      <x:c r="B551" s="37" t="n">
        <x:v>46038</x:v>
      </x:c>
      <x:c r="C551" s="26" t="str">
        <x:v>RAH01-2026-055</x:v>
      </x:c>
      <x:c r="D551" s="36" t="n">
        <x:v>8</x:v>
      </x:c>
      <x:c r="E551" s="26" t="str">
        <x:v>Risk-based vision examination</x:v>
      </x:c>
      <x:c r="F551" s="25" t="str">
        <x:v>YES</x:v>
      </x:c>
      <x:c r="G551" s="25" t="str"/>
      <x:c r="H551" s="27" t="str">
        <x:v>occ_risk_exam_vision</x:v>
      </x:c>
      <x:c r="I551" s="27" t="str">
        <x:v>ASM-2026-055</x:v>
      </x:c>
      <x:c r="J551" s="27" t="str">
        <x:v>CHK-2026-055-08</x:v>
      </x:c>
    </x:row>
    <x:row r="552">
      <x:c r="A552" s="28" t="str">
        <x:v>Transfusion Medicine</x:v>
      </x:c>
      <x:c r="B552" s="37" t="n">
        <x:v>46038</x:v>
      </x:c>
      <x:c r="C552" s="26" t="str">
        <x:v>RAH01-2026-055</x:v>
      </x:c>
      <x:c r="D552" s="36" t="n">
        <x:v>9</x:v>
      </x:c>
      <x:c r="E552" s="26" t="str">
        <x:v>Biological monitoring</x:v>
      </x:c>
      <x:c r="F552" s="25" t="str">
        <x:v>YES</x:v>
      </x:c>
      <x:c r="G552" s="25" t="str"/>
      <x:c r="H552" s="27" t="str">
        <x:v>occ_bio_exam</x:v>
      </x:c>
      <x:c r="I552" s="27" t="str">
        <x:v>ASM-2026-055</x:v>
      </x:c>
      <x:c r="J552" s="27" t="str">
        <x:v>CHK-2026-055-09</x:v>
      </x:c>
    </x:row>
    <x:row r="553">
      <x:c r="A553" s="28" t="str">
        <x:v>Transfusion Medicine</x:v>
      </x:c>
      <x:c r="B553" s="37" t="n">
        <x:v>46038</x:v>
      </x:c>
      <x:c r="C553" s="26" t="str">
        <x:v>RAH01-2026-055</x:v>
      </x:c>
      <x:c r="D553" s="36" t="n">
        <x:v>10</x:v>
      </x:c>
      <x:c r="E553" s="26" t="str">
        <x:v>Workplace environmental monitoring</x:v>
      </x:c>
      <x:c r="F553" s="25" t="str">
        <x:v>NOT_APPLICABLE</x:v>
      </x:c>
      <x:c r="G553" s="25" t="str">
        <x:v>No indicated env exam exposure in this department's current risk profile.</x:v>
      </x:c>
      <x:c r="H553" s="27" t="str">
        <x:v>occ_env_exam</x:v>
      </x:c>
      <x:c r="I553" s="27" t="str">
        <x:v>ASM-2026-055</x:v>
      </x:c>
      <x:c r="J553" s="27" t="str">
        <x:v>CHK-2026-055-10</x:v>
      </x:c>
    </x:row>
    <x:row r="554">
      <x:c r="A554" s="28" t="str">
        <x:v>Trauma Centre</x:v>
      </x:c>
      <x:c r="B554" s="37" t="n">
        <x:v>46072</x:v>
      </x:c>
      <x:c r="C554" s="26" t="str">
        <x:v>RAH01-2026-056</x:v>
      </x:c>
      <x:c r="D554" s="36" t="n">
        <x:v>1</x:v>
      </x:c>
      <x:c r="E554" s="26" t="str">
        <x:v>Fire prevention and suppression system</x:v>
      </x:c>
      <x:c r="F554" s="25" t="str">
        <x:v>YES</x:v>
      </x:c>
      <x:c r="G554" s="25" t="str"/>
      <x:c r="H554" s="27" t="str">
        <x:v>occ_fire_safety</x:v>
      </x:c>
      <x:c r="I554" s="27" t="str">
        <x:v>ASM-2026-056</x:v>
      </x:c>
      <x:c r="J554" s="27" t="str">
        <x:v>CHK-2026-056-01</x:v>
      </x:c>
    </x:row>
    <x:row r="555">
      <x:c r="A555" s="28" t="str">
        <x:v>Trauma Centre</x:v>
      </x:c>
      <x:c r="B555" s="37" t="n">
        <x:v>46072</x:v>
      </x:c>
      <x:c r="C555" s="26" t="str">
        <x:v>RAH01-2026-056</x:v>
      </x:c>
      <x:c r="D555" s="36" t="n">
        <x:v>2</x:v>
      </x:c>
      <x:c r="E555" s="26" t="str">
        <x:v>Occupational-health education</x:v>
      </x:c>
      <x:c r="F555" s="25" t="str">
        <x:v>YES</x:v>
      </x:c>
      <x:c r="G555" s="25" t="str"/>
      <x:c r="H555" s="27" t="str">
        <x:v>occ_health_education</x:v>
      </x:c>
      <x:c r="I555" s="27" t="str">
        <x:v>ASM-2026-056</x:v>
      </x:c>
      <x:c r="J555" s="27" t="str">
        <x:v>CHK-2026-056-02</x:v>
      </x:c>
    </x:row>
    <x:row r="556">
      <x:c r="A556" s="28" t="str">
        <x:v>Trauma Centre</x:v>
      </x:c>
      <x:c r="B556" s="37" t="n">
        <x:v>46072</x:v>
      </x:c>
      <x:c r="C556" s="26" t="str">
        <x:v>RAH01-2026-056</x:v>
      </x:c>
      <x:c r="D556" s="36" t="n">
        <x:v>3</x:v>
      </x:c>
      <x:c r="E556" s="26" t="str">
        <x:v>Hazardous-waste management system</x:v>
      </x:c>
      <x:c r="F556" s="25" t="str">
        <x:v>NO</x:v>
      </x:c>
      <x:c r="G556" s="25" t="str"/>
      <x:c r="H556" s="27" t="str">
        <x:v>occ_waste_management</x:v>
      </x:c>
      <x:c r="I556" s="27" t="str">
        <x:v>ASM-2026-056</x:v>
      </x:c>
      <x:c r="J556" s="27" t="str">
        <x:v>CHK-2026-056-03</x:v>
      </x:c>
    </x:row>
    <x:row r="557">
      <x:c r="A557" s="28" t="str">
        <x:v>Trauma Centre</x:v>
      </x:c>
      <x:c r="B557" s="37" t="n">
        <x:v>46072</x:v>
      </x:c>
      <x:c r="C557" s="26" t="str">
        <x:v>RAH01-2026-056</x:v>
      </x:c>
      <x:c r="D557" s="36" t="n">
        <x:v>4</x:v>
      </x:c>
      <x:c r="E557" s="26" t="str">
        <x:v>Personal protective equipment measures</x:v>
      </x:c>
      <x:c r="F557" s="25" t="str">
        <x:v>YES</x:v>
      </x:c>
      <x:c r="G557" s="25" t="str"/>
      <x:c r="H557" s="27" t="str">
        <x:v>occ_ppe_measures</x:v>
      </x:c>
      <x:c r="I557" s="27" t="str">
        <x:v>ASM-2026-056</x:v>
      </x:c>
      <x:c r="J557" s="27" t="str">
        <x:v>CHK-2026-056-04</x:v>
      </x:c>
    </x:row>
    <x:row r="558">
      <x:c r="A558" s="28" t="str">
        <x:v>Trauma Centre</x:v>
      </x:c>
      <x:c r="B558" s="37" t="n">
        <x:v>46072</x:v>
      </x:c>
      <x:c r="C558" s="26" t="str">
        <x:v>RAH01-2026-056</x:v>
      </x:c>
      <x:c r="D558" s="36" t="n">
        <x:v>5</x:v>
      </x:c>
      <x:c r="E558" s="26" t="str">
        <x:v>Annual health examination</x:v>
      </x:c>
      <x:c r="F558" s="25" t="str">
        <x:v>YES</x:v>
      </x:c>
      <x:c r="G558" s="25" t="str"/>
      <x:c r="H558" s="27" t="str">
        <x:v>occ_annual_health_exam</x:v>
      </x:c>
      <x:c r="I558" s="27" t="str">
        <x:v>ASM-2026-056</x:v>
      </x:c>
      <x:c r="J558" s="27" t="str">
        <x:v>CHK-2026-056-05</x:v>
      </x:c>
    </x:row>
    <x:row r="559">
      <x:c r="A559" s="28" t="str">
        <x:v>Trauma Centre</x:v>
      </x:c>
      <x:c r="B559" s="37" t="n">
        <x:v>46072</x:v>
      </x:c>
      <x:c r="C559" s="26" t="str">
        <x:v>RAH01-2026-056</x:v>
      </x:c>
      <x:c r="D559" s="36" t="n">
        <x:v>6</x:v>
      </x:c>
      <x:c r="E559" s="26" t="str">
        <x:v>Risk-based lung-function examination</x:v>
      </x:c>
      <x:c r="F559" s="25" t="str">
        <x:v>YES</x:v>
      </x:c>
      <x:c r="G559" s="25" t="str"/>
      <x:c r="H559" s="27" t="str">
        <x:v>occ_risk_exam_lung</x:v>
      </x:c>
      <x:c r="I559" s="27" t="str">
        <x:v>ASM-2026-056</x:v>
      </x:c>
      <x:c r="J559" s="27" t="str">
        <x:v>CHK-2026-056-06</x:v>
      </x:c>
    </x:row>
    <x:row r="560">
      <x:c r="A560" s="28" t="str">
        <x:v>Trauma Centre</x:v>
      </x:c>
      <x:c r="B560" s="37" t="n">
        <x:v>46072</x:v>
      </x:c>
      <x:c r="C560" s="26" t="str">
        <x:v>RAH01-2026-056</x:v>
      </x:c>
      <x:c r="D560" s="36" t="n">
        <x:v>7</x:v>
      </x:c>
      <x:c r="E560" s="26" t="str">
        <x:v>Risk-based hearing examination</x:v>
      </x:c>
      <x:c r="F560" s="25" t="str">
        <x:v>YES</x:v>
      </x:c>
      <x:c r="G560" s="25" t="str"/>
      <x:c r="H560" s="27" t="str">
        <x:v>occ_risk_exam_hearing</x:v>
      </x:c>
      <x:c r="I560" s="27" t="str">
        <x:v>ASM-2026-056</x:v>
      </x:c>
      <x:c r="J560" s="27" t="str">
        <x:v>CHK-2026-056-07</x:v>
      </x:c>
    </x:row>
    <x:row r="561">
      <x:c r="A561" s="28" t="str">
        <x:v>Trauma Centre</x:v>
      </x:c>
      <x:c r="B561" s="37" t="n">
        <x:v>46072</x:v>
      </x:c>
      <x:c r="C561" s="26" t="str">
        <x:v>RAH01-2026-056</x:v>
      </x:c>
      <x:c r="D561" s="36" t="n">
        <x:v>8</x:v>
      </x:c>
      <x:c r="E561" s="26" t="str">
        <x:v>Risk-based vision examination</x:v>
      </x:c>
      <x:c r="F561" s="25" t="str">
        <x:v>YES</x:v>
      </x:c>
      <x:c r="G561" s="25" t="str"/>
      <x:c r="H561" s="27" t="str">
        <x:v>occ_risk_exam_vision</x:v>
      </x:c>
      <x:c r="I561" s="27" t="str">
        <x:v>ASM-2026-056</x:v>
      </x:c>
      <x:c r="J561" s="27" t="str">
        <x:v>CHK-2026-056-08</x:v>
      </x:c>
    </x:row>
    <x:row r="562">
      <x:c r="A562" s="28" t="str">
        <x:v>Trauma Centre</x:v>
      </x:c>
      <x:c r="B562" s="37" t="n">
        <x:v>46072</x:v>
      </x:c>
      <x:c r="C562" s="26" t="str">
        <x:v>RAH01-2026-056</x:v>
      </x:c>
      <x:c r="D562" s="36" t="n">
        <x:v>9</x:v>
      </x:c>
      <x:c r="E562" s="26" t="str">
        <x:v>Biological monitoring</x:v>
      </x:c>
      <x:c r="F562" s="25" t="str">
        <x:v>NOT_APPLICABLE</x:v>
      </x:c>
      <x:c r="G562" s="25" t="str">
        <x:v>No indicated bio exam exposure in this department's current risk profile.</x:v>
      </x:c>
      <x:c r="H562" s="27" t="str">
        <x:v>occ_bio_exam</x:v>
      </x:c>
      <x:c r="I562" s="27" t="str">
        <x:v>ASM-2026-056</x:v>
      </x:c>
      <x:c r="J562" s="27" t="str">
        <x:v>CHK-2026-056-09</x:v>
      </x:c>
    </x:row>
    <x:row r="563">
      <x:c r="A563" s="28" t="str">
        <x:v>Trauma Centre</x:v>
      </x:c>
      <x:c r="B563" s="37" t="n">
        <x:v>46072</x:v>
      </x:c>
      <x:c r="C563" s="26" t="str">
        <x:v>RAH01-2026-056</x:v>
      </x:c>
      <x:c r="D563" s="36" t="n">
        <x:v>10</x:v>
      </x:c>
      <x:c r="E563" s="26" t="str">
        <x:v>Workplace environmental monitoring</x:v>
      </x:c>
      <x:c r="F563" s="25" t="str">
        <x:v>YES</x:v>
      </x:c>
      <x:c r="G563" s="25" t="str"/>
      <x:c r="H563" s="27" t="str">
        <x:v>occ_env_exam</x:v>
      </x:c>
      <x:c r="I563" s="27" t="str">
        <x:v>ASM-2026-056</x:v>
      </x:c>
      <x:c r="J563" s="27" t="str">
        <x:v>CHK-2026-056-10</x:v>
      </x:c>
    </x:row>
    <x:row r="564">
      <x:c r="A564" s="28" t="str">
        <x:v>Urology</x:v>
      </x:c>
      <x:c r="B564" s="37" t="n">
        <x:v>46103</x:v>
      </x:c>
      <x:c r="C564" s="26" t="str">
        <x:v>RAH01-2026-057</x:v>
      </x:c>
      <x:c r="D564" s="36" t="n">
        <x:v>1</x:v>
      </x:c>
      <x:c r="E564" s="26" t="str">
        <x:v>Fire prevention and suppression system</x:v>
      </x:c>
      <x:c r="F564" s="25" t="str">
        <x:v>YES</x:v>
      </x:c>
      <x:c r="G564" s="25" t="str"/>
      <x:c r="H564" s="27" t="str">
        <x:v>occ_fire_safety</x:v>
      </x:c>
      <x:c r="I564" s="27" t="str">
        <x:v>ASM-2026-057</x:v>
      </x:c>
      <x:c r="J564" s="27" t="str">
        <x:v>CHK-2026-057-01</x:v>
      </x:c>
    </x:row>
    <x:row r="565">
      <x:c r="A565" s="28" t="str">
        <x:v>Urology</x:v>
      </x:c>
      <x:c r="B565" s="37" t="n">
        <x:v>46103</x:v>
      </x:c>
      <x:c r="C565" s="26" t="str">
        <x:v>RAH01-2026-057</x:v>
      </x:c>
      <x:c r="D565" s="36" t="n">
        <x:v>2</x:v>
      </x:c>
      <x:c r="E565" s="26" t="str">
        <x:v>Occupational-health education</x:v>
      </x:c>
      <x:c r="F565" s="25" t="str">
        <x:v>YES</x:v>
      </x:c>
      <x:c r="G565" s="25" t="str"/>
      <x:c r="H565" s="27" t="str">
        <x:v>occ_health_education</x:v>
      </x:c>
      <x:c r="I565" s="27" t="str">
        <x:v>ASM-2026-057</x:v>
      </x:c>
      <x:c r="J565" s="27" t="str">
        <x:v>CHK-2026-057-02</x:v>
      </x:c>
    </x:row>
    <x:row r="566">
      <x:c r="A566" s="28" t="str">
        <x:v>Urology</x:v>
      </x:c>
      <x:c r="B566" s="37" t="n">
        <x:v>46103</x:v>
      </x:c>
      <x:c r="C566" s="26" t="str">
        <x:v>RAH01-2026-057</x:v>
      </x:c>
      <x:c r="D566" s="36" t="n">
        <x:v>3</x:v>
      </x:c>
      <x:c r="E566" s="26" t="str">
        <x:v>Hazardous-waste management system</x:v>
      </x:c>
      <x:c r="F566" s="25" t="str">
        <x:v>YES</x:v>
      </x:c>
      <x:c r="G566" s="25" t="str"/>
      <x:c r="H566" s="27" t="str">
        <x:v>occ_waste_management</x:v>
      </x:c>
      <x:c r="I566" s="27" t="str">
        <x:v>ASM-2026-057</x:v>
      </x:c>
      <x:c r="J566" s="27" t="str">
        <x:v>CHK-2026-057-03</x:v>
      </x:c>
    </x:row>
    <x:row r="567">
      <x:c r="A567" s="28" t="str">
        <x:v>Urology</x:v>
      </x:c>
      <x:c r="B567" s="37" t="n">
        <x:v>46103</x:v>
      </x:c>
      <x:c r="C567" s="26" t="str">
        <x:v>RAH01-2026-057</x:v>
      </x:c>
      <x:c r="D567" s="36" t="n">
        <x:v>4</x:v>
      </x:c>
      <x:c r="E567" s="26" t="str">
        <x:v>Personal protective equipment measures</x:v>
      </x:c>
      <x:c r="F567" s="25" t="str">
        <x:v>YES</x:v>
      </x:c>
      <x:c r="G567" s="25" t="str"/>
      <x:c r="H567" s="27" t="str">
        <x:v>occ_ppe_measures</x:v>
      </x:c>
      <x:c r="I567" s="27" t="str">
        <x:v>ASM-2026-057</x:v>
      </x:c>
      <x:c r="J567" s="27" t="str">
        <x:v>CHK-2026-057-04</x:v>
      </x:c>
    </x:row>
    <x:row r="568">
      <x:c r="A568" s="28" t="str">
        <x:v>Urology</x:v>
      </x:c>
      <x:c r="B568" s="37" t="n">
        <x:v>46103</x:v>
      </x:c>
      <x:c r="C568" s="26" t="str">
        <x:v>RAH01-2026-057</x:v>
      </x:c>
      <x:c r="D568" s="36" t="n">
        <x:v>5</x:v>
      </x:c>
      <x:c r="E568" s="26" t="str">
        <x:v>Annual health examination</x:v>
      </x:c>
      <x:c r="F568" s="25" t="str">
        <x:v>YES</x:v>
      </x:c>
      <x:c r="G568" s="25" t="str"/>
      <x:c r="H568" s="27" t="str">
        <x:v>occ_annual_health_exam</x:v>
      </x:c>
      <x:c r="I568" s="27" t="str">
        <x:v>ASM-2026-057</x:v>
      </x:c>
      <x:c r="J568" s="27" t="str">
        <x:v>CHK-2026-057-05</x:v>
      </x:c>
    </x:row>
    <x:row r="569">
      <x:c r="A569" s="28" t="str">
        <x:v>Urology</x:v>
      </x:c>
      <x:c r="B569" s="37" t="n">
        <x:v>46103</x:v>
      </x:c>
      <x:c r="C569" s="26" t="str">
        <x:v>RAH01-2026-057</x:v>
      </x:c>
      <x:c r="D569" s="36" t="n">
        <x:v>6</x:v>
      </x:c>
      <x:c r="E569" s="26" t="str">
        <x:v>Risk-based lung-function examination</x:v>
      </x:c>
      <x:c r="F569" s="25" t="str">
        <x:v>YES</x:v>
      </x:c>
      <x:c r="G569" s="25" t="str"/>
      <x:c r="H569" s="27" t="str">
        <x:v>occ_risk_exam_lung</x:v>
      </x:c>
      <x:c r="I569" s="27" t="str">
        <x:v>ASM-2026-057</x:v>
      </x:c>
      <x:c r="J569" s="27" t="str">
        <x:v>CHK-2026-057-06</x:v>
      </x:c>
    </x:row>
    <x:row r="570">
      <x:c r="A570" s="28" t="str">
        <x:v>Urology</x:v>
      </x:c>
      <x:c r="B570" s="37" t="n">
        <x:v>46103</x:v>
      </x:c>
      <x:c r="C570" s="26" t="str">
        <x:v>RAH01-2026-057</x:v>
      </x:c>
      <x:c r="D570" s="36" t="n">
        <x:v>7</x:v>
      </x:c>
      <x:c r="E570" s="26" t="str">
        <x:v>Risk-based hearing examination</x:v>
      </x:c>
      <x:c r="F570" s="25" t="str">
        <x:v>YES</x:v>
      </x:c>
      <x:c r="G570" s="25" t="str"/>
      <x:c r="H570" s="27" t="str">
        <x:v>occ_risk_exam_hearing</x:v>
      </x:c>
      <x:c r="I570" s="27" t="str">
        <x:v>ASM-2026-057</x:v>
      </x:c>
      <x:c r="J570" s="27" t="str">
        <x:v>CHK-2026-057-07</x:v>
      </x:c>
    </x:row>
    <x:row r="571">
      <x:c r="A571" s="28" t="str">
        <x:v>Urology</x:v>
      </x:c>
      <x:c r="B571" s="37" t="n">
        <x:v>46103</x:v>
      </x:c>
      <x:c r="C571" s="26" t="str">
        <x:v>RAH01-2026-057</x:v>
      </x:c>
      <x:c r="D571" s="36" t="n">
        <x:v>8</x:v>
      </x:c>
      <x:c r="E571" s="26" t="str">
        <x:v>Risk-based vision examination</x:v>
      </x:c>
      <x:c r="F571" s="25" t="str">
        <x:v>NOT_APPLICABLE</x:v>
      </x:c>
      <x:c r="G571" s="25" t="str">
        <x:v>No indicated risk exam vision exposure in this department's current risk profile.</x:v>
      </x:c>
      <x:c r="H571" s="27" t="str">
        <x:v>occ_risk_exam_vision</x:v>
      </x:c>
      <x:c r="I571" s="27" t="str">
        <x:v>ASM-2026-057</x:v>
      </x:c>
      <x:c r="J571" s="27" t="str">
        <x:v>CHK-2026-057-08</x:v>
      </x:c>
    </x:row>
    <x:row r="572">
      <x:c r="A572" s="28" t="str">
        <x:v>Urology</x:v>
      </x:c>
      <x:c r="B572" s="37" t="n">
        <x:v>46103</x:v>
      </x:c>
      <x:c r="C572" s="26" t="str">
        <x:v>RAH01-2026-057</x:v>
      </x:c>
      <x:c r="D572" s="36" t="n">
        <x:v>9</x:v>
      </x:c>
      <x:c r="E572" s="26" t="str">
        <x:v>Biological monitoring</x:v>
      </x:c>
      <x:c r="F572" s="25" t="str">
        <x:v>YES</x:v>
      </x:c>
      <x:c r="G572" s="25" t="str"/>
      <x:c r="H572" s="27" t="str">
        <x:v>occ_bio_exam</x:v>
      </x:c>
      <x:c r="I572" s="27" t="str">
        <x:v>ASM-2026-057</x:v>
      </x:c>
      <x:c r="J572" s="27" t="str">
        <x:v>CHK-2026-057-09</x:v>
      </x:c>
    </x:row>
    <x:row r="573">
      <x:c r="A573" s="28" t="str">
        <x:v>Urology</x:v>
      </x:c>
      <x:c r="B573" s="37" t="n">
        <x:v>46103</x:v>
      </x:c>
      <x:c r="C573" s="26" t="str">
        <x:v>RAH01-2026-057</x:v>
      </x:c>
      <x:c r="D573" s="36" t="n">
        <x:v>10</x:v>
      </x:c>
      <x:c r="E573" s="26" t="str">
        <x:v>Workplace environmental monitoring</x:v>
      </x:c>
      <x:c r="F573" s="25" t="str">
        <x:v>YES</x:v>
      </x:c>
      <x:c r="G573" s="25" t="str"/>
      <x:c r="H573" s="27" t="str">
        <x:v>occ_env_exam</x:v>
      </x:c>
      <x:c r="I573" s="27" t="str">
        <x:v>ASM-2026-057</x:v>
      </x:c>
      <x:c r="J573" s="27" t="str">
        <x:v>CHK-2026-057-10</x:v>
      </x:c>
    </x:row>
    <x:row r="574">
      <x:c r="A574" s="28" t="str">
        <x:v>Vaccination Clinic</x:v>
      </x:c>
      <x:c r="B574" s="37" t="n">
        <x:v>46137</x:v>
      </x:c>
      <x:c r="C574" s="26" t="str">
        <x:v>RAH01-2026-058</x:v>
      </x:c>
      <x:c r="D574" s="36" t="n">
        <x:v>1</x:v>
      </x:c>
      <x:c r="E574" s="26" t="str">
        <x:v>Fire prevention and suppression system</x:v>
      </x:c>
      <x:c r="F574" s="25" t="str">
        <x:v>YES</x:v>
      </x:c>
      <x:c r="G574" s="25" t="str"/>
      <x:c r="H574" s="27" t="str">
        <x:v>occ_fire_safety</x:v>
      </x:c>
      <x:c r="I574" s="27" t="str">
        <x:v>ASM-2026-058</x:v>
      </x:c>
      <x:c r="J574" s="27" t="str">
        <x:v>CHK-2026-058-01</x:v>
      </x:c>
    </x:row>
    <x:row r="575">
      <x:c r="A575" s="28" t="str">
        <x:v>Vaccination Clinic</x:v>
      </x:c>
      <x:c r="B575" s="37" t="n">
        <x:v>46137</x:v>
      </x:c>
      <x:c r="C575" s="26" t="str">
        <x:v>RAH01-2026-058</x:v>
      </x:c>
      <x:c r="D575" s="36" t="n">
        <x:v>2</x:v>
      </x:c>
      <x:c r="E575" s="26" t="str">
        <x:v>Occupational-health education</x:v>
      </x:c>
      <x:c r="F575" s="25" t="str">
        <x:v>YES</x:v>
      </x:c>
      <x:c r="G575" s="25" t="str"/>
      <x:c r="H575" s="27" t="str">
        <x:v>occ_health_education</x:v>
      </x:c>
      <x:c r="I575" s="27" t="str">
        <x:v>ASM-2026-058</x:v>
      </x:c>
      <x:c r="J575" s="27" t="str">
        <x:v>CHK-2026-058-02</x:v>
      </x:c>
    </x:row>
    <x:row r="576">
      <x:c r="A576" s="28" t="str">
        <x:v>Vaccination Clinic</x:v>
      </x:c>
      <x:c r="B576" s="37" t="n">
        <x:v>46137</x:v>
      </x:c>
      <x:c r="C576" s="26" t="str">
        <x:v>RAH01-2026-058</x:v>
      </x:c>
      <x:c r="D576" s="36" t="n">
        <x:v>3</x:v>
      </x:c>
      <x:c r="E576" s="26" t="str">
        <x:v>Hazardous-waste management system</x:v>
      </x:c>
      <x:c r="F576" s="25" t="str">
        <x:v>YES</x:v>
      </x:c>
      <x:c r="G576" s="25" t="str"/>
      <x:c r="H576" s="27" t="str">
        <x:v>occ_waste_management</x:v>
      </x:c>
      <x:c r="I576" s="27" t="str">
        <x:v>ASM-2026-058</x:v>
      </x:c>
      <x:c r="J576" s="27" t="str">
        <x:v>CHK-2026-058-03</x:v>
      </x:c>
    </x:row>
    <x:row r="577">
      <x:c r="A577" s="28" t="str">
        <x:v>Vaccination Clinic</x:v>
      </x:c>
      <x:c r="B577" s="37" t="n">
        <x:v>46137</x:v>
      </x:c>
      <x:c r="C577" s="26" t="str">
        <x:v>RAH01-2026-058</x:v>
      </x:c>
      <x:c r="D577" s="36" t="n">
        <x:v>4</x:v>
      </x:c>
      <x:c r="E577" s="26" t="str">
        <x:v>Personal protective equipment measures</x:v>
      </x:c>
      <x:c r="F577" s="25" t="str">
        <x:v>YES</x:v>
      </x:c>
      <x:c r="G577" s="25" t="str"/>
      <x:c r="H577" s="27" t="str">
        <x:v>occ_ppe_measures</x:v>
      </x:c>
      <x:c r="I577" s="27" t="str">
        <x:v>ASM-2026-058</x:v>
      </x:c>
      <x:c r="J577" s="27" t="str">
        <x:v>CHK-2026-058-04</x:v>
      </x:c>
    </x:row>
    <x:row r="578">
      <x:c r="A578" s="28" t="str">
        <x:v>Vaccination Clinic</x:v>
      </x:c>
      <x:c r="B578" s="37" t="n">
        <x:v>46137</x:v>
      </x:c>
      <x:c r="C578" s="26" t="str">
        <x:v>RAH01-2026-058</x:v>
      </x:c>
      <x:c r="D578" s="36" t="n">
        <x:v>5</x:v>
      </x:c>
      <x:c r="E578" s="26" t="str">
        <x:v>Annual health examination</x:v>
      </x:c>
      <x:c r="F578" s="25" t="str">
        <x:v>YES</x:v>
      </x:c>
      <x:c r="G578" s="25" t="str"/>
      <x:c r="H578" s="27" t="str">
        <x:v>occ_annual_health_exam</x:v>
      </x:c>
      <x:c r="I578" s="27" t="str">
        <x:v>ASM-2026-058</x:v>
      </x:c>
      <x:c r="J578" s="27" t="str">
        <x:v>CHK-2026-058-05</x:v>
      </x:c>
    </x:row>
    <x:row r="579">
      <x:c r="A579" s="28" t="str">
        <x:v>Vaccination Clinic</x:v>
      </x:c>
      <x:c r="B579" s="37" t="n">
        <x:v>46137</x:v>
      </x:c>
      <x:c r="C579" s="26" t="str">
        <x:v>RAH01-2026-058</x:v>
      </x:c>
      <x:c r="D579" s="36" t="n">
        <x:v>6</x:v>
      </x:c>
      <x:c r="E579" s="26" t="str">
        <x:v>Risk-based lung-function examination</x:v>
      </x:c>
      <x:c r="F579" s="25" t="str">
        <x:v>YES</x:v>
      </x:c>
      <x:c r="G579" s="25" t="str"/>
      <x:c r="H579" s="27" t="str">
        <x:v>occ_risk_exam_lung</x:v>
      </x:c>
      <x:c r="I579" s="27" t="str">
        <x:v>ASM-2026-058</x:v>
      </x:c>
      <x:c r="J579" s="27" t="str">
        <x:v>CHK-2026-058-06</x:v>
      </x:c>
    </x:row>
    <x:row r="580">
      <x:c r="A580" s="28" t="str">
        <x:v>Vaccination Clinic</x:v>
      </x:c>
      <x:c r="B580" s="37" t="n">
        <x:v>46137</x:v>
      </x:c>
      <x:c r="C580" s="26" t="str">
        <x:v>RAH01-2026-058</x:v>
      </x:c>
      <x:c r="D580" s="36" t="n">
        <x:v>7</x:v>
      </x:c>
      <x:c r="E580" s="26" t="str">
        <x:v>Risk-based hearing examination</x:v>
      </x:c>
      <x:c r="F580" s="25" t="str">
        <x:v>NOT_APPLICABLE</x:v>
      </x:c>
      <x:c r="G580" s="25" t="str">
        <x:v>No indicated risk exam hearing exposure in this department's current risk profile.</x:v>
      </x:c>
      <x:c r="H580" s="27" t="str">
        <x:v>occ_risk_exam_hearing</x:v>
      </x:c>
      <x:c r="I580" s="27" t="str">
        <x:v>ASM-2026-058</x:v>
      </x:c>
      <x:c r="J580" s="27" t="str">
        <x:v>CHK-2026-058-07</x:v>
      </x:c>
    </x:row>
    <x:row r="581">
      <x:c r="A581" s="28" t="str">
        <x:v>Vaccination Clinic</x:v>
      </x:c>
      <x:c r="B581" s="37" t="n">
        <x:v>46137</x:v>
      </x:c>
      <x:c r="C581" s="26" t="str">
        <x:v>RAH01-2026-058</x:v>
      </x:c>
      <x:c r="D581" s="36" t="n">
        <x:v>8</x:v>
      </x:c>
      <x:c r="E581" s="26" t="str">
        <x:v>Risk-based vision examination</x:v>
      </x:c>
      <x:c r="F581" s="25" t="str">
        <x:v>YES</x:v>
      </x:c>
      <x:c r="G581" s="25" t="str"/>
      <x:c r="H581" s="27" t="str">
        <x:v>occ_risk_exam_vision</x:v>
      </x:c>
      <x:c r="I581" s="27" t="str">
        <x:v>ASM-2026-058</x:v>
      </x:c>
      <x:c r="J581" s="27" t="str">
        <x:v>CHK-2026-058-08</x:v>
      </x:c>
    </x:row>
    <x:row r="582">
      <x:c r="A582" s="28" t="str">
        <x:v>Vaccination Clinic</x:v>
      </x:c>
      <x:c r="B582" s="37" t="n">
        <x:v>46137</x:v>
      </x:c>
      <x:c r="C582" s="26" t="str">
        <x:v>RAH01-2026-058</x:v>
      </x:c>
      <x:c r="D582" s="36" t="n">
        <x:v>9</x:v>
      </x:c>
      <x:c r="E582" s="26" t="str">
        <x:v>Biological monitoring</x:v>
      </x:c>
      <x:c r="F582" s="25" t="str">
        <x:v>YES</x:v>
      </x:c>
      <x:c r="G582" s="25" t="str"/>
      <x:c r="H582" s="27" t="str">
        <x:v>occ_bio_exam</x:v>
      </x:c>
      <x:c r="I582" s="27" t="str">
        <x:v>ASM-2026-058</x:v>
      </x:c>
      <x:c r="J582" s="27" t="str">
        <x:v>CHK-2026-058-09</x:v>
      </x:c>
    </x:row>
    <x:row r="583">
      <x:c r="A583" s="28" t="str">
        <x:v>Vaccination Clinic</x:v>
      </x:c>
      <x:c r="B583" s="37" t="n">
        <x:v>46137</x:v>
      </x:c>
      <x:c r="C583" s="26" t="str">
        <x:v>RAH01-2026-058</x:v>
      </x:c>
      <x:c r="D583" s="36" t="n">
        <x:v>10</x:v>
      </x:c>
      <x:c r="E583" s="26" t="str">
        <x:v>Workplace environmental monitoring</x:v>
      </x:c>
      <x:c r="F583" s="25" t="str">
        <x:v>YES</x:v>
      </x:c>
      <x:c r="G583" s="25" t="str"/>
      <x:c r="H583" s="27" t="str">
        <x:v>occ_env_exam</x:v>
      </x:c>
      <x:c r="I583" s="27" t="str">
        <x:v>ASM-2026-058</x:v>
      </x:c>
      <x:c r="J583" s="27" t="str">
        <x:v>CHK-2026-058-10</x:v>
      </x:c>
    </x:row>
    <x:row r="584">
      <x:c r="A584" s="28" t="str">
        <x:v>Ward 1</x:v>
      </x:c>
      <x:c r="B584" s="37" t="n">
        <x:v>46145</x:v>
      </x:c>
      <x:c r="C584" s="26" t="str">
        <x:v>RAH01-2026-059</x:v>
      </x:c>
      <x:c r="D584" s="36" t="n">
        <x:v>1</x:v>
      </x:c>
      <x:c r="E584" s="26" t="str">
        <x:v>Fire prevention and suppression system</x:v>
      </x:c>
      <x:c r="F584" s="25" t="str">
        <x:v>YES</x:v>
      </x:c>
      <x:c r="G584" s="25" t="str"/>
      <x:c r="H584" s="27" t="str">
        <x:v>occ_fire_safety</x:v>
      </x:c>
      <x:c r="I584" s="27" t="str">
        <x:v>ASM-2026-059</x:v>
      </x:c>
      <x:c r="J584" s="27" t="str">
        <x:v>CHK-2026-059-01</x:v>
      </x:c>
    </x:row>
    <x:row r="585">
      <x:c r="A585" s="28" t="str">
        <x:v>Ward 1</x:v>
      </x:c>
      <x:c r="B585" s="37" t="n">
        <x:v>46145</x:v>
      </x:c>
      <x:c r="C585" s="26" t="str">
        <x:v>RAH01-2026-059</x:v>
      </x:c>
      <x:c r="D585" s="36" t="n">
        <x:v>2</x:v>
      </x:c>
      <x:c r="E585" s="26" t="str">
        <x:v>Occupational-health education</x:v>
      </x:c>
      <x:c r="F585" s="25" t="str">
        <x:v>YES</x:v>
      </x:c>
      <x:c r="G585" s="25" t="str"/>
      <x:c r="H585" s="27" t="str">
        <x:v>occ_health_education</x:v>
      </x:c>
      <x:c r="I585" s="27" t="str">
        <x:v>ASM-2026-059</x:v>
      </x:c>
      <x:c r="J585" s="27" t="str">
        <x:v>CHK-2026-059-02</x:v>
      </x:c>
    </x:row>
    <x:row r="586">
      <x:c r="A586" s="28" t="str">
        <x:v>Ward 1</x:v>
      </x:c>
      <x:c r="B586" s="37" t="n">
        <x:v>46145</x:v>
      </x:c>
      <x:c r="C586" s="26" t="str">
        <x:v>RAH01-2026-059</x:v>
      </x:c>
      <x:c r="D586" s="36" t="n">
        <x:v>3</x:v>
      </x:c>
      <x:c r="E586" s="26" t="str">
        <x:v>Hazardous-waste management system</x:v>
      </x:c>
      <x:c r="F586" s="25" t="str">
        <x:v>YES</x:v>
      </x:c>
      <x:c r="G586" s="25" t="str"/>
      <x:c r="H586" s="27" t="str">
        <x:v>occ_waste_management</x:v>
      </x:c>
      <x:c r="I586" s="27" t="str">
        <x:v>ASM-2026-059</x:v>
      </x:c>
      <x:c r="J586" s="27" t="str">
        <x:v>CHK-2026-059-03</x:v>
      </x:c>
    </x:row>
    <x:row r="587">
      <x:c r="A587" s="28" t="str">
        <x:v>Ward 1</x:v>
      </x:c>
      <x:c r="B587" s="37" t="n">
        <x:v>46145</x:v>
      </x:c>
      <x:c r="C587" s="26" t="str">
        <x:v>RAH01-2026-059</x:v>
      </x:c>
      <x:c r="D587" s="36" t="n">
        <x:v>4</x:v>
      </x:c>
      <x:c r="E587" s="26" t="str">
        <x:v>Personal protective equipment measures</x:v>
      </x:c>
      <x:c r="F587" s="25" t="str">
        <x:v>YES</x:v>
      </x:c>
      <x:c r="G587" s="25" t="str"/>
      <x:c r="H587" s="27" t="str">
        <x:v>occ_ppe_measures</x:v>
      </x:c>
      <x:c r="I587" s="27" t="str">
        <x:v>ASM-2026-059</x:v>
      </x:c>
      <x:c r="J587" s="27" t="str">
        <x:v>CHK-2026-059-04</x:v>
      </x:c>
    </x:row>
    <x:row r="588">
      <x:c r="A588" s="28" t="str">
        <x:v>Ward 1</x:v>
      </x:c>
      <x:c r="B588" s="37" t="n">
        <x:v>46145</x:v>
      </x:c>
      <x:c r="C588" s="26" t="str">
        <x:v>RAH01-2026-059</x:v>
      </x:c>
      <x:c r="D588" s="36" t="n">
        <x:v>5</x:v>
      </x:c>
      <x:c r="E588" s="26" t="str">
        <x:v>Annual health examination</x:v>
      </x:c>
      <x:c r="F588" s="25" t="str">
        <x:v>YES</x:v>
      </x:c>
      <x:c r="G588" s="25" t="str"/>
      <x:c r="H588" s="27" t="str">
        <x:v>occ_annual_health_exam</x:v>
      </x:c>
      <x:c r="I588" s="27" t="str">
        <x:v>ASM-2026-059</x:v>
      </x:c>
      <x:c r="J588" s="27" t="str">
        <x:v>CHK-2026-059-05</x:v>
      </x:c>
    </x:row>
    <x:row r="589">
      <x:c r="A589" s="28" t="str">
        <x:v>Ward 1</x:v>
      </x:c>
      <x:c r="B589" s="37" t="n">
        <x:v>46145</x:v>
      </x:c>
      <x:c r="C589" s="26" t="str">
        <x:v>RAH01-2026-059</x:v>
      </x:c>
      <x:c r="D589" s="36" t="n">
        <x:v>6</x:v>
      </x:c>
      <x:c r="E589" s="26" t="str">
        <x:v>Risk-based lung-function examination</x:v>
      </x:c>
      <x:c r="F589" s="25" t="str">
        <x:v>NOT_APPLICABLE</x:v>
      </x:c>
      <x:c r="G589" s="25" t="str">
        <x:v>No indicated risk exam lung exposure in this department's current risk profile.</x:v>
      </x:c>
      <x:c r="H589" s="27" t="str">
        <x:v>occ_risk_exam_lung</x:v>
      </x:c>
      <x:c r="I589" s="27" t="str">
        <x:v>ASM-2026-059</x:v>
      </x:c>
      <x:c r="J589" s="27" t="str">
        <x:v>CHK-2026-059-06</x:v>
      </x:c>
    </x:row>
    <x:row r="590">
      <x:c r="A590" s="28" t="str">
        <x:v>Ward 1</x:v>
      </x:c>
      <x:c r="B590" s="37" t="n">
        <x:v>46145</x:v>
      </x:c>
      <x:c r="C590" s="26" t="str">
        <x:v>RAH01-2026-059</x:v>
      </x:c>
      <x:c r="D590" s="36" t="n">
        <x:v>7</x:v>
      </x:c>
      <x:c r="E590" s="26" t="str">
        <x:v>Risk-based hearing examination</x:v>
      </x:c>
      <x:c r="F590" s="25" t="str">
        <x:v>YES</x:v>
      </x:c>
      <x:c r="G590" s="25" t="str"/>
      <x:c r="H590" s="27" t="str">
        <x:v>occ_risk_exam_hearing</x:v>
      </x:c>
      <x:c r="I590" s="27" t="str">
        <x:v>ASM-2026-059</x:v>
      </x:c>
      <x:c r="J590" s="27" t="str">
        <x:v>CHK-2026-059-07</x:v>
      </x:c>
    </x:row>
    <x:row r="591">
      <x:c r="A591" s="28" t="str">
        <x:v>Ward 1</x:v>
      </x:c>
      <x:c r="B591" s="37" t="n">
        <x:v>46145</x:v>
      </x:c>
      <x:c r="C591" s="26" t="str">
        <x:v>RAH01-2026-059</x:v>
      </x:c>
      <x:c r="D591" s="36" t="n">
        <x:v>8</x:v>
      </x:c>
      <x:c r="E591" s="26" t="str">
        <x:v>Risk-based vision examination</x:v>
      </x:c>
      <x:c r="F591" s="25" t="str">
        <x:v>YES</x:v>
      </x:c>
      <x:c r="G591" s="25" t="str"/>
      <x:c r="H591" s="27" t="str">
        <x:v>occ_risk_exam_vision</x:v>
      </x:c>
      <x:c r="I591" s="27" t="str">
        <x:v>ASM-2026-059</x:v>
      </x:c>
      <x:c r="J591" s="27" t="str">
        <x:v>CHK-2026-059-08</x:v>
      </x:c>
    </x:row>
    <x:row r="592">
      <x:c r="A592" s="28" t="str">
        <x:v>Ward 1</x:v>
      </x:c>
      <x:c r="B592" s="37" t="n">
        <x:v>46145</x:v>
      </x:c>
      <x:c r="C592" s="26" t="str">
        <x:v>RAH01-2026-059</x:v>
      </x:c>
      <x:c r="D592" s="36" t="n">
        <x:v>9</x:v>
      </x:c>
      <x:c r="E592" s="26" t="str">
        <x:v>Biological monitoring</x:v>
      </x:c>
      <x:c r="F592" s="25" t="str">
        <x:v>YES</x:v>
      </x:c>
      <x:c r="G592" s="25" t="str"/>
      <x:c r="H592" s="27" t="str">
        <x:v>occ_bio_exam</x:v>
      </x:c>
      <x:c r="I592" s="27" t="str">
        <x:v>ASM-2026-059</x:v>
      </x:c>
      <x:c r="J592" s="27" t="str">
        <x:v>CHK-2026-059-09</x:v>
      </x:c>
    </x:row>
    <x:row r="593">
      <x:c r="A593" s="28" t="str">
        <x:v>Ward 1</x:v>
      </x:c>
      <x:c r="B593" s="37" t="n">
        <x:v>46145</x:v>
      </x:c>
      <x:c r="C593" s="26" t="str">
        <x:v>RAH01-2026-059</x:v>
      </x:c>
      <x:c r="D593" s="36" t="n">
        <x:v>10</x:v>
      </x:c>
      <x:c r="E593" s="26" t="str">
        <x:v>Workplace environmental monitoring</x:v>
      </x:c>
      <x:c r="F593" s="25" t="str">
        <x:v>NOT_APPLICABLE</x:v>
      </x:c>
      <x:c r="G593" s="25" t="str">
        <x:v>No indicated env exam exposure in this department's current risk profile.</x:v>
      </x:c>
      <x:c r="H593" s="27" t="str">
        <x:v>occ_env_exam</x:v>
      </x:c>
      <x:c r="I593" s="27" t="str">
        <x:v>ASM-2026-059</x:v>
      </x:c>
      <x:c r="J593" s="27" t="str">
        <x:v>CHK-2026-059-10</x:v>
      </x:c>
    </x:row>
    <x:row r="594">
      <x:c r="A594" s="28" t="str">
        <x:v>Ward 10</x:v>
      </x:c>
      <x:c r="B594" s="37" t="n">
        <x:v>46058</x:v>
      </x:c>
      <x:c r="C594" s="26" t="str">
        <x:v>RAH01-2026-068</x:v>
      </x:c>
      <x:c r="D594" s="36" t="n">
        <x:v>1</x:v>
      </x:c>
      <x:c r="E594" s="26" t="str">
        <x:v>Fire prevention and suppression system</x:v>
      </x:c>
      <x:c r="F594" s="25" t="str">
        <x:v>NO</x:v>
      </x:c>
      <x:c r="G594" s="25" t="str"/>
      <x:c r="H594" s="27" t="str">
        <x:v>occ_fire_safety</x:v>
      </x:c>
      <x:c r="I594" s="27" t="str">
        <x:v>ASM-2026-068</x:v>
      </x:c>
      <x:c r="J594" s="27" t="str">
        <x:v>CHK-2026-068-01</x:v>
      </x:c>
    </x:row>
    <x:row r="595">
      <x:c r="A595" s="28" t="str">
        <x:v>Ward 10</x:v>
      </x:c>
      <x:c r="B595" s="37" t="n">
        <x:v>46058</x:v>
      </x:c>
      <x:c r="C595" s="26" t="str">
        <x:v>RAH01-2026-068</x:v>
      </x:c>
      <x:c r="D595" s="36" t="n">
        <x:v>2</x:v>
      </x:c>
      <x:c r="E595" s="26" t="str">
        <x:v>Occupational-health education</x:v>
      </x:c>
      <x:c r="F595" s="25" t="str">
        <x:v>YES</x:v>
      </x:c>
      <x:c r="G595" s="25" t="str"/>
      <x:c r="H595" s="27" t="str">
        <x:v>occ_health_education</x:v>
      </x:c>
      <x:c r="I595" s="27" t="str">
        <x:v>ASM-2026-068</x:v>
      </x:c>
      <x:c r="J595" s="27" t="str">
        <x:v>CHK-2026-068-02</x:v>
      </x:c>
    </x:row>
    <x:row r="596">
      <x:c r="A596" s="28" t="str">
        <x:v>Ward 10</x:v>
      </x:c>
      <x:c r="B596" s="37" t="n">
        <x:v>46058</x:v>
      </x:c>
      <x:c r="C596" s="26" t="str">
        <x:v>RAH01-2026-068</x:v>
      </x:c>
      <x:c r="D596" s="36" t="n">
        <x:v>3</x:v>
      </x:c>
      <x:c r="E596" s="26" t="str">
        <x:v>Hazardous-waste management system</x:v>
      </x:c>
      <x:c r="F596" s="25" t="str">
        <x:v>YES</x:v>
      </x:c>
      <x:c r="G596" s="25" t="str"/>
      <x:c r="H596" s="27" t="str">
        <x:v>occ_waste_management</x:v>
      </x:c>
      <x:c r="I596" s="27" t="str">
        <x:v>ASM-2026-068</x:v>
      </x:c>
      <x:c r="J596" s="27" t="str">
        <x:v>CHK-2026-068-03</x:v>
      </x:c>
    </x:row>
    <x:row r="597">
      <x:c r="A597" s="28" t="str">
        <x:v>Ward 10</x:v>
      </x:c>
      <x:c r="B597" s="37" t="n">
        <x:v>46058</x:v>
      </x:c>
      <x:c r="C597" s="26" t="str">
        <x:v>RAH01-2026-068</x:v>
      </x:c>
      <x:c r="D597" s="36" t="n">
        <x:v>4</x:v>
      </x:c>
      <x:c r="E597" s="26" t="str">
        <x:v>Personal protective equipment measures</x:v>
      </x:c>
      <x:c r="F597" s="25" t="str">
        <x:v>YES</x:v>
      </x:c>
      <x:c r="G597" s="25" t="str"/>
      <x:c r="H597" s="27" t="str">
        <x:v>occ_ppe_measures</x:v>
      </x:c>
      <x:c r="I597" s="27" t="str">
        <x:v>ASM-2026-068</x:v>
      </x:c>
      <x:c r="J597" s="27" t="str">
        <x:v>CHK-2026-068-04</x:v>
      </x:c>
    </x:row>
    <x:row r="598">
      <x:c r="A598" s="28" t="str">
        <x:v>Ward 10</x:v>
      </x:c>
      <x:c r="B598" s="37" t="n">
        <x:v>46058</x:v>
      </x:c>
      <x:c r="C598" s="26" t="str">
        <x:v>RAH01-2026-068</x:v>
      </x:c>
      <x:c r="D598" s="36" t="n">
        <x:v>5</x:v>
      </x:c>
      <x:c r="E598" s="26" t="str">
        <x:v>Annual health examination</x:v>
      </x:c>
      <x:c r="F598" s="25" t="str">
        <x:v>YES</x:v>
      </x:c>
      <x:c r="G598" s="25" t="str"/>
      <x:c r="H598" s="27" t="str">
        <x:v>occ_annual_health_exam</x:v>
      </x:c>
      <x:c r="I598" s="27" t="str">
        <x:v>ASM-2026-068</x:v>
      </x:c>
      <x:c r="J598" s="27" t="str">
        <x:v>CHK-2026-068-05</x:v>
      </x:c>
    </x:row>
    <x:row r="599">
      <x:c r="A599" s="28" t="str">
        <x:v>Ward 10</x:v>
      </x:c>
      <x:c r="B599" s="37" t="n">
        <x:v>46058</x:v>
      </x:c>
      <x:c r="C599" s="26" t="str">
        <x:v>RAH01-2026-068</x:v>
      </x:c>
      <x:c r="D599" s="36" t="n">
        <x:v>6</x:v>
      </x:c>
      <x:c r="E599" s="26" t="str">
        <x:v>Risk-based lung-function examination</x:v>
      </x:c>
      <x:c r="F599" s="25" t="str">
        <x:v>YES</x:v>
      </x:c>
      <x:c r="G599" s="25" t="str"/>
      <x:c r="H599" s="27" t="str">
        <x:v>occ_risk_exam_lung</x:v>
      </x:c>
      <x:c r="I599" s="27" t="str">
        <x:v>ASM-2026-068</x:v>
      </x:c>
      <x:c r="J599" s="27" t="str">
        <x:v>CHK-2026-068-06</x:v>
      </x:c>
    </x:row>
    <x:row r="600">
      <x:c r="A600" s="28" t="str">
        <x:v>Ward 10</x:v>
      </x:c>
      <x:c r="B600" s="37" t="n">
        <x:v>46058</x:v>
      </x:c>
      <x:c r="C600" s="26" t="str">
        <x:v>RAH01-2026-068</x:v>
      </x:c>
      <x:c r="D600" s="36" t="n">
        <x:v>7</x:v>
      </x:c>
      <x:c r="E600" s="26" t="str">
        <x:v>Risk-based hearing examination</x:v>
      </x:c>
      <x:c r="F600" s="25" t="str">
        <x:v>YES</x:v>
      </x:c>
      <x:c r="G600" s="25" t="str"/>
      <x:c r="H600" s="27" t="str">
        <x:v>occ_risk_exam_hearing</x:v>
      </x:c>
      <x:c r="I600" s="27" t="str">
        <x:v>ASM-2026-068</x:v>
      </x:c>
      <x:c r="J600" s="27" t="str">
        <x:v>CHK-2026-068-07</x:v>
      </x:c>
    </x:row>
    <x:row r="601">
      <x:c r="A601" s="28" t="str">
        <x:v>Ward 10</x:v>
      </x:c>
      <x:c r="B601" s="37" t="n">
        <x:v>46058</x:v>
      </x:c>
      <x:c r="C601" s="26" t="str">
        <x:v>RAH01-2026-068</x:v>
      </x:c>
      <x:c r="D601" s="36" t="n">
        <x:v>8</x:v>
      </x:c>
      <x:c r="E601" s="26" t="str">
        <x:v>Risk-based vision examination</x:v>
      </x:c>
      <x:c r="F601" s="25" t="str">
        <x:v>YES</x:v>
      </x:c>
      <x:c r="G601" s="25" t="str"/>
      <x:c r="H601" s="27" t="str">
        <x:v>occ_risk_exam_vision</x:v>
      </x:c>
      <x:c r="I601" s="27" t="str">
        <x:v>ASM-2026-068</x:v>
      </x:c>
      <x:c r="J601" s="27" t="str">
        <x:v>CHK-2026-068-08</x:v>
      </x:c>
    </x:row>
    <x:row r="602">
      <x:c r="A602" s="28" t="str">
        <x:v>Ward 10</x:v>
      </x:c>
      <x:c r="B602" s="37" t="n">
        <x:v>46058</x:v>
      </x:c>
      <x:c r="C602" s="26" t="str">
        <x:v>RAH01-2026-068</x:v>
      </x:c>
      <x:c r="D602" s="36" t="n">
        <x:v>9</x:v>
      </x:c>
      <x:c r="E602" s="26" t="str">
        <x:v>Biological monitoring</x:v>
      </x:c>
      <x:c r="F602" s="25" t="str">
        <x:v>NOT_APPLICABLE</x:v>
      </x:c>
      <x:c r="G602" s="25" t="str">
        <x:v>No indicated bio exam exposure in this department's current risk profile.</x:v>
      </x:c>
      <x:c r="H602" s="27" t="str">
        <x:v>occ_bio_exam</x:v>
      </x:c>
      <x:c r="I602" s="27" t="str">
        <x:v>ASM-2026-068</x:v>
      </x:c>
      <x:c r="J602" s="27" t="str">
        <x:v>CHK-2026-068-09</x:v>
      </x:c>
    </x:row>
    <x:row r="603">
      <x:c r="A603" s="28" t="str">
        <x:v>Ward 10</x:v>
      </x:c>
      <x:c r="B603" s="37" t="n">
        <x:v>46058</x:v>
      </x:c>
      <x:c r="C603" s="26" t="str">
        <x:v>RAH01-2026-068</x:v>
      </x:c>
      <x:c r="D603" s="36" t="n">
        <x:v>10</x:v>
      </x:c>
      <x:c r="E603" s="26" t="str">
        <x:v>Workplace environmental monitoring</x:v>
      </x:c>
      <x:c r="F603" s="25" t="str">
        <x:v>YES</x:v>
      </x:c>
      <x:c r="G603" s="25" t="str"/>
      <x:c r="H603" s="27" t="str">
        <x:v>occ_env_exam</x:v>
      </x:c>
      <x:c r="I603" s="27" t="str">
        <x:v>ASM-2026-068</x:v>
      </x:c>
      <x:c r="J603" s="27" t="str">
        <x:v>CHK-2026-068-10</x:v>
      </x:c>
    </x:row>
    <x:row r="604">
      <x:c r="A604" s="28" t="str">
        <x:v>Ward 2</x:v>
      </x:c>
      <x:c r="B604" s="37" t="n">
        <x:v>46179</x:v>
      </x:c>
      <x:c r="C604" s="26" t="str">
        <x:v>RAH01-2026-060</x:v>
      </x:c>
      <x:c r="D604" s="36" t="n">
        <x:v>1</x:v>
      </x:c>
      <x:c r="E604" s="26" t="str">
        <x:v>Fire prevention and suppression system</x:v>
      </x:c>
      <x:c r="F604" s="25" t="str">
        <x:v>YES</x:v>
      </x:c>
      <x:c r="G604" s="25" t="str"/>
      <x:c r="H604" s="27" t="str">
        <x:v>occ_fire_safety</x:v>
      </x:c>
      <x:c r="I604" s="27" t="str">
        <x:v>ASM-2026-060</x:v>
      </x:c>
      <x:c r="J604" s="27" t="str">
        <x:v>CHK-2026-060-01</x:v>
      </x:c>
    </x:row>
    <x:row r="605">
      <x:c r="A605" s="28" t="str">
        <x:v>Ward 2</x:v>
      </x:c>
      <x:c r="B605" s="37" t="n">
        <x:v>46179</x:v>
      </x:c>
      <x:c r="C605" s="26" t="str">
        <x:v>RAH01-2026-060</x:v>
      </x:c>
      <x:c r="D605" s="36" t="n">
        <x:v>2</x:v>
      </x:c>
      <x:c r="E605" s="26" t="str">
        <x:v>Occupational-health education</x:v>
      </x:c>
      <x:c r="F605" s="25" t="str">
        <x:v>YES</x:v>
      </x:c>
      <x:c r="G605" s="25" t="str"/>
      <x:c r="H605" s="27" t="str">
        <x:v>occ_health_education</x:v>
      </x:c>
      <x:c r="I605" s="27" t="str">
        <x:v>ASM-2026-060</x:v>
      </x:c>
      <x:c r="J605" s="27" t="str">
        <x:v>CHK-2026-060-02</x:v>
      </x:c>
    </x:row>
    <x:row r="606">
      <x:c r="A606" s="28" t="str">
        <x:v>Ward 2</x:v>
      </x:c>
      <x:c r="B606" s="37" t="n">
        <x:v>46179</x:v>
      </x:c>
      <x:c r="C606" s="26" t="str">
        <x:v>RAH01-2026-060</x:v>
      </x:c>
      <x:c r="D606" s="36" t="n">
        <x:v>3</x:v>
      </x:c>
      <x:c r="E606" s="26" t="str">
        <x:v>Hazardous-waste management system</x:v>
      </x:c>
      <x:c r="F606" s="25" t="str">
        <x:v>YES</x:v>
      </x:c>
      <x:c r="G606" s="25" t="str"/>
      <x:c r="H606" s="27" t="str">
        <x:v>occ_waste_management</x:v>
      </x:c>
      <x:c r="I606" s="27" t="str">
        <x:v>ASM-2026-060</x:v>
      </x:c>
      <x:c r="J606" s="27" t="str">
        <x:v>CHK-2026-060-03</x:v>
      </x:c>
    </x:row>
    <x:row r="607">
      <x:c r="A607" s="28" t="str">
        <x:v>Ward 2</x:v>
      </x:c>
      <x:c r="B607" s="37" t="n">
        <x:v>46179</x:v>
      </x:c>
      <x:c r="C607" s="26" t="str">
        <x:v>RAH01-2026-060</x:v>
      </x:c>
      <x:c r="D607" s="36" t="n">
        <x:v>4</x:v>
      </x:c>
      <x:c r="E607" s="26" t="str">
        <x:v>Personal protective equipment measures</x:v>
      </x:c>
      <x:c r="F607" s="25" t="str">
        <x:v>YES</x:v>
      </x:c>
      <x:c r="G607" s="25" t="str"/>
      <x:c r="H607" s="27" t="str">
        <x:v>occ_ppe_measures</x:v>
      </x:c>
      <x:c r="I607" s="27" t="str">
        <x:v>ASM-2026-060</x:v>
      </x:c>
      <x:c r="J607" s="27" t="str">
        <x:v>CHK-2026-060-04</x:v>
      </x:c>
    </x:row>
    <x:row r="608">
      <x:c r="A608" s="28" t="str">
        <x:v>Ward 2</x:v>
      </x:c>
      <x:c r="B608" s="37" t="n">
        <x:v>46179</x:v>
      </x:c>
      <x:c r="C608" s="26" t="str">
        <x:v>RAH01-2026-060</x:v>
      </x:c>
      <x:c r="D608" s="36" t="n">
        <x:v>5</x:v>
      </x:c>
      <x:c r="E608" s="26" t="str">
        <x:v>Annual health examination</x:v>
      </x:c>
      <x:c r="F608" s="25" t="str">
        <x:v>YES</x:v>
      </x:c>
      <x:c r="G608" s="25" t="str"/>
      <x:c r="H608" s="27" t="str">
        <x:v>occ_annual_health_exam</x:v>
      </x:c>
      <x:c r="I608" s="27" t="str">
        <x:v>ASM-2026-060</x:v>
      </x:c>
      <x:c r="J608" s="27" t="str">
        <x:v>CHK-2026-060-05</x:v>
      </x:c>
    </x:row>
    <x:row r="609">
      <x:c r="A609" s="28" t="str">
        <x:v>Ward 2</x:v>
      </x:c>
      <x:c r="B609" s="37" t="n">
        <x:v>46179</x:v>
      </x:c>
      <x:c r="C609" s="26" t="str">
        <x:v>RAH01-2026-060</x:v>
      </x:c>
      <x:c r="D609" s="36" t="n">
        <x:v>6</x:v>
      </x:c>
      <x:c r="E609" s="26" t="str">
        <x:v>Risk-based lung-function examination</x:v>
      </x:c>
      <x:c r="F609" s="25" t="str">
        <x:v>YES</x:v>
      </x:c>
      <x:c r="G609" s="25" t="str"/>
      <x:c r="H609" s="27" t="str">
        <x:v>occ_risk_exam_lung</x:v>
      </x:c>
      <x:c r="I609" s="27" t="str">
        <x:v>ASM-2026-060</x:v>
      </x:c>
      <x:c r="J609" s="27" t="str">
        <x:v>CHK-2026-060-06</x:v>
      </x:c>
    </x:row>
    <x:row r="610">
      <x:c r="A610" s="28" t="str">
        <x:v>Ward 2</x:v>
      </x:c>
      <x:c r="B610" s="37" t="n">
        <x:v>46179</x:v>
      </x:c>
      <x:c r="C610" s="26" t="str">
        <x:v>RAH01-2026-060</x:v>
      </x:c>
      <x:c r="D610" s="36" t="n">
        <x:v>7</x:v>
      </x:c>
      <x:c r="E610" s="26" t="str">
        <x:v>Risk-based hearing examination</x:v>
      </x:c>
      <x:c r="F610" s="25" t="str">
        <x:v>YES</x:v>
      </x:c>
      <x:c r="G610" s="25" t="str"/>
      <x:c r="H610" s="27" t="str">
        <x:v>occ_risk_exam_hearing</x:v>
      </x:c>
      <x:c r="I610" s="27" t="str">
        <x:v>ASM-2026-060</x:v>
      </x:c>
      <x:c r="J610" s="27" t="str">
        <x:v>CHK-2026-060-07</x:v>
      </x:c>
    </x:row>
    <x:row r="611">
      <x:c r="A611" s="28" t="str">
        <x:v>Ward 2</x:v>
      </x:c>
      <x:c r="B611" s="37" t="n">
        <x:v>46179</x:v>
      </x:c>
      <x:c r="C611" s="26" t="str">
        <x:v>RAH01-2026-060</x:v>
      </x:c>
      <x:c r="D611" s="36" t="n">
        <x:v>8</x:v>
      </x:c>
      <x:c r="E611" s="26" t="str">
        <x:v>Risk-based vision examination</x:v>
      </x:c>
      <x:c r="F611" s="25" t="str">
        <x:v>NO</x:v>
      </x:c>
      <x:c r="G611" s="25" t="str"/>
      <x:c r="H611" s="27" t="str">
        <x:v>occ_risk_exam_vision</x:v>
      </x:c>
      <x:c r="I611" s="27" t="str">
        <x:v>ASM-2026-060</x:v>
      </x:c>
      <x:c r="J611" s="27" t="str">
        <x:v>CHK-2026-060-08</x:v>
      </x:c>
    </x:row>
    <x:row r="612">
      <x:c r="A612" s="28" t="str">
        <x:v>Ward 2</x:v>
      </x:c>
      <x:c r="B612" s="37" t="n">
        <x:v>46179</x:v>
      </x:c>
      <x:c r="C612" s="26" t="str">
        <x:v>RAH01-2026-060</x:v>
      </x:c>
      <x:c r="D612" s="36" t="n">
        <x:v>9</x:v>
      </x:c>
      <x:c r="E612" s="26" t="str">
        <x:v>Biological monitoring</x:v>
      </x:c>
      <x:c r="F612" s="25" t="str">
        <x:v>NOT_APPLICABLE</x:v>
      </x:c>
      <x:c r="G612" s="25" t="str">
        <x:v>No indicated bio exam exposure in this department's current risk profile.</x:v>
      </x:c>
      <x:c r="H612" s="27" t="str">
        <x:v>occ_bio_exam</x:v>
      </x:c>
      <x:c r="I612" s="27" t="str">
        <x:v>ASM-2026-060</x:v>
      </x:c>
      <x:c r="J612" s="27" t="str">
        <x:v>CHK-2026-060-09</x:v>
      </x:c>
    </x:row>
    <x:row r="613">
      <x:c r="A613" s="28" t="str">
        <x:v>Ward 2</x:v>
      </x:c>
      <x:c r="B613" s="37" t="n">
        <x:v>46179</x:v>
      </x:c>
      <x:c r="C613" s="26" t="str">
        <x:v>RAH01-2026-060</x:v>
      </x:c>
      <x:c r="D613" s="36" t="n">
        <x:v>10</x:v>
      </x:c>
      <x:c r="E613" s="26" t="str">
        <x:v>Workplace environmental monitoring</x:v>
      </x:c>
      <x:c r="F613" s="25" t="str">
        <x:v>YES</x:v>
      </x:c>
      <x:c r="G613" s="25" t="str"/>
      <x:c r="H613" s="27" t="str">
        <x:v>occ_env_exam</x:v>
      </x:c>
      <x:c r="I613" s="27" t="str">
        <x:v>ASM-2026-060</x:v>
      </x:c>
      <x:c r="J613" s="27" t="str">
        <x:v>CHK-2026-060-10</x:v>
      </x:c>
    </x:row>
    <x:row r="614">
      <x:c r="A614" s="28" t="str">
        <x:v>Ward 3</x:v>
      </x:c>
      <x:c r="B614" s="37" t="n">
        <x:v>46031</x:v>
      </x:c>
      <x:c r="C614" s="26" t="str">
        <x:v>RAH01-2026-061</x:v>
      </x:c>
      <x:c r="D614" s="36" t="n">
        <x:v>1</x:v>
      </x:c>
      <x:c r="E614" s="26" t="str">
        <x:v>Fire prevention and suppression system</x:v>
      </x:c>
      <x:c r="F614" s="25" t="str">
        <x:v>YES</x:v>
      </x:c>
      <x:c r="G614" s="25" t="str"/>
      <x:c r="H614" s="27" t="str">
        <x:v>occ_fire_safety</x:v>
      </x:c>
      <x:c r="I614" s="27" t="str">
        <x:v>ASM-2026-061</x:v>
      </x:c>
      <x:c r="J614" s="27" t="str">
        <x:v>CHK-2026-061-01</x:v>
      </x:c>
    </x:row>
    <x:row r="615">
      <x:c r="A615" s="28" t="str">
        <x:v>Ward 3</x:v>
      </x:c>
      <x:c r="B615" s="37" t="n">
        <x:v>46031</x:v>
      </x:c>
      <x:c r="C615" s="26" t="str">
        <x:v>RAH01-2026-061</x:v>
      </x:c>
      <x:c r="D615" s="36" t="n">
        <x:v>2</x:v>
      </x:c>
      <x:c r="E615" s="26" t="str">
        <x:v>Occupational-health education</x:v>
      </x:c>
      <x:c r="F615" s="25" t="str">
        <x:v>YES</x:v>
      </x:c>
      <x:c r="G615" s="25" t="str"/>
      <x:c r="H615" s="27" t="str">
        <x:v>occ_health_education</x:v>
      </x:c>
      <x:c r="I615" s="27" t="str">
        <x:v>ASM-2026-061</x:v>
      </x:c>
      <x:c r="J615" s="27" t="str">
        <x:v>CHK-2026-061-02</x:v>
      </x:c>
    </x:row>
    <x:row r="616">
      <x:c r="A616" s="28" t="str">
        <x:v>Ward 3</x:v>
      </x:c>
      <x:c r="B616" s="37" t="n">
        <x:v>46031</x:v>
      </x:c>
      <x:c r="C616" s="26" t="str">
        <x:v>RAH01-2026-061</x:v>
      </x:c>
      <x:c r="D616" s="36" t="n">
        <x:v>3</x:v>
      </x:c>
      <x:c r="E616" s="26" t="str">
        <x:v>Hazardous-waste management system</x:v>
      </x:c>
      <x:c r="F616" s="25" t="str">
        <x:v>YES</x:v>
      </x:c>
      <x:c r="G616" s="25" t="str"/>
      <x:c r="H616" s="27" t="str">
        <x:v>occ_waste_management</x:v>
      </x:c>
      <x:c r="I616" s="27" t="str">
        <x:v>ASM-2026-061</x:v>
      </x:c>
      <x:c r="J616" s="27" t="str">
        <x:v>CHK-2026-061-03</x:v>
      </x:c>
    </x:row>
    <x:row r="617">
      <x:c r="A617" s="28" t="str">
        <x:v>Ward 3</x:v>
      </x:c>
      <x:c r="B617" s="37" t="n">
        <x:v>46031</x:v>
      </x:c>
      <x:c r="C617" s="26" t="str">
        <x:v>RAH01-2026-061</x:v>
      </x:c>
      <x:c r="D617" s="36" t="n">
        <x:v>4</x:v>
      </x:c>
      <x:c r="E617" s="26" t="str">
        <x:v>Personal protective equipment measures</x:v>
      </x:c>
      <x:c r="F617" s="25" t="str">
        <x:v>YES</x:v>
      </x:c>
      <x:c r="G617" s="25" t="str"/>
      <x:c r="H617" s="27" t="str">
        <x:v>occ_ppe_measures</x:v>
      </x:c>
      <x:c r="I617" s="27" t="str">
        <x:v>ASM-2026-061</x:v>
      </x:c>
      <x:c r="J617" s="27" t="str">
        <x:v>CHK-2026-061-04</x:v>
      </x:c>
    </x:row>
    <x:row r="618">
      <x:c r="A618" s="28" t="str">
        <x:v>Ward 3</x:v>
      </x:c>
      <x:c r="B618" s="37" t="n">
        <x:v>46031</x:v>
      </x:c>
      <x:c r="C618" s="26" t="str">
        <x:v>RAH01-2026-061</x:v>
      </x:c>
      <x:c r="D618" s="36" t="n">
        <x:v>5</x:v>
      </x:c>
      <x:c r="E618" s="26" t="str">
        <x:v>Annual health examination</x:v>
      </x:c>
      <x:c r="F618" s="25" t="str">
        <x:v>NO</x:v>
      </x:c>
      <x:c r="G618" s="25" t="str"/>
      <x:c r="H618" s="27" t="str">
        <x:v>occ_annual_health_exam</x:v>
      </x:c>
      <x:c r="I618" s="27" t="str">
        <x:v>ASM-2026-061</x:v>
      </x:c>
      <x:c r="J618" s="27" t="str">
        <x:v>CHK-2026-061-05</x:v>
      </x:c>
    </x:row>
    <x:row r="619">
      <x:c r="A619" s="28" t="str">
        <x:v>Ward 3</x:v>
      </x:c>
      <x:c r="B619" s="37" t="n">
        <x:v>46031</x:v>
      </x:c>
      <x:c r="C619" s="26" t="str">
        <x:v>RAH01-2026-061</x:v>
      </x:c>
      <x:c r="D619" s="36" t="n">
        <x:v>6</x:v>
      </x:c>
      <x:c r="E619" s="26" t="str">
        <x:v>Risk-based lung-function examination</x:v>
      </x:c>
      <x:c r="F619" s="25" t="str">
        <x:v>YES</x:v>
      </x:c>
      <x:c r="G619" s="25" t="str"/>
      <x:c r="H619" s="27" t="str">
        <x:v>occ_risk_exam_lung</x:v>
      </x:c>
      <x:c r="I619" s="27" t="str">
        <x:v>ASM-2026-061</x:v>
      </x:c>
      <x:c r="J619" s="27" t="str">
        <x:v>CHK-2026-061-06</x:v>
      </x:c>
    </x:row>
    <x:row r="620">
      <x:c r="A620" s="28" t="str">
        <x:v>Ward 3</x:v>
      </x:c>
      <x:c r="B620" s="37" t="n">
        <x:v>46031</x:v>
      </x:c>
      <x:c r="C620" s="26" t="str">
        <x:v>RAH01-2026-061</x:v>
      </x:c>
      <x:c r="D620" s="36" t="n">
        <x:v>7</x:v>
      </x:c>
      <x:c r="E620" s="26" t="str">
        <x:v>Risk-based hearing examination</x:v>
      </x:c>
      <x:c r="F620" s="25" t="str">
        <x:v>YES</x:v>
      </x:c>
      <x:c r="G620" s="25" t="str"/>
      <x:c r="H620" s="27" t="str">
        <x:v>occ_risk_exam_hearing</x:v>
      </x:c>
      <x:c r="I620" s="27" t="str">
        <x:v>ASM-2026-061</x:v>
      </x:c>
      <x:c r="J620" s="27" t="str">
        <x:v>CHK-2026-061-07</x:v>
      </x:c>
    </x:row>
    <x:row r="621">
      <x:c r="A621" s="28" t="str">
        <x:v>Ward 3</x:v>
      </x:c>
      <x:c r="B621" s="37" t="n">
        <x:v>46031</x:v>
      </x:c>
      <x:c r="C621" s="26" t="str">
        <x:v>RAH01-2026-061</x:v>
      </x:c>
      <x:c r="D621" s="36" t="n">
        <x:v>8</x:v>
      </x:c>
      <x:c r="E621" s="26" t="str">
        <x:v>Risk-based vision examination</x:v>
      </x:c>
      <x:c r="F621" s="25" t="str">
        <x:v>NOT_APPLICABLE</x:v>
      </x:c>
      <x:c r="G621" s="25" t="str">
        <x:v>No indicated risk exam vision exposure in this department's current risk profile.</x:v>
      </x:c>
      <x:c r="H621" s="27" t="str">
        <x:v>occ_risk_exam_vision</x:v>
      </x:c>
      <x:c r="I621" s="27" t="str">
        <x:v>ASM-2026-061</x:v>
      </x:c>
      <x:c r="J621" s="27" t="str">
        <x:v>CHK-2026-061-08</x:v>
      </x:c>
    </x:row>
    <x:row r="622">
      <x:c r="A622" s="28" t="str">
        <x:v>Ward 3</x:v>
      </x:c>
      <x:c r="B622" s="37" t="n">
        <x:v>46031</x:v>
      </x:c>
      <x:c r="C622" s="26" t="str">
        <x:v>RAH01-2026-061</x:v>
      </x:c>
      <x:c r="D622" s="36" t="n">
        <x:v>9</x:v>
      </x:c>
      <x:c r="E622" s="26" t="str">
        <x:v>Biological monitoring</x:v>
      </x:c>
      <x:c r="F622" s="25" t="str">
        <x:v>YES</x:v>
      </x:c>
      <x:c r="G622" s="25" t="str"/>
      <x:c r="H622" s="27" t="str">
        <x:v>occ_bio_exam</x:v>
      </x:c>
      <x:c r="I622" s="27" t="str">
        <x:v>ASM-2026-061</x:v>
      </x:c>
      <x:c r="J622" s="27" t="str">
        <x:v>CHK-2026-061-09</x:v>
      </x:c>
    </x:row>
    <x:row r="623">
      <x:c r="A623" s="28" t="str">
        <x:v>Ward 3</x:v>
      </x:c>
      <x:c r="B623" s="37" t="n">
        <x:v>46031</x:v>
      </x:c>
      <x:c r="C623" s="26" t="str">
        <x:v>RAH01-2026-061</x:v>
      </x:c>
      <x:c r="D623" s="36" t="n">
        <x:v>10</x:v>
      </x:c>
      <x:c r="E623" s="26" t="str">
        <x:v>Workplace environmental monitoring</x:v>
      </x:c>
      <x:c r="F623" s="25" t="str">
        <x:v>YES</x:v>
      </x:c>
      <x:c r="G623" s="25" t="str"/>
      <x:c r="H623" s="27" t="str">
        <x:v>occ_env_exam</x:v>
      </x:c>
      <x:c r="I623" s="27" t="str">
        <x:v>ASM-2026-061</x:v>
      </x:c>
      <x:c r="J623" s="27" t="str">
        <x:v>CHK-2026-061-10</x:v>
      </x:c>
    </x:row>
    <x:row r="624">
      <x:c r="A624" s="28" t="str">
        <x:v>Ward 4</x:v>
      </x:c>
      <x:c r="B624" s="37" t="n">
        <x:v>46065</x:v>
      </x:c>
      <x:c r="C624" s="26" t="str">
        <x:v>RAH01-2026-062</x:v>
      </x:c>
      <x:c r="D624" s="36" t="n">
        <x:v>1</x:v>
      </x:c>
      <x:c r="E624" s="26" t="str">
        <x:v>Fire prevention and suppression system</x:v>
      </x:c>
      <x:c r="F624" s="25" t="str">
        <x:v>YES</x:v>
      </x:c>
      <x:c r="G624" s="25" t="str"/>
      <x:c r="H624" s="27" t="str">
        <x:v>occ_fire_safety</x:v>
      </x:c>
      <x:c r="I624" s="27" t="str">
        <x:v>ASM-2026-062</x:v>
      </x:c>
      <x:c r="J624" s="27" t="str">
        <x:v>CHK-2026-062-01</x:v>
      </x:c>
    </x:row>
    <x:row r="625">
      <x:c r="A625" s="28" t="str">
        <x:v>Ward 4</x:v>
      </x:c>
      <x:c r="B625" s="37" t="n">
        <x:v>46065</x:v>
      </x:c>
      <x:c r="C625" s="26" t="str">
        <x:v>RAH01-2026-062</x:v>
      </x:c>
      <x:c r="D625" s="36" t="n">
        <x:v>2</x:v>
      </x:c>
      <x:c r="E625" s="26" t="str">
        <x:v>Occupational-health education</x:v>
      </x:c>
      <x:c r="F625" s="25" t="str">
        <x:v>NO</x:v>
      </x:c>
      <x:c r="G625" s="25" t="str"/>
      <x:c r="H625" s="27" t="str">
        <x:v>occ_health_education</x:v>
      </x:c>
      <x:c r="I625" s="27" t="str">
        <x:v>ASM-2026-062</x:v>
      </x:c>
      <x:c r="J625" s="27" t="str">
        <x:v>CHK-2026-062-02</x:v>
      </x:c>
    </x:row>
    <x:row r="626">
      <x:c r="A626" s="28" t="str">
        <x:v>Ward 4</x:v>
      </x:c>
      <x:c r="B626" s="37" t="n">
        <x:v>46065</x:v>
      </x:c>
      <x:c r="C626" s="26" t="str">
        <x:v>RAH01-2026-062</x:v>
      </x:c>
      <x:c r="D626" s="36" t="n">
        <x:v>3</x:v>
      </x:c>
      <x:c r="E626" s="26" t="str">
        <x:v>Hazardous-waste management system</x:v>
      </x:c>
      <x:c r="F626" s="25" t="str">
        <x:v>YES</x:v>
      </x:c>
      <x:c r="G626" s="25" t="str"/>
      <x:c r="H626" s="27" t="str">
        <x:v>occ_waste_management</x:v>
      </x:c>
      <x:c r="I626" s="27" t="str">
        <x:v>ASM-2026-062</x:v>
      </x:c>
      <x:c r="J626" s="27" t="str">
        <x:v>CHK-2026-062-03</x:v>
      </x:c>
    </x:row>
    <x:row r="627">
      <x:c r="A627" s="28" t="str">
        <x:v>Ward 4</x:v>
      </x:c>
      <x:c r="B627" s="37" t="n">
        <x:v>46065</x:v>
      </x:c>
      <x:c r="C627" s="26" t="str">
        <x:v>RAH01-2026-062</x:v>
      </x:c>
      <x:c r="D627" s="36" t="n">
        <x:v>4</x:v>
      </x:c>
      <x:c r="E627" s="26" t="str">
        <x:v>Personal protective equipment measures</x:v>
      </x:c>
      <x:c r="F627" s="25" t="str">
        <x:v>YES</x:v>
      </x:c>
      <x:c r="G627" s="25" t="str"/>
      <x:c r="H627" s="27" t="str">
        <x:v>occ_ppe_measures</x:v>
      </x:c>
      <x:c r="I627" s="27" t="str">
        <x:v>ASM-2026-062</x:v>
      </x:c>
      <x:c r="J627" s="27" t="str">
        <x:v>CHK-2026-062-04</x:v>
      </x:c>
    </x:row>
    <x:row r="628">
      <x:c r="A628" s="28" t="str">
        <x:v>Ward 4</x:v>
      </x:c>
      <x:c r="B628" s="37" t="n">
        <x:v>46065</x:v>
      </x:c>
      <x:c r="C628" s="26" t="str">
        <x:v>RAH01-2026-062</x:v>
      </x:c>
      <x:c r="D628" s="36" t="n">
        <x:v>5</x:v>
      </x:c>
      <x:c r="E628" s="26" t="str">
        <x:v>Annual health examination</x:v>
      </x:c>
      <x:c r="F628" s="25" t="str">
        <x:v>YES</x:v>
      </x:c>
      <x:c r="G628" s="25" t="str"/>
      <x:c r="H628" s="27" t="str">
        <x:v>occ_annual_health_exam</x:v>
      </x:c>
      <x:c r="I628" s="27" t="str">
        <x:v>ASM-2026-062</x:v>
      </x:c>
      <x:c r="J628" s="27" t="str">
        <x:v>CHK-2026-062-05</x:v>
      </x:c>
    </x:row>
    <x:row r="629">
      <x:c r="A629" s="28" t="str">
        <x:v>Ward 4</x:v>
      </x:c>
      <x:c r="B629" s="37" t="n">
        <x:v>46065</x:v>
      </x:c>
      <x:c r="C629" s="26" t="str">
        <x:v>RAH01-2026-062</x:v>
      </x:c>
      <x:c r="D629" s="36" t="n">
        <x:v>6</x:v>
      </x:c>
      <x:c r="E629" s="26" t="str">
        <x:v>Risk-based lung-function examination</x:v>
      </x:c>
      <x:c r="F629" s="25" t="str">
        <x:v>YES</x:v>
      </x:c>
      <x:c r="G629" s="25" t="str"/>
      <x:c r="H629" s="27" t="str">
        <x:v>occ_risk_exam_lung</x:v>
      </x:c>
      <x:c r="I629" s="27" t="str">
        <x:v>ASM-2026-062</x:v>
      </x:c>
      <x:c r="J629" s="27" t="str">
        <x:v>CHK-2026-062-06</x:v>
      </x:c>
    </x:row>
    <x:row r="630">
      <x:c r="A630" s="28" t="str">
        <x:v>Ward 4</x:v>
      </x:c>
      <x:c r="B630" s="37" t="n">
        <x:v>46065</x:v>
      </x:c>
      <x:c r="C630" s="26" t="str">
        <x:v>RAH01-2026-062</x:v>
      </x:c>
      <x:c r="D630" s="36" t="n">
        <x:v>7</x:v>
      </x:c>
      <x:c r="E630" s="26" t="str">
        <x:v>Risk-based hearing examination</x:v>
      </x:c>
      <x:c r="F630" s="25" t="str">
        <x:v>NOT_APPLICABLE</x:v>
      </x:c>
      <x:c r="G630" s="25" t="str">
        <x:v>No indicated risk exam hearing exposure in this department's current risk profile.</x:v>
      </x:c>
      <x:c r="H630" s="27" t="str">
        <x:v>occ_risk_exam_hearing</x:v>
      </x:c>
      <x:c r="I630" s="27" t="str">
        <x:v>ASM-2026-062</x:v>
      </x:c>
      <x:c r="J630" s="27" t="str">
        <x:v>CHK-2026-062-07</x:v>
      </x:c>
    </x:row>
    <x:row r="631">
      <x:c r="A631" s="28" t="str">
        <x:v>Ward 4</x:v>
      </x:c>
      <x:c r="B631" s="37" t="n">
        <x:v>46065</x:v>
      </x:c>
      <x:c r="C631" s="26" t="str">
        <x:v>RAH01-2026-062</x:v>
      </x:c>
      <x:c r="D631" s="36" t="n">
        <x:v>8</x:v>
      </x:c>
      <x:c r="E631" s="26" t="str">
        <x:v>Risk-based vision examination</x:v>
      </x:c>
      <x:c r="F631" s="25" t="str">
        <x:v>YES</x:v>
      </x:c>
      <x:c r="G631" s="25" t="str"/>
      <x:c r="H631" s="27" t="str">
        <x:v>occ_risk_exam_vision</x:v>
      </x:c>
      <x:c r="I631" s="27" t="str">
        <x:v>ASM-2026-062</x:v>
      </x:c>
      <x:c r="J631" s="27" t="str">
        <x:v>CHK-2026-062-08</x:v>
      </x:c>
    </x:row>
    <x:row r="632">
      <x:c r="A632" s="28" t="str">
        <x:v>Ward 4</x:v>
      </x:c>
      <x:c r="B632" s="37" t="n">
        <x:v>46065</x:v>
      </x:c>
      <x:c r="C632" s="26" t="str">
        <x:v>RAH01-2026-062</x:v>
      </x:c>
      <x:c r="D632" s="36" t="n">
        <x:v>9</x:v>
      </x:c>
      <x:c r="E632" s="26" t="str">
        <x:v>Biological monitoring</x:v>
      </x:c>
      <x:c r="F632" s="25" t="str">
        <x:v>YES</x:v>
      </x:c>
      <x:c r="G632" s="25" t="str"/>
      <x:c r="H632" s="27" t="str">
        <x:v>occ_bio_exam</x:v>
      </x:c>
      <x:c r="I632" s="27" t="str">
        <x:v>ASM-2026-062</x:v>
      </x:c>
      <x:c r="J632" s="27" t="str">
        <x:v>CHK-2026-062-09</x:v>
      </x:c>
    </x:row>
    <x:row r="633">
      <x:c r="A633" s="28" t="str">
        <x:v>Ward 4</x:v>
      </x:c>
      <x:c r="B633" s="37" t="n">
        <x:v>46065</x:v>
      </x:c>
      <x:c r="C633" s="26" t="str">
        <x:v>RAH01-2026-062</x:v>
      </x:c>
      <x:c r="D633" s="36" t="n">
        <x:v>10</x:v>
      </x:c>
      <x:c r="E633" s="26" t="str">
        <x:v>Workplace environmental monitoring</x:v>
      </x:c>
      <x:c r="F633" s="25" t="str">
        <x:v>YES</x:v>
      </x:c>
      <x:c r="G633" s="25" t="str"/>
      <x:c r="H633" s="27" t="str">
        <x:v>occ_env_exam</x:v>
      </x:c>
      <x:c r="I633" s="27" t="str">
        <x:v>ASM-2026-062</x:v>
      </x:c>
      <x:c r="J633" s="27" t="str">
        <x:v>CHK-2026-062-10</x:v>
      </x:c>
    </x:row>
    <x:row r="634">
      <x:c r="A634" s="28" t="str">
        <x:v>Ward 5</x:v>
      </x:c>
      <x:c r="B634" s="37" t="n">
        <x:v>46096</x:v>
      </x:c>
      <x:c r="C634" s="26" t="str">
        <x:v>RAH01-2026-063</x:v>
      </x:c>
      <x:c r="D634" s="36" t="n">
        <x:v>1</x:v>
      </x:c>
      <x:c r="E634" s="26" t="str">
        <x:v>Fire prevention and suppression system</x:v>
      </x:c>
      <x:c r="F634" s="25" t="str">
        <x:v>YES</x:v>
      </x:c>
      <x:c r="G634" s="25" t="str"/>
      <x:c r="H634" s="27" t="str">
        <x:v>occ_fire_safety</x:v>
      </x:c>
      <x:c r="I634" s="27" t="str">
        <x:v>ASM-2026-063</x:v>
      </x:c>
      <x:c r="J634" s="27" t="str">
        <x:v>CHK-2026-063-01</x:v>
      </x:c>
    </x:row>
    <x:row r="635">
      <x:c r="A635" s="28" t="str">
        <x:v>Ward 5</x:v>
      </x:c>
      <x:c r="B635" s="37" t="n">
        <x:v>46096</x:v>
      </x:c>
      <x:c r="C635" s="26" t="str">
        <x:v>RAH01-2026-063</x:v>
      </x:c>
      <x:c r="D635" s="36" t="n">
        <x:v>2</x:v>
      </x:c>
      <x:c r="E635" s="26" t="str">
        <x:v>Occupational-health education</x:v>
      </x:c>
      <x:c r="F635" s="25" t="str">
        <x:v>YES</x:v>
      </x:c>
      <x:c r="G635" s="25" t="str"/>
      <x:c r="H635" s="27" t="str">
        <x:v>occ_health_education</x:v>
      </x:c>
      <x:c r="I635" s="27" t="str">
        <x:v>ASM-2026-063</x:v>
      </x:c>
      <x:c r="J635" s="27" t="str">
        <x:v>CHK-2026-063-02</x:v>
      </x:c>
    </x:row>
    <x:row r="636">
      <x:c r="A636" s="28" t="str">
        <x:v>Ward 5</x:v>
      </x:c>
      <x:c r="B636" s="37" t="n">
        <x:v>46096</x:v>
      </x:c>
      <x:c r="C636" s="26" t="str">
        <x:v>RAH01-2026-063</x:v>
      </x:c>
      <x:c r="D636" s="36" t="n">
        <x:v>3</x:v>
      </x:c>
      <x:c r="E636" s="26" t="str">
        <x:v>Hazardous-waste management system</x:v>
      </x:c>
      <x:c r="F636" s="25" t="str">
        <x:v>YES</x:v>
      </x:c>
      <x:c r="G636" s="25" t="str"/>
      <x:c r="H636" s="27" t="str">
        <x:v>occ_waste_management</x:v>
      </x:c>
      <x:c r="I636" s="27" t="str">
        <x:v>ASM-2026-063</x:v>
      </x:c>
      <x:c r="J636" s="27" t="str">
        <x:v>CHK-2026-063-03</x:v>
      </x:c>
    </x:row>
    <x:row r="637">
      <x:c r="A637" s="28" t="str">
        <x:v>Ward 5</x:v>
      </x:c>
      <x:c r="B637" s="37" t="n">
        <x:v>46096</x:v>
      </x:c>
      <x:c r="C637" s="26" t="str">
        <x:v>RAH01-2026-063</x:v>
      </x:c>
      <x:c r="D637" s="36" t="n">
        <x:v>4</x:v>
      </x:c>
      <x:c r="E637" s="26" t="str">
        <x:v>Personal protective equipment measures</x:v>
      </x:c>
      <x:c r="F637" s="25" t="str">
        <x:v>YES</x:v>
      </x:c>
      <x:c r="G637" s="25" t="str"/>
      <x:c r="H637" s="27" t="str">
        <x:v>occ_ppe_measures</x:v>
      </x:c>
      <x:c r="I637" s="27" t="str">
        <x:v>ASM-2026-063</x:v>
      </x:c>
      <x:c r="J637" s="27" t="str">
        <x:v>CHK-2026-063-04</x:v>
      </x:c>
    </x:row>
    <x:row r="638">
      <x:c r="A638" s="28" t="str">
        <x:v>Ward 5</x:v>
      </x:c>
      <x:c r="B638" s="37" t="n">
        <x:v>46096</x:v>
      </x:c>
      <x:c r="C638" s="26" t="str">
        <x:v>RAH01-2026-063</x:v>
      </x:c>
      <x:c r="D638" s="36" t="n">
        <x:v>5</x:v>
      </x:c>
      <x:c r="E638" s="26" t="str">
        <x:v>Annual health examination</x:v>
      </x:c>
      <x:c r="F638" s="25" t="str">
        <x:v>YES</x:v>
      </x:c>
      <x:c r="G638" s="25" t="str"/>
      <x:c r="H638" s="27" t="str">
        <x:v>occ_annual_health_exam</x:v>
      </x:c>
      <x:c r="I638" s="27" t="str">
        <x:v>ASM-2026-063</x:v>
      </x:c>
      <x:c r="J638" s="27" t="str">
        <x:v>CHK-2026-063-05</x:v>
      </x:c>
    </x:row>
    <x:row r="639">
      <x:c r="A639" s="28" t="str">
        <x:v>Ward 5</x:v>
      </x:c>
      <x:c r="B639" s="37" t="n">
        <x:v>46096</x:v>
      </x:c>
      <x:c r="C639" s="26" t="str">
        <x:v>RAH01-2026-063</x:v>
      </x:c>
      <x:c r="D639" s="36" t="n">
        <x:v>6</x:v>
      </x:c>
      <x:c r="E639" s="26" t="str">
        <x:v>Risk-based lung-function examination</x:v>
      </x:c>
      <x:c r="F639" s="25" t="str">
        <x:v>NOT_APPLICABLE</x:v>
      </x:c>
      <x:c r="G639" s="25" t="str">
        <x:v>No indicated risk exam lung exposure in this department's current risk profile.</x:v>
      </x:c>
      <x:c r="H639" s="27" t="str">
        <x:v>occ_risk_exam_lung</x:v>
      </x:c>
      <x:c r="I639" s="27" t="str">
        <x:v>ASM-2026-063</x:v>
      </x:c>
      <x:c r="J639" s="27" t="str">
        <x:v>CHK-2026-063-06</x:v>
      </x:c>
    </x:row>
    <x:row r="640">
      <x:c r="A640" s="28" t="str">
        <x:v>Ward 5</x:v>
      </x:c>
      <x:c r="B640" s="37" t="n">
        <x:v>46096</x:v>
      </x:c>
      <x:c r="C640" s="26" t="str">
        <x:v>RAH01-2026-063</x:v>
      </x:c>
      <x:c r="D640" s="36" t="n">
        <x:v>7</x:v>
      </x:c>
      <x:c r="E640" s="26" t="str">
        <x:v>Risk-based hearing examination</x:v>
      </x:c>
      <x:c r="F640" s="25" t="str">
        <x:v>YES</x:v>
      </x:c>
      <x:c r="G640" s="25" t="str"/>
      <x:c r="H640" s="27" t="str">
        <x:v>occ_risk_exam_hearing</x:v>
      </x:c>
      <x:c r="I640" s="27" t="str">
        <x:v>ASM-2026-063</x:v>
      </x:c>
      <x:c r="J640" s="27" t="str">
        <x:v>CHK-2026-063-07</x:v>
      </x:c>
    </x:row>
    <x:row r="641">
      <x:c r="A641" s="28" t="str">
        <x:v>Ward 5</x:v>
      </x:c>
      <x:c r="B641" s="37" t="n">
        <x:v>46096</x:v>
      </x:c>
      <x:c r="C641" s="26" t="str">
        <x:v>RAH01-2026-063</x:v>
      </x:c>
      <x:c r="D641" s="36" t="n">
        <x:v>8</x:v>
      </x:c>
      <x:c r="E641" s="26" t="str">
        <x:v>Risk-based vision examination</x:v>
      </x:c>
      <x:c r="F641" s="25" t="str">
        <x:v>YES</x:v>
      </x:c>
      <x:c r="G641" s="25" t="str"/>
      <x:c r="H641" s="27" t="str">
        <x:v>occ_risk_exam_vision</x:v>
      </x:c>
      <x:c r="I641" s="27" t="str">
        <x:v>ASM-2026-063</x:v>
      </x:c>
      <x:c r="J641" s="27" t="str">
        <x:v>CHK-2026-063-08</x:v>
      </x:c>
    </x:row>
    <x:row r="642">
      <x:c r="A642" s="28" t="str">
        <x:v>Ward 5</x:v>
      </x:c>
      <x:c r="B642" s="37" t="n">
        <x:v>46096</x:v>
      </x:c>
      <x:c r="C642" s="26" t="str">
        <x:v>RAH01-2026-063</x:v>
      </x:c>
      <x:c r="D642" s="36" t="n">
        <x:v>9</x:v>
      </x:c>
      <x:c r="E642" s="26" t="str">
        <x:v>Biological monitoring</x:v>
      </x:c>
      <x:c r="F642" s="25" t="str">
        <x:v>YES</x:v>
      </x:c>
      <x:c r="G642" s="25" t="str"/>
      <x:c r="H642" s="27" t="str">
        <x:v>occ_bio_exam</x:v>
      </x:c>
      <x:c r="I642" s="27" t="str">
        <x:v>ASM-2026-063</x:v>
      </x:c>
      <x:c r="J642" s="27" t="str">
        <x:v>CHK-2026-063-09</x:v>
      </x:c>
    </x:row>
    <x:row r="643">
      <x:c r="A643" s="28" t="str">
        <x:v>Ward 5</x:v>
      </x:c>
      <x:c r="B643" s="37" t="n">
        <x:v>46096</x:v>
      </x:c>
      <x:c r="C643" s="26" t="str">
        <x:v>RAH01-2026-063</x:v>
      </x:c>
      <x:c r="D643" s="36" t="n">
        <x:v>10</x:v>
      </x:c>
      <x:c r="E643" s="26" t="str">
        <x:v>Workplace environmental monitoring</x:v>
      </x:c>
      <x:c r="F643" s="25" t="str">
        <x:v>NOT_APPLICABLE</x:v>
      </x:c>
      <x:c r="G643" s="25" t="str">
        <x:v>No indicated env exam exposure in this department's current risk profile.</x:v>
      </x:c>
      <x:c r="H643" s="27" t="str">
        <x:v>occ_env_exam</x:v>
      </x:c>
      <x:c r="I643" s="27" t="str">
        <x:v>ASM-2026-063</x:v>
      </x:c>
      <x:c r="J643" s="27" t="str">
        <x:v>CHK-2026-063-10</x:v>
      </x:c>
    </x:row>
    <x:row r="644">
      <x:c r="A644" s="28" t="str">
        <x:v>Ward 6</x:v>
      </x:c>
      <x:c r="B644" s="37" t="n">
        <x:v>46130</x:v>
      </x:c>
      <x:c r="C644" s="26" t="str">
        <x:v>RAH01-2026-064</x:v>
      </x:c>
      <x:c r="D644" s="36" t="n">
        <x:v>1</x:v>
      </x:c>
      <x:c r="E644" s="26" t="str">
        <x:v>Fire prevention and suppression system</x:v>
      </x:c>
      <x:c r="F644" s="25" t="str">
        <x:v>YES</x:v>
      </x:c>
      <x:c r="G644" s="25" t="str"/>
      <x:c r="H644" s="27" t="str">
        <x:v>occ_fire_safety</x:v>
      </x:c>
      <x:c r="I644" s="27" t="str">
        <x:v>ASM-2026-064</x:v>
      </x:c>
      <x:c r="J644" s="27" t="str">
        <x:v>CHK-2026-064-01</x:v>
      </x:c>
    </x:row>
    <x:row r="645">
      <x:c r="A645" s="28" t="str">
        <x:v>Ward 6</x:v>
      </x:c>
      <x:c r="B645" s="37" t="n">
        <x:v>46130</x:v>
      </x:c>
      <x:c r="C645" s="26" t="str">
        <x:v>RAH01-2026-064</x:v>
      </x:c>
      <x:c r="D645" s="36" t="n">
        <x:v>2</x:v>
      </x:c>
      <x:c r="E645" s="26" t="str">
        <x:v>Occupational-health education</x:v>
      </x:c>
      <x:c r="F645" s="25" t="str">
        <x:v>YES</x:v>
      </x:c>
      <x:c r="G645" s="25" t="str"/>
      <x:c r="H645" s="27" t="str">
        <x:v>occ_health_education</x:v>
      </x:c>
      <x:c r="I645" s="27" t="str">
        <x:v>ASM-2026-064</x:v>
      </x:c>
      <x:c r="J645" s="27" t="str">
        <x:v>CHK-2026-064-02</x:v>
      </x:c>
    </x:row>
    <x:row r="646">
      <x:c r="A646" s="28" t="str">
        <x:v>Ward 6</x:v>
      </x:c>
      <x:c r="B646" s="37" t="n">
        <x:v>46130</x:v>
      </x:c>
      <x:c r="C646" s="26" t="str">
        <x:v>RAH01-2026-064</x:v>
      </x:c>
      <x:c r="D646" s="36" t="n">
        <x:v>3</x:v>
      </x:c>
      <x:c r="E646" s="26" t="str">
        <x:v>Hazardous-waste management system</x:v>
      </x:c>
      <x:c r="F646" s="25" t="str">
        <x:v>YES</x:v>
      </x:c>
      <x:c r="G646" s="25" t="str"/>
      <x:c r="H646" s="27" t="str">
        <x:v>occ_waste_management</x:v>
      </x:c>
      <x:c r="I646" s="27" t="str">
        <x:v>ASM-2026-064</x:v>
      </x:c>
      <x:c r="J646" s="27" t="str">
        <x:v>CHK-2026-064-03</x:v>
      </x:c>
    </x:row>
    <x:row r="647">
      <x:c r="A647" s="28" t="str">
        <x:v>Ward 6</x:v>
      </x:c>
      <x:c r="B647" s="37" t="n">
        <x:v>46130</x:v>
      </x:c>
      <x:c r="C647" s="26" t="str">
        <x:v>RAH01-2026-064</x:v>
      </x:c>
      <x:c r="D647" s="36" t="n">
        <x:v>4</x:v>
      </x:c>
      <x:c r="E647" s="26" t="str">
        <x:v>Personal protective equipment measures</x:v>
      </x:c>
      <x:c r="F647" s="25" t="str">
        <x:v>YES</x:v>
      </x:c>
      <x:c r="G647" s="25" t="str"/>
      <x:c r="H647" s="27" t="str">
        <x:v>occ_ppe_measures</x:v>
      </x:c>
      <x:c r="I647" s="27" t="str">
        <x:v>ASM-2026-064</x:v>
      </x:c>
      <x:c r="J647" s="27" t="str">
        <x:v>CHK-2026-064-04</x:v>
      </x:c>
    </x:row>
    <x:row r="648">
      <x:c r="A648" s="28" t="str">
        <x:v>Ward 6</x:v>
      </x:c>
      <x:c r="B648" s="37" t="n">
        <x:v>46130</x:v>
      </x:c>
      <x:c r="C648" s="26" t="str">
        <x:v>RAH01-2026-064</x:v>
      </x:c>
      <x:c r="D648" s="36" t="n">
        <x:v>5</x:v>
      </x:c>
      <x:c r="E648" s="26" t="str">
        <x:v>Annual health examination</x:v>
      </x:c>
      <x:c r="F648" s="25" t="str">
        <x:v>YES</x:v>
      </x:c>
      <x:c r="G648" s="25" t="str"/>
      <x:c r="H648" s="27" t="str">
        <x:v>occ_annual_health_exam</x:v>
      </x:c>
      <x:c r="I648" s="27" t="str">
        <x:v>ASM-2026-064</x:v>
      </x:c>
      <x:c r="J648" s="27" t="str">
        <x:v>CHK-2026-064-05</x:v>
      </x:c>
    </x:row>
    <x:row r="649">
      <x:c r="A649" s="28" t="str">
        <x:v>Ward 6</x:v>
      </x:c>
      <x:c r="B649" s="37" t="n">
        <x:v>46130</x:v>
      </x:c>
      <x:c r="C649" s="26" t="str">
        <x:v>RAH01-2026-064</x:v>
      </x:c>
      <x:c r="D649" s="36" t="n">
        <x:v>6</x:v>
      </x:c>
      <x:c r="E649" s="26" t="str">
        <x:v>Risk-based lung-function examination</x:v>
      </x:c>
      <x:c r="F649" s="25" t="str">
        <x:v>YES</x:v>
      </x:c>
      <x:c r="G649" s="25" t="str"/>
      <x:c r="H649" s="27" t="str">
        <x:v>occ_risk_exam_lung</x:v>
      </x:c>
      <x:c r="I649" s="27" t="str">
        <x:v>ASM-2026-064</x:v>
      </x:c>
      <x:c r="J649" s="27" t="str">
        <x:v>CHK-2026-064-06</x:v>
      </x:c>
    </x:row>
    <x:row r="650">
      <x:c r="A650" s="28" t="str">
        <x:v>Ward 6</x:v>
      </x:c>
      <x:c r="B650" s="37" t="n">
        <x:v>46130</x:v>
      </x:c>
      <x:c r="C650" s="26" t="str">
        <x:v>RAH01-2026-064</x:v>
      </x:c>
      <x:c r="D650" s="36" t="n">
        <x:v>7</x:v>
      </x:c>
      <x:c r="E650" s="26" t="str">
        <x:v>Risk-based hearing examination</x:v>
      </x:c>
      <x:c r="F650" s="25" t="str">
        <x:v>YES</x:v>
      </x:c>
      <x:c r="G650" s="25" t="str"/>
      <x:c r="H650" s="27" t="str">
        <x:v>occ_risk_exam_hearing</x:v>
      </x:c>
      <x:c r="I650" s="27" t="str">
        <x:v>ASM-2026-064</x:v>
      </x:c>
      <x:c r="J650" s="27" t="str">
        <x:v>CHK-2026-064-07</x:v>
      </x:c>
    </x:row>
    <x:row r="651">
      <x:c r="A651" s="28" t="str">
        <x:v>Ward 6</x:v>
      </x:c>
      <x:c r="B651" s="37" t="n">
        <x:v>46130</x:v>
      </x:c>
      <x:c r="C651" s="26" t="str">
        <x:v>RAH01-2026-064</x:v>
      </x:c>
      <x:c r="D651" s="36" t="n">
        <x:v>8</x:v>
      </x:c>
      <x:c r="E651" s="26" t="str">
        <x:v>Risk-based vision examination</x:v>
      </x:c>
      <x:c r="F651" s="25" t="str">
        <x:v>YES</x:v>
      </x:c>
      <x:c r="G651" s="25" t="str"/>
      <x:c r="H651" s="27" t="str">
        <x:v>occ_risk_exam_vision</x:v>
      </x:c>
      <x:c r="I651" s="27" t="str">
        <x:v>ASM-2026-064</x:v>
      </x:c>
      <x:c r="J651" s="27" t="str">
        <x:v>CHK-2026-064-08</x:v>
      </x:c>
    </x:row>
    <x:row r="652">
      <x:c r="A652" s="28" t="str">
        <x:v>Ward 6</x:v>
      </x:c>
      <x:c r="B652" s="37" t="n">
        <x:v>46130</x:v>
      </x:c>
      <x:c r="C652" s="26" t="str">
        <x:v>RAH01-2026-064</x:v>
      </x:c>
      <x:c r="D652" s="36" t="n">
        <x:v>9</x:v>
      </x:c>
      <x:c r="E652" s="26" t="str">
        <x:v>Biological monitoring</x:v>
      </x:c>
      <x:c r="F652" s="25" t="str">
        <x:v>NOT_APPLICABLE</x:v>
      </x:c>
      <x:c r="G652" s="25" t="str">
        <x:v>No indicated bio exam exposure in this department's current risk profile.</x:v>
      </x:c>
      <x:c r="H652" s="27" t="str">
        <x:v>occ_bio_exam</x:v>
      </x:c>
      <x:c r="I652" s="27" t="str">
        <x:v>ASM-2026-064</x:v>
      </x:c>
      <x:c r="J652" s="27" t="str">
        <x:v>CHK-2026-064-09</x:v>
      </x:c>
    </x:row>
    <x:row r="653">
      <x:c r="A653" s="28" t="str">
        <x:v>Ward 6</x:v>
      </x:c>
      <x:c r="B653" s="37" t="n">
        <x:v>46130</x:v>
      </x:c>
      <x:c r="C653" s="26" t="str">
        <x:v>RAH01-2026-064</x:v>
      </x:c>
      <x:c r="D653" s="36" t="n">
        <x:v>10</x:v>
      </x:c>
      <x:c r="E653" s="26" t="str">
        <x:v>Workplace environmental monitoring</x:v>
      </x:c>
      <x:c r="F653" s="25" t="str">
        <x:v>YES</x:v>
      </x:c>
      <x:c r="G653" s="25" t="str"/>
      <x:c r="H653" s="27" t="str">
        <x:v>occ_env_exam</x:v>
      </x:c>
      <x:c r="I653" s="27" t="str">
        <x:v>ASM-2026-064</x:v>
      </x:c>
      <x:c r="J653" s="27" t="str">
        <x:v>CHK-2026-064-10</x:v>
      </x:c>
    </x:row>
    <x:row r="654">
      <x:c r="A654" s="28" t="str">
        <x:v>Ward 7</x:v>
      </x:c>
      <x:c r="B654" s="37" t="n">
        <x:v>46163</x:v>
      </x:c>
      <x:c r="C654" s="26" t="str">
        <x:v>RAH01-2026-065</x:v>
      </x:c>
      <x:c r="D654" s="36" t="n">
        <x:v>1</x:v>
      </x:c>
      <x:c r="E654" s="26" t="str">
        <x:v>Fire prevention and suppression system</x:v>
      </x:c>
      <x:c r="F654" s="25" t="str">
        <x:v>YES</x:v>
      </x:c>
      <x:c r="G654" s="25" t="str"/>
      <x:c r="H654" s="27" t="str">
        <x:v>occ_fire_safety</x:v>
      </x:c>
      <x:c r="I654" s="27" t="str">
        <x:v>ASM-2026-065</x:v>
      </x:c>
      <x:c r="J654" s="27" t="str">
        <x:v>CHK-2026-065-01</x:v>
      </x:c>
    </x:row>
    <x:row r="655">
      <x:c r="A655" s="28" t="str">
        <x:v>Ward 7</x:v>
      </x:c>
      <x:c r="B655" s="37" t="n">
        <x:v>46163</x:v>
      </x:c>
      <x:c r="C655" s="26" t="str">
        <x:v>RAH01-2026-065</x:v>
      </x:c>
      <x:c r="D655" s="36" t="n">
        <x:v>2</x:v>
      </x:c>
      <x:c r="E655" s="26" t="str">
        <x:v>Occupational-health education</x:v>
      </x:c>
      <x:c r="F655" s="25" t="str">
        <x:v>YES</x:v>
      </x:c>
      <x:c r="G655" s="25" t="str"/>
      <x:c r="H655" s="27" t="str">
        <x:v>occ_health_education</x:v>
      </x:c>
      <x:c r="I655" s="27" t="str">
        <x:v>ASM-2026-065</x:v>
      </x:c>
      <x:c r="J655" s="27" t="str">
        <x:v>CHK-2026-065-02</x:v>
      </x:c>
    </x:row>
    <x:row r="656">
      <x:c r="A656" s="28" t="str">
        <x:v>Ward 7</x:v>
      </x:c>
      <x:c r="B656" s="37" t="n">
        <x:v>46163</x:v>
      </x:c>
      <x:c r="C656" s="26" t="str">
        <x:v>RAH01-2026-065</x:v>
      </x:c>
      <x:c r="D656" s="36" t="n">
        <x:v>3</x:v>
      </x:c>
      <x:c r="E656" s="26" t="str">
        <x:v>Hazardous-waste management system</x:v>
      </x:c>
      <x:c r="F656" s="25" t="str">
        <x:v>YES</x:v>
      </x:c>
      <x:c r="G656" s="25" t="str"/>
      <x:c r="H656" s="27" t="str">
        <x:v>occ_waste_management</x:v>
      </x:c>
      <x:c r="I656" s="27" t="str">
        <x:v>ASM-2026-065</x:v>
      </x:c>
      <x:c r="J656" s="27" t="str">
        <x:v>CHK-2026-065-03</x:v>
      </x:c>
    </x:row>
    <x:row r="657">
      <x:c r="A657" s="28" t="str">
        <x:v>Ward 7</x:v>
      </x:c>
      <x:c r="B657" s="37" t="n">
        <x:v>46163</x:v>
      </x:c>
      <x:c r="C657" s="26" t="str">
        <x:v>RAH01-2026-065</x:v>
      </x:c>
      <x:c r="D657" s="36" t="n">
        <x:v>4</x:v>
      </x:c>
      <x:c r="E657" s="26" t="str">
        <x:v>Personal protective equipment measures</x:v>
      </x:c>
      <x:c r="F657" s="25" t="str">
        <x:v>YES</x:v>
      </x:c>
      <x:c r="G657" s="25" t="str"/>
      <x:c r="H657" s="27" t="str">
        <x:v>occ_ppe_measures</x:v>
      </x:c>
      <x:c r="I657" s="27" t="str">
        <x:v>ASM-2026-065</x:v>
      </x:c>
      <x:c r="J657" s="27" t="str">
        <x:v>CHK-2026-065-04</x:v>
      </x:c>
    </x:row>
    <x:row r="658">
      <x:c r="A658" s="28" t="str">
        <x:v>Ward 7</x:v>
      </x:c>
      <x:c r="B658" s="37" t="n">
        <x:v>46163</x:v>
      </x:c>
      <x:c r="C658" s="26" t="str">
        <x:v>RAH01-2026-065</x:v>
      </x:c>
      <x:c r="D658" s="36" t="n">
        <x:v>5</x:v>
      </x:c>
      <x:c r="E658" s="26" t="str">
        <x:v>Annual health examination</x:v>
      </x:c>
      <x:c r="F658" s="25" t="str">
        <x:v>YES</x:v>
      </x:c>
      <x:c r="G658" s="25" t="str"/>
      <x:c r="H658" s="27" t="str">
        <x:v>occ_annual_health_exam</x:v>
      </x:c>
      <x:c r="I658" s="27" t="str">
        <x:v>ASM-2026-065</x:v>
      </x:c>
      <x:c r="J658" s="27" t="str">
        <x:v>CHK-2026-065-05</x:v>
      </x:c>
    </x:row>
    <x:row r="659">
      <x:c r="A659" s="28" t="str">
        <x:v>Ward 7</x:v>
      </x:c>
      <x:c r="B659" s="37" t="n">
        <x:v>46163</x:v>
      </x:c>
      <x:c r="C659" s="26" t="str">
        <x:v>RAH01-2026-065</x:v>
      </x:c>
      <x:c r="D659" s="36" t="n">
        <x:v>6</x:v>
      </x:c>
      <x:c r="E659" s="26" t="str">
        <x:v>Risk-based lung-function examination</x:v>
      </x:c>
      <x:c r="F659" s="25" t="str">
        <x:v>YES</x:v>
      </x:c>
      <x:c r="G659" s="25" t="str"/>
      <x:c r="H659" s="27" t="str">
        <x:v>occ_risk_exam_lung</x:v>
      </x:c>
      <x:c r="I659" s="27" t="str">
        <x:v>ASM-2026-065</x:v>
      </x:c>
      <x:c r="J659" s="27" t="str">
        <x:v>CHK-2026-065-06</x:v>
      </x:c>
    </x:row>
    <x:row r="660">
      <x:c r="A660" s="28" t="str">
        <x:v>Ward 7</x:v>
      </x:c>
      <x:c r="B660" s="37" t="n">
        <x:v>46163</x:v>
      </x:c>
      <x:c r="C660" s="26" t="str">
        <x:v>RAH01-2026-065</x:v>
      </x:c>
      <x:c r="D660" s="36" t="n">
        <x:v>7</x:v>
      </x:c>
      <x:c r="E660" s="26" t="str">
        <x:v>Risk-based hearing examination</x:v>
      </x:c>
      <x:c r="F660" s="25" t="str">
        <x:v>YES</x:v>
      </x:c>
      <x:c r="G660" s="25" t="str"/>
      <x:c r="H660" s="27" t="str">
        <x:v>occ_risk_exam_hearing</x:v>
      </x:c>
      <x:c r="I660" s="27" t="str">
        <x:v>ASM-2026-065</x:v>
      </x:c>
      <x:c r="J660" s="27" t="str">
        <x:v>CHK-2026-065-07</x:v>
      </x:c>
    </x:row>
    <x:row r="661">
      <x:c r="A661" s="28" t="str">
        <x:v>Ward 7</x:v>
      </x:c>
      <x:c r="B661" s="37" t="n">
        <x:v>46163</x:v>
      </x:c>
      <x:c r="C661" s="26" t="str">
        <x:v>RAH01-2026-065</x:v>
      </x:c>
      <x:c r="D661" s="36" t="n">
        <x:v>8</x:v>
      </x:c>
      <x:c r="E661" s="26" t="str">
        <x:v>Risk-based vision examination</x:v>
      </x:c>
      <x:c r="F661" s="25" t="str">
        <x:v>NOT_APPLICABLE</x:v>
      </x:c>
      <x:c r="G661" s="25" t="str">
        <x:v>No indicated risk exam vision exposure in this department's current risk profile.</x:v>
      </x:c>
      <x:c r="H661" s="27" t="str">
        <x:v>occ_risk_exam_vision</x:v>
      </x:c>
      <x:c r="I661" s="27" t="str">
        <x:v>ASM-2026-065</x:v>
      </x:c>
      <x:c r="J661" s="27" t="str">
        <x:v>CHK-2026-065-08</x:v>
      </x:c>
    </x:row>
    <x:row r="662">
      <x:c r="A662" s="28" t="str">
        <x:v>Ward 7</x:v>
      </x:c>
      <x:c r="B662" s="37" t="n">
        <x:v>46163</x:v>
      </x:c>
      <x:c r="C662" s="26" t="str">
        <x:v>RAH01-2026-065</x:v>
      </x:c>
      <x:c r="D662" s="36" t="n">
        <x:v>9</x:v>
      </x:c>
      <x:c r="E662" s="26" t="str">
        <x:v>Biological monitoring</x:v>
      </x:c>
      <x:c r="F662" s="25" t="str">
        <x:v>YES</x:v>
      </x:c>
      <x:c r="G662" s="25" t="str"/>
      <x:c r="H662" s="27" t="str">
        <x:v>occ_bio_exam</x:v>
      </x:c>
      <x:c r="I662" s="27" t="str">
        <x:v>ASM-2026-065</x:v>
      </x:c>
      <x:c r="J662" s="27" t="str">
        <x:v>CHK-2026-065-09</x:v>
      </x:c>
    </x:row>
    <x:row r="663">
      <x:c r="A663" s="28" t="str">
        <x:v>Ward 7</x:v>
      </x:c>
      <x:c r="B663" s="37" t="n">
        <x:v>46163</x:v>
      </x:c>
      <x:c r="C663" s="26" t="str">
        <x:v>RAH01-2026-065</x:v>
      </x:c>
      <x:c r="D663" s="36" t="n">
        <x:v>10</x:v>
      </x:c>
      <x:c r="E663" s="26" t="str">
        <x:v>Workplace environmental monitoring</x:v>
      </x:c>
      <x:c r="F663" s="25" t="str">
        <x:v>NO</x:v>
      </x:c>
      <x:c r="G663" s="25" t="str"/>
      <x:c r="H663" s="27" t="str">
        <x:v>occ_env_exam</x:v>
      </x:c>
      <x:c r="I663" s="27" t="str">
        <x:v>ASM-2026-065</x:v>
      </x:c>
      <x:c r="J663" s="27" t="str">
        <x:v>CHK-2026-065-10</x:v>
      </x:c>
    </x:row>
    <x:row r="664">
      <x:c r="A664" s="28" t="str">
        <x:v>Ward 8</x:v>
      </x:c>
      <x:c r="B664" s="37" t="n">
        <x:v>46197</x:v>
      </x:c>
      <x:c r="C664" s="26" t="str">
        <x:v>RAH01-2026-066</x:v>
      </x:c>
      <x:c r="D664" s="36" t="n">
        <x:v>1</x:v>
      </x:c>
      <x:c r="E664" s="26" t="str">
        <x:v>Fire prevention and suppression system</x:v>
      </x:c>
      <x:c r="F664" s="25" t="str">
        <x:v>YES</x:v>
      </x:c>
      <x:c r="G664" s="25" t="str"/>
      <x:c r="H664" s="27" t="str">
        <x:v>occ_fire_safety</x:v>
      </x:c>
      <x:c r="I664" s="27" t="str">
        <x:v>ASM-2026-066</x:v>
      </x:c>
      <x:c r="J664" s="27" t="str">
        <x:v>CHK-2026-066-01</x:v>
      </x:c>
    </x:row>
    <x:row r="665">
      <x:c r="A665" s="28" t="str">
        <x:v>Ward 8</x:v>
      </x:c>
      <x:c r="B665" s="37" t="n">
        <x:v>46197</x:v>
      </x:c>
      <x:c r="C665" s="26" t="str">
        <x:v>RAH01-2026-066</x:v>
      </x:c>
      <x:c r="D665" s="36" t="n">
        <x:v>2</x:v>
      </x:c>
      <x:c r="E665" s="26" t="str">
        <x:v>Occupational-health education</x:v>
      </x:c>
      <x:c r="F665" s="25" t="str">
        <x:v>YES</x:v>
      </x:c>
      <x:c r="G665" s="25" t="str"/>
      <x:c r="H665" s="27" t="str">
        <x:v>occ_health_education</x:v>
      </x:c>
      <x:c r="I665" s="27" t="str">
        <x:v>ASM-2026-066</x:v>
      </x:c>
      <x:c r="J665" s="27" t="str">
        <x:v>CHK-2026-066-02</x:v>
      </x:c>
    </x:row>
    <x:row r="666">
      <x:c r="A666" s="28" t="str">
        <x:v>Ward 8</x:v>
      </x:c>
      <x:c r="B666" s="37" t="n">
        <x:v>46197</x:v>
      </x:c>
      <x:c r="C666" s="26" t="str">
        <x:v>RAH01-2026-066</x:v>
      </x:c>
      <x:c r="D666" s="36" t="n">
        <x:v>3</x:v>
      </x:c>
      <x:c r="E666" s="26" t="str">
        <x:v>Hazardous-waste management system</x:v>
      </x:c>
      <x:c r="F666" s="25" t="str">
        <x:v>YES</x:v>
      </x:c>
      <x:c r="G666" s="25" t="str"/>
      <x:c r="H666" s="27" t="str">
        <x:v>occ_waste_management</x:v>
      </x:c>
      <x:c r="I666" s="27" t="str">
        <x:v>ASM-2026-066</x:v>
      </x:c>
      <x:c r="J666" s="27" t="str">
        <x:v>CHK-2026-066-03</x:v>
      </x:c>
    </x:row>
    <x:row r="667">
      <x:c r="A667" s="28" t="str">
        <x:v>Ward 8</x:v>
      </x:c>
      <x:c r="B667" s="37" t="n">
        <x:v>46197</x:v>
      </x:c>
      <x:c r="C667" s="26" t="str">
        <x:v>RAH01-2026-066</x:v>
      </x:c>
      <x:c r="D667" s="36" t="n">
        <x:v>4</x:v>
      </x:c>
      <x:c r="E667" s="26" t="str">
        <x:v>Personal protective equipment measures</x:v>
      </x:c>
      <x:c r="F667" s="25" t="str">
        <x:v>YES</x:v>
      </x:c>
      <x:c r="G667" s="25" t="str"/>
      <x:c r="H667" s="27" t="str">
        <x:v>occ_ppe_measures</x:v>
      </x:c>
      <x:c r="I667" s="27" t="str">
        <x:v>ASM-2026-066</x:v>
      </x:c>
      <x:c r="J667" s="27" t="str">
        <x:v>CHK-2026-066-04</x:v>
      </x:c>
    </x:row>
    <x:row r="668">
      <x:c r="A668" s="28" t="str">
        <x:v>Ward 8</x:v>
      </x:c>
      <x:c r="B668" s="37" t="n">
        <x:v>46197</x:v>
      </x:c>
      <x:c r="C668" s="26" t="str">
        <x:v>RAH01-2026-066</x:v>
      </x:c>
      <x:c r="D668" s="36" t="n">
        <x:v>5</x:v>
      </x:c>
      <x:c r="E668" s="26" t="str">
        <x:v>Annual health examination</x:v>
      </x:c>
      <x:c r="F668" s="25" t="str">
        <x:v>YES</x:v>
      </x:c>
      <x:c r="G668" s="25" t="str"/>
      <x:c r="H668" s="27" t="str">
        <x:v>occ_annual_health_exam</x:v>
      </x:c>
      <x:c r="I668" s="27" t="str">
        <x:v>ASM-2026-066</x:v>
      </x:c>
      <x:c r="J668" s="27" t="str">
        <x:v>CHK-2026-066-05</x:v>
      </x:c>
    </x:row>
    <x:row r="669">
      <x:c r="A669" s="28" t="str">
        <x:v>Ward 8</x:v>
      </x:c>
      <x:c r="B669" s="37" t="n">
        <x:v>46197</x:v>
      </x:c>
      <x:c r="C669" s="26" t="str">
        <x:v>RAH01-2026-066</x:v>
      </x:c>
      <x:c r="D669" s="36" t="n">
        <x:v>6</x:v>
      </x:c>
      <x:c r="E669" s="26" t="str">
        <x:v>Risk-based lung-function examination</x:v>
      </x:c>
      <x:c r="F669" s="25" t="str">
        <x:v>YES</x:v>
      </x:c>
      <x:c r="G669" s="25" t="str"/>
      <x:c r="H669" s="27" t="str">
        <x:v>occ_risk_exam_lung</x:v>
      </x:c>
      <x:c r="I669" s="27" t="str">
        <x:v>ASM-2026-066</x:v>
      </x:c>
      <x:c r="J669" s="27" t="str">
        <x:v>CHK-2026-066-06</x:v>
      </x:c>
    </x:row>
    <x:row r="670">
      <x:c r="A670" s="28" t="str">
        <x:v>Ward 8</x:v>
      </x:c>
      <x:c r="B670" s="37" t="n">
        <x:v>46197</x:v>
      </x:c>
      <x:c r="C670" s="26" t="str">
        <x:v>RAH01-2026-066</x:v>
      </x:c>
      <x:c r="D670" s="36" t="n">
        <x:v>7</x:v>
      </x:c>
      <x:c r="E670" s="26" t="str">
        <x:v>Risk-based hearing examination</x:v>
      </x:c>
      <x:c r="F670" s="25" t="str">
        <x:v>NOT_APPLICABLE</x:v>
      </x:c>
      <x:c r="G670" s="25" t="str">
        <x:v>No indicated risk exam hearing exposure in this department's current risk profile.</x:v>
      </x:c>
      <x:c r="H670" s="27" t="str">
        <x:v>occ_risk_exam_hearing</x:v>
      </x:c>
      <x:c r="I670" s="27" t="str">
        <x:v>ASM-2026-066</x:v>
      </x:c>
      <x:c r="J670" s="27" t="str">
        <x:v>CHK-2026-066-07</x:v>
      </x:c>
    </x:row>
    <x:row r="671">
      <x:c r="A671" s="28" t="str">
        <x:v>Ward 8</x:v>
      </x:c>
      <x:c r="B671" s="37" t="n">
        <x:v>46197</x:v>
      </x:c>
      <x:c r="C671" s="26" t="str">
        <x:v>RAH01-2026-066</x:v>
      </x:c>
      <x:c r="D671" s="36" t="n">
        <x:v>8</x:v>
      </x:c>
      <x:c r="E671" s="26" t="str">
        <x:v>Risk-based vision examination</x:v>
      </x:c>
      <x:c r="F671" s="25" t="str">
        <x:v>YES</x:v>
      </x:c>
      <x:c r="G671" s="25" t="str"/>
      <x:c r="H671" s="27" t="str">
        <x:v>occ_risk_exam_vision</x:v>
      </x:c>
      <x:c r="I671" s="27" t="str">
        <x:v>ASM-2026-066</x:v>
      </x:c>
      <x:c r="J671" s="27" t="str">
        <x:v>CHK-2026-066-08</x:v>
      </x:c>
    </x:row>
    <x:row r="672">
      <x:c r="A672" s="28" t="str">
        <x:v>Ward 8</x:v>
      </x:c>
      <x:c r="B672" s="37" t="n">
        <x:v>46197</x:v>
      </x:c>
      <x:c r="C672" s="26" t="str">
        <x:v>RAH01-2026-066</x:v>
      </x:c>
      <x:c r="D672" s="36" t="n">
        <x:v>9</x:v>
      </x:c>
      <x:c r="E672" s="26" t="str">
        <x:v>Biological monitoring</x:v>
      </x:c>
      <x:c r="F672" s="25" t="str">
        <x:v>YES</x:v>
      </x:c>
      <x:c r="G672" s="25" t="str"/>
      <x:c r="H672" s="27" t="str">
        <x:v>occ_bio_exam</x:v>
      </x:c>
      <x:c r="I672" s="27" t="str">
        <x:v>ASM-2026-066</x:v>
      </x:c>
      <x:c r="J672" s="27" t="str">
        <x:v>CHK-2026-066-09</x:v>
      </x:c>
    </x:row>
    <x:row r="673">
      <x:c r="A673" s="28" t="str">
        <x:v>Ward 8</x:v>
      </x:c>
      <x:c r="B673" s="37" t="n">
        <x:v>46197</x:v>
      </x:c>
      <x:c r="C673" s="26" t="str">
        <x:v>RAH01-2026-066</x:v>
      </x:c>
      <x:c r="D673" s="36" t="n">
        <x:v>10</x:v>
      </x:c>
      <x:c r="E673" s="26" t="str">
        <x:v>Workplace environmental monitoring</x:v>
      </x:c>
      <x:c r="F673" s="25" t="str">
        <x:v>YES</x:v>
      </x:c>
      <x:c r="G673" s="25" t="str"/>
      <x:c r="H673" s="27" t="str">
        <x:v>occ_env_exam</x:v>
      </x:c>
      <x:c r="I673" s="27" t="str">
        <x:v>ASM-2026-066</x:v>
      </x:c>
      <x:c r="J673" s="27" t="str">
        <x:v>CHK-2026-066-10</x:v>
      </x:c>
    </x:row>
    <x:row r="674">
      <x:c r="A674" s="28" t="str">
        <x:v>Ward 9</x:v>
      </x:c>
      <x:c r="B674" s="37" t="n">
        <x:v>46024</x:v>
      </x:c>
      <x:c r="C674" s="26" t="str">
        <x:v>RAH01-2026-067</x:v>
      </x:c>
      <x:c r="D674" s="36" t="n">
        <x:v>1</x:v>
      </x:c>
      <x:c r="E674" s="26" t="str">
        <x:v>Fire prevention and suppression system</x:v>
      </x:c>
      <x:c r="F674" s="25" t="str">
        <x:v>YES</x:v>
      </x:c>
      <x:c r="G674" s="25" t="str"/>
      <x:c r="H674" s="27" t="str">
        <x:v>occ_fire_safety</x:v>
      </x:c>
      <x:c r="I674" s="27" t="str">
        <x:v>ASM-2026-067</x:v>
      </x:c>
      <x:c r="J674" s="27" t="str">
        <x:v>CHK-2026-067-01</x:v>
      </x:c>
    </x:row>
    <x:row r="675">
      <x:c r="A675" s="28" t="str">
        <x:v>Ward 9</x:v>
      </x:c>
      <x:c r="B675" s="37" t="n">
        <x:v>46024</x:v>
      </x:c>
      <x:c r="C675" s="26" t="str">
        <x:v>RAH01-2026-067</x:v>
      </x:c>
      <x:c r="D675" s="36" t="n">
        <x:v>2</x:v>
      </x:c>
      <x:c r="E675" s="26" t="str">
        <x:v>Occupational-health education</x:v>
      </x:c>
      <x:c r="F675" s="25" t="str">
        <x:v>YES</x:v>
      </x:c>
      <x:c r="G675" s="25" t="str"/>
      <x:c r="H675" s="27" t="str">
        <x:v>occ_health_education</x:v>
      </x:c>
      <x:c r="I675" s="27" t="str">
        <x:v>ASM-2026-067</x:v>
      </x:c>
      <x:c r="J675" s="27" t="str">
        <x:v>CHK-2026-067-02</x:v>
      </x:c>
    </x:row>
    <x:row r="676">
      <x:c r="A676" s="28" t="str">
        <x:v>Ward 9</x:v>
      </x:c>
      <x:c r="B676" s="37" t="n">
        <x:v>46024</x:v>
      </x:c>
      <x:c r="C676" s="26" t="str">
        <x:v>RAH01-2026-067</x:v>
      </x:c>
      <x:c r="D676" s="36" t="n">
        <x:v>3</x:v>
      </x:c>
      <x:c r="E676" s="26" t="str">
        <x:v>Hazardous-waste management system</x:v>
      </x:c>
      <x:c r="F676" s="25" t="str">
        <x:v>YES</x:v>
      </x:c>
      <x:c r="G676" s="25" t="str"/>
      <x:c r="H676" s="27" t="str">
        <x:v>occ_waste_management</x:v>
      </x:c>
      <x:c r="I676" s="27" t="str">
        <x:v>ASM-2026-067</x:v>
      </x:c>
      <x:c r="J676" s="27" t="str">
        <x:v>CHK-2026-067-03</x:v>
      </x:c>
    </x:row>
    <x:row r="677">
      <x:c r="A677" s="28" t="str">
        <x:v>Ward 9</x:v>
      </x:c>
      <x:c r="B677" s="37" t="n">
        <x:v>46024</x:v>
      </x:c>
      <x:c r="C677" s="26" t="str">
        <x:v>RAH01-2026-067</x:v>
      </x:c>
      <x:c r="D677" s="36" t="n">
        <x:v>4</x:v>
      </x:c>
      <x:c r="E677" s="26" t="str">
        <x:v>Personal protective equipment measures</x:v>
      </x:c>
      <x:c r="F677" s="25" t="str">
        <x:v>NO</x:v>
      </x:c>
      <x:c r="G677" s="25" t="str"/>
      <x:c r="H677" s="27" t="str">
        <x:v>occ_ppe_measures</x:v>
      </x:c>
      <x:c r="I677" s="27" t="str">
        <x:v>ASM-2026-067</x:v>
      </x:c>
      <x:c r="J677" s="27" t="str">
        <x:v>CHK-2026-067-04</x:v>
      </x:c>
    </x:row>
    <x:row r="678">
      <x:c r="A678" s="28" t="str">
        <x:v>Ward 9</x:v>
      </x:c>
      <x:c r="B678" s="37" t="n">
        <x:v>46024</x:v>
      </x:c>
      <x:c r="C678" s="26" t="str">
        <x:v>RAH01-2026-067</x:v>
      </x:c>
      <x:c r="D678" s="36" t="n">
        <x:v>5</x:v>
      </x:c>
      <x:c r="E678" s="26" t="str">
        <x:v>Annual health examination</x:v>
      </x:c>
      <x:c r="F678" s="25" t="str">
        <x:v>YES</x:v>
      </x:c>
      <x:c r="G678" s="25" t="str"/>
      <x:c r="H678" s="27" t="str">
        <x:v>occ_annual_health_exam</x:v>
      </x:c>
      <x:c r="I678" s="27" t="str">
        <x:v>ASM-2026-067</x:v>
      </x:c>
      <x:c r="J678" s="27" t="str">
        <x:v>CHK-2026-067-05</x:v>
      </x:c>
    </x:row>
    <x:row r="679">
      <x:c r="A679" s="28" t="str">
        <x:v>Ward 9</x:v>
      </x:c>
      <x:c r="B679" s="37" t="n">
        <x:v>46024</x:v>
      </x:c>
      <x:c r="C679" s="26" t="str">
        <x:v>RAH01-2026-067</x:v>
      </x:c>
      <x:c r="D679" s="36" t="n">
        <x:v>6</x:v>
      </x:c>
      <x:c r="E679" s="26" t="str">
        <x:v>Risk-based lung-function examination</x:v>
      </x:c>
      <x:c r="F679" s="25" t="str">
        <x:v>NOT_APPLICABLE</x:v>
      </x:c>
      <x:c r="G679" s="25" t="str">
        <x:v>No indicated risk exam lung exposure in this department's current risk profile.</x:v>
      </x:c>
      <x:c r="H679" s="27" t="str">
        <x:v>occ_risk_exam_lung</x:v>
      </x:c>
      <x:c r="I679" s="27" t="str">
        <x:v>ASM-2026-067</x:v>
      </x:c>
      <x:c r="J679" s="27" t="str">
        <x:v>CHK-2026-067-06</x:v>
      </x:c>
    </x:row>
    <x:row r="680">
      <x:c r="A680" s="28" t="str">
        <x:v>Ward 9</x:v>
      </x:c>
      <x:c r="B680" s="37" t="n">
        <x:v>46024</x:v>
      </x:c>
      <x:c r="C680" s="26" t="str">
        <x:v>RAH01-2026-067</x:v>
      </x:c>
      <x:c r="D680" s="36" t="n">
        <x:v>7</x:v>
      </x:c>
      <x:c r="E680" s="26" t="str">
        <x:v>Risk-based hearing examination</x:v>
      </x:c>
      <x:c r="F680" s="25" t="str">
        <x:v>YES</x:v>
      </x:c>
      <x:c r="G680" s="25" t="str"/>
      <x:c r="H680" s="27" t="str">
        <x:v>occ_risk_exam_hearing</x:v>
      </x:c>
      <x:c r="I680" s="27" t="str">
        <x:v>ASM-2026-067</x:v>
      </x:c>
      <x:c r="J680" s="27" t="str">
        <x:v>CHK-2026-067-07</x:v>
      </x:c>
    </x:row>
    <x:row r="681">
      <x:c r="A681" s="28" t="str">
        <x:v>Ward 9</x:v>
      </x:c>
      <x:c r="B681" s="37" t="n">
        <x:v>46024</x:v>
      </x:c>
      <x:c r="C681" s="26" t="str">
        <x:v>RAH01-2026-067</x:v>
      </x:c>
      <x:c r="D681" s="36" t="n">
        <x:v>8</x:v>
      </x:c>
      <x:c r="E681" s="26" t="str">
        <x:v>Risk-based vision examination</x:v>
      </x:c>
      <x:c r="F681" s="25" t="str">
        <x:v>YES</x:v>
      </x:c>
      <x:c r="G681" s="25" t="str"/>
      <x:c r="H681" s="27" t="str">
        <x:v>occ_risk_exam_vision</x:v>
      </x:c>
      <x:c r="I681" s="27" t="str">
        <x:v>ASM-2026-067</x:v>
      </x:c>
      <x:c r="J681" s="27" t="str">
        <x:v>CHK-2026-067-08</x:v>
      </x:c>
    </x:row>
    <x:row r="682">
      <x:c r="A682" s="28" t="str">
        <x:v>Ward 9</x:v>
      </x:c>
      <x:c r="B682" s="37" t="n">
        <x:v>46024</x:v>
      </x:c>
      <x:c r="C682" s="26" t="str">
        <x:v>RAH01-2026-067</x:v>
      </x:c>
      <x:c r="D682" s="36" t="n">
        <x:v>9</x:v>
      </x:c>
      <x:c r="E682" s="26" t="str">
        <x:v>Biological monitoring</x:v>
      </x:c>
      <x:c r="F682" s="25" t="str">
        <x:v>YES</x:v>
      </x:c>
      <x:c r="G682" s="25" t="str"/>
      <x:c r="H682" s="27" t="str">
        <x:v>occ_bio_exam</x:v>
      </x:c>
      <x:c r="I682" s="27" t="str">
        <x:v>ASM-2026-067</x:v>
      </x:c>
      <x:c r="J682" s="27" t="str">
        <x:v>CHK-2026-067-09</x:v>
      </x:c>
    </x:row>
    <x:row r="683">
      <x:c r="A683" s="28" t="str">
        <x:v>Ward 9</x:v>
      </x:c>
      <x:c r="B683" s="37" t="n">
        <x:v>46024</x:v>
      </x:c>
      <x:c r="C683" s="26" t="str">
        <x:v>RAH01-2026-067</x:v>
      </x:c>
      <x:c r="D683" s="36" t="n">
        <x:v>10</x:v>
      </x:c>
      <x:c r="E683" s="26" t="str">
        <x:v>Workplace environmental monitoring</x:v>
      </x:c>
      <x:c r="F683" s="25" t="str">
        <x:v>NOT_APPLICABLE</x:v>
      </x:c>
      <x:c r="G683" s="25" t="str">
        <x:v>No indicated env exam exposure in this department's current risk profile.</x:v>
      </x:c>
      <x:c r="H683" s="27" t="str">
        <x:v>occ_env_exam</x:v>
      </x:c>
      <x:c r="I683" s="27" t="str">
        <x:v>ASM-2026-067</x:v>
      </x:c>
      <x:c r="J683" s="27" t="str">
        <x:v>CHK-2026-067-10</x:v>
      </x:c>
    </x:row>
    <x:row r="684">
      <x:c r="A684" s="28" t="str">
        <x:v>Women’s Health</x:v>
      </x:c>
      <x:c r="B684" s="37" t="n">
        <x:v>46089</x:v>
      </x:c>
      <x:c r="C684" s="26" t="str">
        <x:v>RAH01-2026-069</x:v>
      </x:c>
      <x:c r="D684" s="36" t="n">
        <x:v>1</x:v>
      </x:c>
      <x:c r="E684" s="26" t="str">
        <x:v>Fire prevention and suppression system</x:v>
      </x:c>
      <x:c r="F684" s="25" t="str">
        <x:v>YES</x:v>
      </x:c>
      <x:c r="G684" s="25" t="str"/>
      <x:c r="H684" s="27" t="str">
        <x:v>occ_fire_safety</x:v>
      </x:c>
      <x:c r="I684" s="27" t="str">
        <x:v>ASM-2026-069</x:v>
      </x:c>
      <x:c r="J684" s="27" t="str">
        <x:v>CHK-2026-069-01</x:v>
      </x:c>
    </x:row>
    <x:row r="685">
      <x:c r="A685" s="28" t="str">
        <x:v>Women’s Health</x:v>
      </x:c>
      <x:c r="B685" s="37" t="n">
        <x:v>46089</x:v>
      </x:c>
      <x:c r="C685" s="26" t="str">
        <x:v>RAH01-2026-069</x:v>
      </x:c>
      <x:c r="D685" s="36" t="n">
        <x:v>2</x:v>
      </x:c>
      <x:c r="E685" s="26" t="str">
        <x:v>Occupational-health education</x:v>
      </x:c>
      <x:c r="F685" s="25" t="str">
        <x:v>YES</x:v>
      </x:c>
      <x:c r="G685" s="25" t="str"/>
      <x:c r="H685" s="27" t="str">
        <x:v>occ_health_education</x:v>
      </x:c>
      <x:c r="I685" s="27" t="str">
        <x:v>ASM-2026-069</x:v>
      </x:c>
      <x:c r="J685" s="27" t="str">
        <x:v>CHK-2026-069-02</x:v>
      </x:c>
    </x:row>
    <x:row r="686">
      <x:c r="A686" s="28" t="str">
        <x:v>Women’s Health</x:v>
      </x:c>
      <x:c r="B686" s="37" t="n">
        <x:v>46089</x:v>
      </x:c>
      <x:c r="C686" s="26" t="str">
        <x:v>RAH01-2026-069</x:v>
      </x:c>
      <x:c r="D686" s="36" t="n">
        <x:v>3</x:v>
      </x:c>
      <x:c r="E686" s="26" t="str">
        <x:v>Hazardous-waste management system</x:v>
      </x:c>
      <x:c r="F686" s="25" t="str">
        <x:v>YES</x:v>
      </x:c>
      <x:c r="G686" s="25" t="str"/>
      <x:c r="H686" s="27" t="str">
        <x:v>occ_waste_management</x:v>
      </x:c>
      <x:c r="I686" s="27" t="str">
        <x:v>ASM-2026-069</x:v>
      </x:c>
      <x:c r="J686" s="27" t="str">
        <x:v>CHK-2026-069-03</x:v>
      </x:c>
    </x:row>
    <x:row r="687">
      <x:c r="A687" s="28" t="str">
        <x:v>Women’s Health</x:v>
      </x:c>
      <x:c r="B687" s="37" t="n">
        <x:v>46089</x:v>
      </x:c>
      <x:c r="C687" s="26" t="str">
        <x:v>RAH01-2026-069</x:v>
      </x:c>
      <x:c r="D687" s="36" t="n">
        <x:v>4</x:v>
      </x:c>
      <x:c r="E687" s="26" t="str">
        <x:v>Personal protective equipment measures</x:v>
      </x:c>
      <x:c r="F687" s="25" t="str">
        <x:v>YES</x:v>
      </x:c>
      <x:c r="G687" s="25" t="str"/>
      <x:c r="H687" s="27" t="str">
        <x:v>occ_ppe_measures</x:v>
      </x:c>
      <x:c r="I687" s="27" t="str">
        <x:v>ASM-2026-069</x:v>
      </x:c>
      <x:c r="J687" s="27" t="str">
        <x:v>CHK-2026-069-04</x:v>
      </x:c>
    </x:row>
    <x:row r="688">
      <x:c r="A688" s="28" t="str">
        <x:v>Women’s Health</x:v>
      </x:c>
      <x:c r="B688" s="37" t="n">
        <x:v>46089</x:v>
      </x:c>
      <x:c r="C688" s="26" t="str">
        <x:v>RAH01-2026-069</x:v>
      </x:c>
      <x:c r="D688" s="36" t="n">
        <x:v>5</x:v>
      </x:c>
      <x:c r="E688" s="26" t="str">
        <x:v>Annual health examination</x:v>
      </x:c>
      <x:c r="F688" s="25" t="str">
        <x:v>YES</x:v>
      </x:c>
      <x:c r="G688" s="25" t="str"/>
      <x:c r="H688" s="27" t="str">
        <x:v>occ_annual_health_exam</x:v>
      </x:c>
      <x:c r="I688" s="27" t="str">
        <x:v>ASM-2026-069</x:v>
      </x:c>
      <x:c r="J688" s="27" t="str">
        <x:v>CHK-2026-069-05</x:v>
      </x:c>
    </x:row>
    <x:row r="689">
      <x:c r="A689" s="28" t="str">
        <x:v>Women’s Health</x:v>
      </x:c>
      <x:c r="B689" s="37" t="n">
        <x:v>46089</x:v>
      </x:c>
      <x:c r="C689" s="26" t="str">
        <x:v>RAH01-2026-069</x:v>
      </x:c>
      <x:c r="D689" s="36" t="n">
        <x:v>6</x:v>
      </x:c>
      <x:c r="E689" s="26" t="str">
        <x:v>Risk-based lung-function examination</x:v>
      </x:c>
      <x:c r="F689" s="25" t="str">
        <x:v>YES</x:v>
      </x:c>
      <x:c r="G689" s="25" t="str"/>
      <x:c r="H689" s="27" t="str">
        <x:v>occ_risk_exam_lung</x:v>
      </x:c>
      <x:c r="I689" s="27" t="str">
        <x:v>ASM-2026-069</x:v>
      </x:c>
      <x:c r="J689" s="27" t="str">
        <x:v>CHK-2026-069-06</x:v>
      </x:c>
    </x:row>
    <x:row r="690">
      <x:c r="A690" s="28" t="str">
        <x:v>Women’s Health</x:v>
      </x:c>
      <x:c r="B690" s="37" t="n">
        <x:v>46089</x:v>
      </x:c>
      <x:c r="C690" s="26" t="str">
        <x:v>RAH01-2026-069</x:v>
      </x:c>
      <x:c r="D690" s="36" t="n">
        <x:v>7</x:v>
      </x:c>
      <x:c r="E690" s="26" t="str">
        <x:v>Risk-based hearing examination</x:v>
      </x:c>
      <x:c r="F690" s="25" t="str">
        <x:v>YES</x:v>
      </x:c>
      <x:c r="G690" s="25" t="str"/>
      <x:c r="H690" s="27" t="str">
        <x:v>occ_risk_exam_hearing</x:v>
      </x:c>
      <x:c r="I690" s="27" t="str">
        <x:v>ASM-2026-069</x:v>
      </x:c>
      <x:c r="J690" s="27" t="str">
        <x:v>CHK-2026-069-07</x:v>
      </x:c>
    </x:row>
    <x:row r="691">
      <x:c r="A691" s="28" t="str">
        <x:v>Women’s Health</x:v>
      </x:c>
      <x:c r="B691" s="37" t="n">
        <x:v>46089</x:v>
      </x:c>
      <x:c r="C691" s="26" t="str">
        <x:v>RAH01-2026-069</x:v>
      </x:c>
      <x:c r="D691" s="36" t="n">
        <x:v>8</x:v>
      </x:c>
      <x:c r="E691" s="26" t="str">
        <x:v>Risk-based vision examination</x:v>
      </x:c>
      <x:c r="F691" s="25" t="str">
        <x:v>NOT_APPLICABLE</x:v>
      </x:c>
      <x:c r="G691" s="25" t="str">
        <x:v>No indicated risk exam vision exposure in this department's current risk profile.</x:v>
      </x:c>
      <x:c r="H691" s="27" t="str">
        <x:v>occ_risk_exam_vision</x:v>
      </x:c>
      <x:c r="I691" s="27" t="str">
        <x:v>ASM-2026-069</x:v>
      </x:c>
      <x:c r="J691" s="27" t="str">
        <x:v>CHK-2026-069-08</x:v>
      </x:c>
    </x:row>
    <x:row r="692">
      <x:c r="A692" s="28" t="str">
        <x:v>Women’s Health</x:v>
      </x:c>
      <x:c r="B692" s="37" t="n">
        <x:v>46089</x:v>
      </x:c>
      <x:c r="C692" s="26" t="str">
        <x:v>RAH01-2026-069</x:v>
      </x:c>
      <x:c r="D692" s="36" t="n">
        <x:v>9</x:v>
      </x:c>
      <x:c r="E692" s="26" t="str">
        <x:v>Biological monitoring</x:v>
      </x:c>
      <x:c r="F692" s="25" t="str">
        <x:v>YES</x:v>
      </x:c>
      <x:c r="G692" s="25" t="str"/>
      <x:c r="H692" s="27" t="str">
        <x:v>occ_bio_exam</x:v>
      </x:c>
      <x:c r="I692" s="27" t="str">
        <x:v>ASM-2026-069</x:v>
      </x:c>
      <x:c r="J692" s="27" t="str">
        <x:v>CHK-2026-069-09</x:v>
      </x:c>
    </x:row>
    <x:row r="693">
      <x:c r="A693" s="28" t="str">
        <x:v>Women’s Health</x:v>
      </x:c>
      <x:c r="B693" s="37" t="n">
        <x:v>46089</x:v>
      </x:c>
      <x:c r="C693" s="26" t="str">
        <x:v>RAH01-2026-069</x:v>
      </x:c>
      <x:c r="D693" s="36" t="n">
        <x:v>10</x:v>
      </x:c>
      <x:c r="E693" s="26" t="str">
        <x:v>Workplace environmental monitoring</x:v>
      </x:c>
      <x:c r="F693" s="25" t="str">
        <x:v>YES</x:v>
      </x:c>
      <x:c r="G693" s="25" t="str"/>
      <x:c r="H693" s="27" t="str">
        <x:v>occ_env_exam</x:v>
      </x:c>
      <x:c r="I693" s="27" t="str">
        <x:v>ASM-2026-069</x:v>
      </x:c>
      <x:c r="J693" s="27" t="str">
        <x:v>CHK-2026-069-10</x:v>
      </x:c>
    </x:row>
    <x:row r="694">
      <x:c r="A694" s="28" t="str">
        <x:v>Workplace Safety</x:v>
      </x:c>
      <x:c r="B694" s="37" t="n">
        <x:v>46123</x:v>
      </x:c>
      <x:c r="C694" s="26" t="str">
        <x:v>RAH01-2026-070</x:v>
      </x:c>
      <x:c r="D694" s="36" t="n">
        <x:v>1</x:v>
      </x:c>
      <x:c r="E694" s="26" t="str">
        <x:v>Fire prevention and suppression system</x:v>
      </x:c>
      <x:c r="F694" s="25" t="str">
        <x:v>YES</x:v>
      </x:c>
      <x:c r="G694" s="25" t="str"/>
      <x:c r="H694" s="27" t="str">
        <x:v>occ_fire_safety</x:v>
      </x:c>
      <x:c r="I694" s="27" t="str">
        <x:v>ASM-2026-070</x:v>
      </x:c>
      <x:c r="J694" s="27" t="str">
        <x:v>CHK-2026-070-01</x:v>
      </x:c>
    </x:row>
    <x:row r="695">
      <x:c r="A695" s="28" t="str">
        <x:v>Workplace Safety</x:v>
      </x:c>
      <x:c r="B695" s="37" t="n">
        <x:v>46123</x:v>
      </x:c>
      <x:c r="C695" s="26" t="str">
        <x:v>RAH01-2026-070</x:v>
      </x:c>
      <x:c r="D695" s="36" t="n">
        <x:v>2</x:v>
      </x:c>
      <x:c r="E695" s="26" t="str">
        <x:v>Occupational-health education</x:v>
      </x:c>
      <x:c r="F695" s="25" t="str">
        <x:v>YES</x:v>
      </x:c>
      <x:c r="G695" s="25" t="str"/>
      <x:c r="H695" s="27" t="str">
        <x:v>occ_health_education</x:v>
      </x:c>
      <x:c r="I695" s="27" t="str">
        <x:v>ASM-2026-070</x:v>
      </x:c>
      <x:c r="J695" s="27" t="str">
        <x:v>CHK-2026-070-02</x:v>
      </x:c>
    </x:row>
    <x:row r="696">
      <x:c r="A696" s="28" t="str">
        <x:v>Workplace Safety</x:v>
      </x:c>
      <x:c r="B696" s="37" t="n">
        <x:v>46123</x:v>
      </x:c>
      <x:c r="C696" s="26" t="str">
        <x:v>RAH01-2026-070</x:v>
      </x:c>
      <x:c r="D696" s="36" t="n">
        <x:v>3</x:v>
      </x:c>
      <x:c r="E696" s="26" t="str">
        <x:v>Hazardous-waste management system</x:v>
      </x:c>
      <x:c r="F696" s="25" t="str">
        <x:v>YES</x:v>
      </x:c>
      <x:c r="G696" s="25" t="str"/>
      <x:c r="H696" s="27" t="str">
        <x:v>occ_waste_management</x:v>
      </x:c>
      <x:c r="I696" s="27" t="str">
        <x:v>ASM-2026-070</x:v>
      </x:c>
      <x:c r="J696" s="27" t="str">
        <x:v>CHK-2026-070-03</x:v>
      </x:c>
    </x:row>
    <x:row r="697">
      <x:c r="A697" s="28" t="str">
        <x:v>Workplace Safety</x:v>
      </x:c>
      <x:c r="B697" s="37" t="n">
        <x:v>46123</x:v>
      </x:c>
      <x:c r="C697" s="26" t="str">
        <x:v>RAH01-2026-070</x:v>
      </x:c>
      <x:c r="D697" s="36" t="n">
        <x:v>4</x:v>
      </x:c>
      <x:c r="E697" s="26" t="str">
        <x:v>Personal protective equipment measures</x:v>
      </x:c>
      <x:c r="F697" s="25" t="str">
        <x:v>YES</x:v>
      </x:c>
      <x:c r="G697" s="25" t="str"/>
      <x:c r="H697" s="27" t="str">
        <x:v>occ_ppe_measures</x:v>
      </x:c>
      <x:c r="I697" s="27" t="str">
        <x:v>ASM-2026-070</x:v>
      </x:c>
      <x:c r="J697" s="27" t="str">
        <x:v>CHK-2026-070-04</x:v>
      </x:c>
    </x:row>
    <x:row r="698">
      <x:c r="A698" s="28" t="str">
        <x:v>Workplace Safety</x:v>
      </x:c>
      <x:c r="B698" s="37" t="n">
        <x:v>46123</x:v>
      </x:c>
      <x:c r="C698" s="26" t="str">
        <x:v>RAH01-2026-070</x:v>
      </x:c>
      <x:c r="D698" s="36" t="n">
        <x:v>5</x:v>
      </x:c>
      <x:c r="E698" s="26" t="str">
        <x:v>Annual health examination</x:v>
      </x:c>
      <x:c r="F698" s="25" t="str">
        <x:v>YES</x:v>
      </x:c>
      <x:c r="G698" s="25" t="str"/>
      <x:c r="H698" s="27" t="str">
        <x:v>occ_annual_health_exam</x:v>
      </x:c>
      <x:c r="I698" s="27" t="str">
        <x:v>ASM-2026-070</x:v>
      </x:c>
      <x:c r="J698" s="27" t="str">
        <x:v>CHK-2026-070-05</x:v>
      </x:c>
    </x:row>
    <x:row r="699">
      <x:c r="A699" s="28" t="str">
        <x:v>Workplace Safety</x:v>
      </x:c>
      <x:c r="B699" s="37" t="n">
        <x:v>46123</x:v>
      </x:c>
      <x:c r="C699" s="26" t="str">
        <x:v>RAH01-2026-070</x:v>
      </x:c>
      <x:c r="D699" s="36" t="n">
        <x:v>6</x:v>
      </x:c>
      <x:c r="E699" s="26" t="str">
        <x:v>Risk-based lung-function examination</x:v>
      </x:c>
      <x:c r="F699" s="25" t="str">
        <x:v>YES</x:v>
      </x:c>
      <x:c r="G699" s="25" t="str"/>
      <x:c r="H699" s="27" t="str">
        <x:v>occ_risk_exam_lung</x:v>
      </x:c>
      <x:c r="I699" s="27" t="str">
        <x:v>ASM-2026-070</x:v>
      </x:c>
      <x:c r="J699" s="27" t="str">
        <x:v>CHK-2026-070-06</x:v>
      </x:c>
    </x:row>
    <x:row r="700">
      <x:c r="A700" s="28" t="str">
        <x:v>Workplace Safety</x:v>
      </x:c>
      <x:c r="B700" s="37" t="n">
        <x:v>46123</x:v>
      </x:c>
      <x:c r="C700" s="26" t="str">
        <x:v>RAH01-2026-070</x:v>
      </x:c>
      <x:c r="D700" s="36" t="n">
        <x:v>7</x:v>
      </x:c>
      <x:c r="E700" s="26" t="str">
        <x:v>Risk-based hearing examination</x:v>
      </x:c>
      <x:c r="F700" s="25" t="str">
        <x:v>NOT_APPLICABLE</x:v>
      </x:c>
      <x:c r="G700" s="25" t="str">
        <x:v>No indicated risk exam hearing exposure in this department's current risk profile.</x:v>
      </x:c>
      <x:c r="H700" s="27" t="str">
        <x:v>occ_risk_exam_hearing</x:v>
      </x:c>
      <x:c r="I700" s="27" t="str">
        <x:v>ASM-2026-070</x:v>
      </x:c>
      <x:c r="J700" s="27" t="str">
        <x:v>CHK-2026-070-07</x:v>
      </x:c>
    </x:row>
    <x:row r="701">
      <x:c r="A701" s="28" t="str">
        <x:v>Workplace Safety</x:v>
      </x:c>
      <x:c r="B701" s="37" t="n">
        <x:v>46123</x:v>
      </x:c>
      <x:c r="C701" s="26" t="str">
        <x:v>RAH01-2026-070</x:v>
      </x:c>
      <x:c r="D701" s="36" t="n">
        <x:v>8</x:v>
      </x:c>
      <x:c r="E701" s="26" t="str">
        <x:v>Risk-based vision examination</x:v>
      </x:c>
      <x:c r="F701" s="25" t="str">
        <x:v>YES</x:v>
      </x:c>
      <x:c r="G701" s="25" t="str"/>
      <x:c r="H701" s="27" t="str">
        <x:v>occ_risk_exam_vision</x:v>
      </x:c>
      <x:c r="I701" s="27" t="str">
        <x:v>ASM-2026-070</x:v>
      </x:c>
      <x:c r="J701" s="27" t="str">
        <x:v>CHK-2026-070-08</x:v>
      </x:c>
    </x:row>
    <x:row r="702">
      <x:c r="A702" s="28" t="str">
        <x:v>Workplace Safety</x:v>
      </x:c>
      <x:c r="B702" s="37" t="n">
        <x:v>46123</x:v>
      </x:c>
      <x:c r="C702" s="26" t="str">
        <x:v>RAH01-2026-070</x:v>
      </x:c>
      <x:c r="D702" s="36" t="n">
        <x:v>9</x:v>
      </x:c>
      <x:c r="E702" s="26" t="str">
        <x:v>Biological monitoring</x:v>
      </x:c>
      <x:c r="F702" s="25" t="str">
        <x:v>YES</x:v>
      </x:c>
      <x:c r="G702" s="25" t="str"/>
      <x:c r="H702" s="27" t="str">
        <x:v>occ_bio_exam</x:v>
      </x:c>
      <x:c r="I702" s="27" t="str">
        <x:v>ASM-2026-070</x:v>
      </x:c>
      <x:c r="J702" s="27" t="str">
        <x:v>CHK-2026-070-09</x:v>
      </x:c>
    </x:row>
    <x:row r="703">
      <x:c r="A703" s="28" t="str">
        <x:v>Workplace Safety</x:v>
      </x:c>
      <x:c r="B703" s="37" t="n">
        <x:v>46123</x:v>
      </x:c>
      <x:c r="C703" s="26" t="str">
        <x:v>RAH01-2026-070</x:v>
      </x:c>
      <x:c r="D703" s="36" t="n">
        <x:v>10</x:v>
      </x:c>
      <x:c r="E703" s="26" t="str">
        <x:v>Workplace environmental monitoring</x:v>
      </x:c>
      <x:c r="F703" s="25" t="str">
        <x:v>YES</x:v>
      </x:c>
      <x:c r="G703" s="25" t="str"/>
      <x:c r="H703" s="27" t="str">
        <x:v>occ_env_exam</x:v>
      </x:c>
      <x:c r="I703" s="27" t="str">
        <x:v>ASM-2026-070</x:v>
      </x:c>
      <x:c r="J703" s="27" t="str">
        <x:v>CHK-2026-070-10</x:v>
      </x:c>
    </x:row>
  </x:sheetData>
  <x:mergeCells>
    <x:mergeCell ref="A1:J1"/>
    <x:mergeCell ref="A2:J2"/>
  </x:mergeCells>
  <x:dataValidations count="2">
    <x:dataValidation type="whole" operator="greaterThanOrEqual" sqref="D4:D1048576">
      <x:formula1>1</x:formula1>
    </x:dataValidation>
    <x:dataValidation type="custom" sqref="F4:G1048576">
      <x:formula1>OR($F4="",AND(OR($F4="YES",$F4="NO"),$G4=""),AND($F4="NOT_APPLICABLE",OR($H4="occ_risk_exam_lung",$H4="occ_risk_exam_hearing",$H4="occ_risk_exam_vision",$H4="occ_bio_exam",$H4="occ_env_exam"),$G4&lt;&gt;""))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57745ba53e49e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2" hidden="0" customWidth="1"/>
    <x:col min="2" max="2" width="16" hidden="0" customWidth="1"/>
    <x:col min="3" max="3" width="19" hidden="0" customWidth="1"/>
    <x:col min="4" max="4" width="12" hidden="0" customWidth="1"/>
    <x:col min="5" max="5" width="40" hidden="0" customWidth="1"/>
    <x:col min="6" max="6" width="42" hidden="0" customWidth="1"/>
    <x:col min="7" max="7" width="24" hidden="0" customWidth="1"/>
    <x:col min="8" max="8" width="18" hidden="0" customWidth="1"/>
    <x:col min="9" max="9" width="20" hidden="0" customWidth="1"/>
    <x:col min="10" max="10" width="22" hidden="0" customWidth="1"/>
  </x:cols>
  <x:sheetData>
    <x:row r="1" ht="28" customHeight="1">
      <x:c r="A1" s="3" t="str">
        <x:v>RAH.01 Work steps / ขั้นตอนการทำงาน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Repeatable HTML Section 3 rows with immutable department, date, and report context on every work step.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 ht="34" customHeight="1">
      <x:c r="A3" s="20" t="str">
        <x:v>department_name</x:v>
      </x:c>
      <x:c r="B3" s="21" t="str">
        <x:v>assessment_date</x:v>
      </x:c>
      <x:c r="C3" s="21" t="str">
        <x:v>report_number</x:v>
      </x:c>
      <x:c r="D3" s="21" t="str">
        <x:v>step_order</x:v>
      </x:c>
      <x:c r="E3" s="21" t="str">
        <x:v>work_step</x:v>
      </x:c>
      <x:c r="F3" s="21" t="str">
        <x:v>primary_hazards</x:v>
      </x:c>
      <x:c r="G3" s="21" t="str">
        <x:v>work_duration</x:v>
      </x:c>
      <x:c r="H3" s="21" t="str">
        <x:v>staff_involved_count</x:v>
      </x:c>
      <x:c r="I3" s="21" t="str">
        <x:v>assessment_id</x:v>
      </x:c>
      <x:c r="J3" s="22" t="str">
        <x:v>work_step_id</x:v>
      </x:c>
    </x:row>
    <x:row r="4">
      <x:c r="A4" s="28" t="str">
        <x:v>Accident &amp; Emergency</x:v>
      </x:c>
      <x:c r="B4" s="37" t="n">
        <x:v>46026</x:v>
      </x:c>
      <x:c r="C4" s="26" t="str">
        <x:v>RAH01-2026-001</x:v>
      </x:c>
      <x:c r="D4" s="35" t="n">
        <x:v>1</x:v>
      </x:c>
      <x:c r="E4" s="25" t="str">
        <x:v>Accident &amp; Emergency: Receive and assess critically ill patients</x:v>
      </x:c>
      <x:c r="F4" s="25" t="str">
        <x:v>biological exposure, violence, workload</x:v>
      </x:c>
      <x:c r="G4" s="25" t="str">
        <x:v>Continuous each shift</x:v>
      </x:c>
      <x:c r="H4" s="35" t="n">
        <x:v>2</x:v>
      </x:c>
      <x:c r="I4" s="27" t="str">
        <x:v>ASM-2026-001</x:v>
      </x:c>
      <x:c r="J4" s="27" t="str">
        <x:v>STEP-2026-001-01</x:v>
      </x:c>
    </x:row>
    <x:row r="5">
      <x:c r="A5" s="28" t="str">
        <x:v>Accident &amp; Emergency</x:v>
      </x:c>
      <x:c r="B5" s="37" t="n">
        <x:v>46026</x:v>
      </x:c>
      <x:c r="C5" s="26" t="str">
        <x:v>RAH01-2026-001</x:v>
      </x:c>
      <x:c r="D5" s="35" t="n">
        <x:v>2</x:v>
      </x:c>
      <x:c r="E5" s="25" t="str">
        <x:v>Accident &amp; Emergency: Administer medication and manage invasive devices</x:v>
      </x:c>
      <x:c r="F5" s="25" t="str">
        <x:v>sharps, infection, chemical disinfectants</x:v>
      </x:c>
      <x:c r="G5" s="25" t="str">
        <x:v>4–6 hours/shift</x:v>
      </x:c>
      <x:c r="H5" s="35" t="n">
        <x:v>5</x:v>
      </x:c>
      <x:c r="I5" s="27" t="str">
        <x:v>ASM-2026-001</x:v>
      </x:c>
      <x:c r="J5" s="27" t="str">
        <x:v>STEP-2026-001-02</x:v>
      </x:c>
    </x:row>
    <x:row r="6">
      <x:c r="A6" s="28" t="str">
        <x:v>Accident &amp; Emergency</x:v>
      </x:c>
      <x:c r="B6" s="37" t="n">
        <x:v>46026</x:v>
      </x:c>
      <x:c r="C6" s="26" t="str">
        <x:v>RAH01-2026-001</x:v>
      </x:c>
      <x:c r="D6" s="35" t="n">
        <x:v>3</x:v>
      </x:c>
      <x:c r="E6" s="25" t="str">
        <x:v>Accident &amp; Emergency: Turn, lift, and transfer dependent patients</x:v>
      </x:c>
      <x:c r="F6" s="25" t="str">
        <x:v>manual handling, awkward posture</x:v>
      </x:c>
      <x:c r="G6" s="25" t="str">
        <x:v>8–15 times/shift</x:v>
      </x:c>
      <x:c r="H6" s="35" t="n">
        <x:v>8</x:v>
      </x:c>
      <x:c r="I6" s="27" t="str">
        <x:v>ASM-2026-001</x:v>
      </x:c>
      <x:c r="J6" s="27" t="str">
        <x:v>STEP-2026-001-03</x:v>
      </x:c>
    </x:row>
    <x:row r="7">
      <x:c r="A7" s="28" t="str">
        <x:v>Anaesthesia</x:v>
      </x:c>
      <x:c r="B7" s="37" t="n">
        <x:v>46060</x:v>
      </x:c>
      <x:c r="C7" s="26" t="str">
        <x:v>RAH01-2026-002</x:v>
      </x:c>
      <x:c r="D7" s="35" t="n">
        <x:v>1</x:v>
      </x:c>
      <x:c r="E7" s="25" t="str">
        <x:v>Anaesthesia: Receive and assess critically ill patients</x:v>
      </x:c>
      <x:c r="F7" s="25" t="str">
        <x:v>biological exposure, violence, workload</x:v>
      </x:c>
      <x:c r="G7" s="25" t="str">
        <x:v>Continuous each shift</x:v>
      </x:c>
      <x:c r="H7" s="35" t="n">
        <x:v>3</x:v>
      </x:c>
      <x:c r="I7" s="27" t="str">
        <x:v>ASM-2026-002</x:v>
      </x:c>
      <x:c r="J7" s="27" t="str">
        <x:v>STEP-2026-002-01</x:v>
      </x:c>
    </x:row>
    <x:row r="8">
      <x:c r="A8" s="28" t="str">
        <x:v>Anaesthesia</x:v>
      </x:c>
      <x:c r="B8" s="37" t="n">
        <x:v>46060</x:v>
      </x:c>
      <x:c r="C8" s="26" t="str">
        <x:v>RAH01-2026-002</x:v>
      </x:c>
      <x:c r="D8" s="35" t="n">
        <x:v>2</x:v>
      </x:c>
      <x:c r="E8" s="25" t="str">
        <x:v>Anaesthesia: Administer medication and manage invasive devices</x:v>
      </x:c>
      <x:c r="F8" s="25" t="str">
        <x:v>sharps, infection, chemical disinfectants</x:v>
      </x:c>
      <x:c r="G8" s="25" t="str">
        <x:v>4–6 hours/shift</x:v>
      </x:c>
      <x:c r="H8" s="35" t="n">
        <x:v>6</x:v>
      </x:c>
      <x:c r="I8" s="27" t="str">
        <x:v>ASM-2026-002</x:v>
      </x:c>
      <x:c r="J8" s="27" t="str">
        <x:v>STEP-2026-002-02</x:v>
      </x:c>
    </x:row>
    <x:row r="9">
      <x:c r="A9" s="28" t="str">
        <x:v>Anaesthesia</x:v>
      </x:c>
      <x:c r="B9" s="37" t="n">
        <x:v>46060</x:v>
      </x:c>
      <x:c r="C9" s="26" t="str">
        <x:v>RAH01-2026-002</x:v>
      </x:c>
      <x:c r="D9" s="35" t="n">
        <x:v>3</x:v>
      </x:c>
      <x:c r="E9" s="25" t="str">
        <x:v>Anaesthesia: Turn, lift, and transfer dependent patients</x:v>
      </x:c>
      <x:c r="F9" s="25" t="str">
        <x:v>manual handling, awkward posture</x:v>
      </x:c>
      <x:c r="G9" s="25" t="str">
        <x:v>8–15 times/shift</x:v>
      </x:c>
      <x:c r="H9" s="35" t="n">
        <x:v>9</x:v>
      </x:c>
      <x:c r="I9" s="27" t="str">
        <x:v>ASM-2026-002</x:v>
      </x:c>
      <x:c r="J9" s="27" t="str">
        <x:v>STEP-2026-002-03</x:v>
      </x:c>
    </x:row>
    <x:row r="10">
      <x:c r="A10" s="28" t="str">
        <x:v>Anaesthesia</x:v>
      </x:c>
      <x:c r="B10" s="37" t="n">
        <x:v>46060</x:v>
      </x:c>
      <x:c r="C10" s="26" t="str">
        <x:v>RAH01-2026-002</x:v>
      </x:c>
      <x:c r="D10" s="35" t="n">
        <x:v>4</x:v>
      </x:c>
      <x:c r="E10" s="25" t="str">
        <x:v>Anaesthesia: Respond to alarms and clinical deterioration</x:v>
      </x:c>
      <x:c r="F10" s="25" t="str">
        <x:v>stress, fatigue, electrical equipment</x:v>
      </x:c>
      <x:c r="G10" s="25" t="str">
        <x:v>Intermittent/emergency</x:v>
      </x:c>
      <x:c r="H10" s="35" t="n">
        <x:v>12</x:v>
      </x:c>
      <x:c r="I10" s="27" t="str">
        <x:v>ASM-2026-002</x:v>
      </x:c>
      <x:c r="J10" s="27" t="str">
        <x:v>STEP-2026-002-04</x:v>
      </x:c>
    </x:row>
    <x:row r="11">
      <x:c r="A11" s="28" t="str">
        <x:v>Cardiology</x:v>
      </x:c>
      <x:c r="B11" s="37" t="n">
        <x:v>46091</x:v>
      </x:c>
      <x:c r="C11" s="26" t="str">
        <x:v>RAH01-2026-003</x:v>
      </x:c>
      <x:c r="D11" s="35" t="n">
        <x:v>1</x:v>
      </x:c>
      <x:c r="E11" s="25" t="str">
        <x:v>Cardiology: Triage unscheduled patients</x:v>
      </x:c>
      <x:c r="F11" s="25" t="str">
        <x:v>infection, aggression, prolonged standing</x:v>
      </x:c>
      <x:c r="G11" s="25" t="str">
        <x:v>Continuous</x:v>
      </x:c>
      <x:c r="H11" s="35" t="n">
        <x:v>4</x:v>
      </x:c>
      <x:c r="I11" s="27" t="str">
        <x:v>ASM-2026-003</x:v>
      </x:c>
      <x:c r="J11" s="27" t="str">
        <x:v>STEP-2026-003-01</x:v>
      </x:c>
    </x:row>
    <x:row r="12">
      <x:c r="A12" s="28" t="str">
        <x:v>Cardiology</x:v>
      </x:c>
      <x:c r="B12" s="37" t="n">
        <x:v>46091</x:v>
      </x:c>
      <x:c r="C12" s="26" t="str">
        <x:v>RAH01-2026-003</x:v>
      </x:c>
      <x:c r="D12" s="35" t="n">
        <x:v>2</x:v>
      </x:c>
      <x:c r="E12" s="25" t="str">
        <x:v>Cardiology: Resuscitate and stabilize emergencies</x:v>
      </x:c>
      <x:c r="F12" s="25" t="str">
        <x:v>sharps, body fluids, stress</x:v>
      </x:c>
      <x:c r="G12" s="25" t="str">
        <x:v>Intermittent/high intensity</x:v>
      </x:c>
      <x:c r="H12" s="35" t="n">
        <x:v>7</x:v>
      </x:c>
      <x:c r="I12" s="27" t="str">
        <x:v>ASM-2026-003</x:v>
      </x:c>
      <x:c r="J12" s="27" t="str">
        <x:v>STEP-2026-003-02</x:v>
      </x:c>
    </x:row>
    <x:row r="13">
      <x:c r="A13" s="28" t="str">
        <x:v>Cardiology</x:v>
      </x:c>
      <x:c r="B13" s="37" t="n">
        <x:v>46091</x:v>
      </x:c>
      <x:c r="C13" s="26" t="str">
        <x:v>RAH01-2026-003</x:v>
      </x:c>
      <x:c r="D13" s="35" t="n">
        <x:v>3</x:v>
      </x:c>
      <x:c r="E13" s="25" t="str">
        <x:v>Cardiology: Transfer patients and equipment</x:v>
      </x:c>
      <x:c r="F13" s="25" t="str">
        <x:v>manual handling, collision, obstruction</x:v>
      </x:c>
      <x:c r="G13" s="25" t="str">
        <x:v>10–20 transfers/shift</x:v>
      </x:c>
      <x:c r="H13" s="35" t="n">
        <x:v>10</x:v>
      </x:c>
      <x:c r="I13" s="27" t="str">
        <x:v>ASM-2026-003</x:v>
      </x:c>
      <x:c r="J13" s="27" t="str">
        <x:v>STEP-2026-003-03</x:v>
      </x:c>
    </x:row>
    <x:row r="14">
      <x:c r="A14" s="28" t="str">
        <x:v>Cardiology</x:v>
      </x:c>
      <x:c r="B14" s="37" t="n">
        <x:v>46091</x:v>
      </x:c>
      <x:c r="C14" s="26" t="str">
        <x:v>RAH01-2026-003</x:v>
      </x:c>
      <x:c r="D14" s="35" t="n">
        <x:v>4</x:v>
      </x:c>
      <x:c r="E14" s="25" t="str">
        <x:v>Cardiology: Clean treatment bays after cases</x:v>
      </x:c>
      <x:c r="F14" s="25" t="str">
        <x:v>disinfectants, contaminated waste</x:v>
      </x:c>
      <x:c r="G14" s="25" t="str">
        <x:v>After each case</x:v>
      </x:c>
      <x:c r="H14" s="35" t="n">
        <x:v>13</x:v>
      </x:c>
      <x:c r="I14" s="27" t="str">
        <x:v>ASM-2026-003</x:v>
      </x:c>
      <x:c r="J14" s="27" t="str">
        <x:v>STEP-2026-003-04</x:v>
      </x:c>
    </x:row>
    <x:row r="15">
      <x:c r="A15" s="28" t="str">
        <x:v>Cardiothoracic Surgery</x:v>
      </x:c>
      <x:c r="B15" s="37" t="n">
        <x:v>46125</x:v>
      </x:c>
      <x:c r="C15" s="26" t="str">
        <x:v>RAH01-2026-004</x:v>
      </x:c>
      <x:c r="D15" s="35" t="n">
        <x:v>1</x:v>
      </x:c>
      <x:c r="E15" s="25" t="str">
        <x:v>Cardiothoracic Surgery: Prepare patient, sterile field, and equipment</x:v>
      </x:c>
      <x:c r="F15" s="25" t="str">
        <x:v>disinfectants, sharps, electrical equipment</x:v>
      </x:c>
      <x:c r="G15" s="25" t="str">
        <x:v>1–2 hours/case</x:v>
      </x:c>
      <x:c r="H15" s="35" t="n">
        <x:v>5</x:v>
      </x:c>
      <x:c r="I15" s="27" t="str">
        <x:v>ASM-2026-004</x:v>
      </x:c>
      <x:c r="J15" s="27" t="str">
        <x:v>STEP-2026-004-01</x:v>
      </x:c>
    </x:row>
    <x:row r="16">
      <x:c r="A16" s="28" t="str">
        <x:v>Cardiothoracic Surgery</x:v>
      </x:c>
      <x:c r="B16" s="37" t="n">
        <x:v>46125</x:v>
      </x:c>
      <x:c r="C16" s="26" t="str">
        <x:v>RAH01-2026-004</x:v>
      </x:c>
      <x:c r="D16" s="35" t="n">
        <x:v>2</x:v>
      </x:c>
      <x:c r="E16" s="25" t="str">
        <x:v>Cardiothoracic Surgery: Perform or support invasive procedure</x:v>
      </x:c>
      <x:c r="F16" s="25" t="str">
        <x:v>body fluids, sharps, awkward posture</x:v>
      </x:c>
      <x:c r="G16" s="25" t="str">
        <x:v>1–4 hours/case</x:v>
      </x:c>
      <x:c r="H16" s="35" t="n">
        <x:v>8</x:v>
      </x:c>
      <x:c r="I16" s="27" t="str">
        <x:v>ASM-2026-004</x:v>
      </x:c>
      <x:c r="J16" s="27" t="str">
        <x:v>STEP-2026-004-02</x:v>
      </x:c>
    </x:row>
    <x:row r="17">
      <x:c r="A17" s="28" t="str">
        <x:v>Central Sterile Supply</x:v>
      </x:c>
      <x:c r="B17" s="37" t="n">
        <x:v>46158</x:v>
      </x:c>
      <x:c r="C17" s="26" t="str">
        <x:v>RAH01-2026-005</x:v>
      </x:c>
      <x:c r="D17" s="35" t="n">
        <x:v>1</x:v>
      </x:c>
      <x:c r="E17" s="25" t="str">
        <x:v>Central Sterile Supply: Receive, label, and sort clinical specimens</x:v>
      </x:c>
      <x:c r="F17" s="25" t="str">
        <x:v>infectious material, repetitive handling</x:v>
      </x:c>
      <x:c r="G17" s="25" t="str">
        <x:v>Continuous</x:v>
      </x:c>
      <x:c r="H17" s="35" t="n">
        <x:v>6</x:v>
      </x:c>
      <x:c r="I17" s="27" t="str">
        <x:v>ASM-2026-005</x:v>
      </x:c>
      <x:c r="J17" s="27" t="str">
        <x:v>STEP-2026-005-01</x:v>
      </x:c>
    </x:row>
    <x:row r="18">
      <x:c r="A18" s="28" t="str">
        <x:v>Central Sterile Supply</x:v>
      </x:c>
      <x:c r="B18" s="37" t="n">
        <x:v>46158</x:v>
      </x:c>
      <x:c r="C18" s="26" t="str">
        <x:v>RAH01-2026-005</x:v>
      </x:c>
      <x:c r="D18" s="35" t="n">
        <x:v>2</x:v>
      </x:c>
      <x:c r="E18" s="25" t="str">
        <x:v>Central Sterile Supply: Prepare and analyze specimens</x:v>
      </x:c>
      <x:c r="F18" s="25" t="str">
        <x:v>aerosols, sharps, chemicals</x:v>
      </x:c>
      <x:c r="G18" s="25" t="str">
        <x:v>4–6 hours/shift</x:v>
      </x:c>
      <x:c r="H18" s="35" t="n">
        <x:v>9</x:v>
      </x:c>
      <x:c r="I18" s="27" t="str">
        <x:v>ASM-2026-005</x:v>
      </x:c>
      <x:c r="J18" s="27" t="str">
        <x:v>STEP-2026-005-02</x:v>
      </x:c>
    </x:row>
    <x:row r="19">
      <x:c r="A19" s="28" t="str">
        <x:v>Central Sterile Supply</x:v>
      </x:c>
      <x:c r="B19" s="37" t="n">
        <x:v>46158</x:v>
      </x:c>
      <x:c r="C19" s="26" t="str">
        <x:v>RAH01-2026-005</x:v>
      </x:c>
      <x:c r="D19" s="35" t="n">
        <x:v>3</x:v>
      </x:c>
      <x:c r="E19" s="25" t="str">
        <x:v>Central Sterile Supply: Operate analyzers and centrifuges</x:v>
      </x:c>
      <x:c r="F19" s="25" t="str">
        <x:v>noise, machinery, electrical equipment</x:v>
      </x:c>
      <x:c r="G19" s="25" t="str">
        <x:v>2–5 hours/shift</x:v>
      </x:c>
      <x:c r="H19" s="35" t="n">
        <x:v>12</x:v>
      </x:c>
      <x:c r="I19" s="27" t="str">
        <x:v>ASM-2026-005</x:v>
      </x:c>
      <x:c r="J19" s="27" t="str">
        <x:v>STEP-2026-005-03</x:v>
      </x:c>
    </x:row>
    <x:row r="20">
      <x:c r="A20" s="28" t="str">
        <x:v>Child Development</x:v>
      </x:c>
      <x:c r="B20" s="37" t="n">
        <x:v>46192</x:v>
      </x:c>
      <x:c r="C20" s="26" t="str">
        <x:v>RAH01-2026-006</x:v>
      </x:c>
      <x:c r="D20" s="35" t="n">
        <x:v>1</x:v>
      </x:c>
      <x:c r="E20" s="25" t="str">
        <x:v>Child Development: Verify request and prepare patient</x:v>
      </x:c>
      <x:c r="F20" s="25" t="str">
        <x:v>patient contact, workload</x:v>
      </x:c>
      <x:c r="G20" s="25" t="str">
        <x:v>Continuous</x:v>
      </x:c>
      <x:c r="H20" s="35" t="n">
        <x:v>7</x:v>
      </x:c>
      <x:c r="I20" s="27" t="str">
        <x:v>ASM-2026-006</x:v>
      </x:c>
      <x:c r="J20" s="27" t="str">
        <x:v>STEP-2026-006-01</x:v>
      </x:c>
    </x:row>
    <x:row r="21">
      <x:c r="A21" s="28" t="str">
        <x:v>Child Development</x:v>
      </x:c>
      <x:c r="B21" s="37" t="n">
        <x:v>46192</x:v>
      </x:c>
      <x:c r="C21" s="26" t="str">
        <x:v>RAH01-2026-006</x:v>
      </x:c>
      <x:c r="D21" s="35" t="n">
        <x:v>2</x:v>
      </x:c>
      <x:c r="E21" s="25" t="str">
        <x:v>Child Development: Position or transfer patient for imaging</x:v>
      </x:c>
      <x:c r="F21" s="25" t="str">
        <x:v>manual handling, awkward posture</x:v>
      </x:c>
      <x:c r="G21" s="25" t="str">
        <x:v>10–30 cases/shift</x:v>
      </x:c>
      <x:c r="H21" s="35" t="n">
        <x:v>10</x:v>
      </x:c>
      <x:c r="I21" s="27" t="str">
        <x:v>ASM-2026-006</x:v>
      </x:c>
      <x:c r="J21" s="27" t="str">
        <x:v>STEP-2026-006-02</x:v>
      </x:c>
    </x:row>
    <x:row r="22">
      <x:c r="A22" s="28" t="str">
        <x:v>Child Development</x:v>
      </x:c>
      <x:c r="B22" s="37" t="n">
        <x:v>46192</x:v>
      </x:c>
      <x:c r="C22" s="26" t="str">
        <x:v>RAH01-2026-006</x:v>
      </x:c>
      <x:c r="D22" s="35" t="n">
        <x:v>3</x:v>
      </x:c>
      <x:c r="E22" s="25" t="str">
        <x:v>Child Development: Operate imaging and workstation equipment</x:v>
      </x:c>
      <x:c r="F22" s="25" t="str">
        <x:v>radiation, prolonged sitting, low lighting</x:v>
      </x:c>
      <x:c r="G22" s="25" t="str">
        <x:v>4–7 hours/shift</x:v>
      </x:c>
      <x:c r="H22" s="35" t="n">
        <x:v>13</x:v>
      </x:c>
      <x:c r="I22" s="27" t="str">
        <x:v>ASM-2026-006</x:v>
      </x:c>
      <x:c r="J22" s="27" t="str">
        <x:v>STEP-2026-006-03</x:v>
      </x:c>
    </x:row>
    <x:row r="23">
      <x:c r="A23" s="28" t="str">
        <x:v>Child Development</x:v>
      </x:c>
      <x:c r="B23" s="37" t="n">
        <x:v>46192</x:v>
      </x:c>
      <x:c r="C23" s="26" t="str">
        <x:v>RAH01-2026-006</x:v>
      </x:c>
      <x:c r="D23" s="35" t="n">
        <x:v>4</x:v>
      </x:c>
      <x:c r="E23" s="25" t="str">
        <x:v>Child Development: Administer contrast and observe patient</x:v>
      </x:c>
      <x:c r="F23" s="25" t="str">
        <x:v>sharps, medicines, emergency response</x:v>
      </x:c>
      <x:c r="G23" s="25" t="str">
        <x:v>As ordered</x:v>
      </x:c>
      <x:c r="H23" s="35" t="n">
        <x:v>16</x:v>
      </x:c>
      <x:c r="I23" s="27" t="str">
        <x:v>ASM-2026-006</x:v>
      </x:c>
      <x:c r="J23" s="27" t="str">
        <x:v>STEP-2026-006-04</x:v>
      </x:c>
    </x:row>
    <x:row r="24">
      <x:c r="A24" s="28" t="str">
        <x:v>Clinical Nutrition</x:v>
      </x:c>
      <x:c r="B24" s="37" t="n">
        <x:v>46044</x:v>
      </x:c>
      <x:c r="C24" s="26" t="str">
        <x:v>RAH01-2026-007</x:v>
      </x:c>
      <x:c r="D24" s="35" t="n">
        <x:v>1</x:v>
      </x:c>
      <x:c r="E24" s="25" t="str">
        <x:v>Clinical Nutrition: Assess patients and provide bedside care</x:v>
      </x:c>
      <x:c r="F24" s="25" t="str">
        <x:v>infection, sharps, workload</x:v>
      </x:c>
      <x:c r="G24" s="25" t="str">
        <x:v>Continuous</x:v>
      </x:c>
      <x:c r="H24" s="35" t="n">
        <x:v>8</x:v>
      </x:c>
      <x:c r="I24" s="27" t="str">
        <x:v>ASM-2026-007</x:v>
      </x:c>
      <x:c r="J24" s="27" t="str">
        <x:v>STEP-2026-007-01</x:v>
      </x:c>
    </x:row>
    <x:row r="25">
      <x:c r="A25" s="28" t="str">
        <x:v>Clinical Nutrition</x:v>
      </x:c>
      <x:c r="B25" s="37" t="n">
        <x:v>46044</x:v>
      </x:c>
      <x:c r="C25" s="26" t="str">
        <x:v>RAH01-2026-007</x:v>
      </x:c>
      <x:c r="D25" s="35" t="n">
        <x:v>2</x:v>
      </x:c>
      <x:c r="E25" s="25" t="str">
        <x:v>Clinical Nutrition: Administer medicines and collect specimens</x:v>
      </x:c>
      <x:c r="F25" s="25" t="str">
        <x:v>sharps, medicines, body fluids</x:v>
      </x:c>
      <x:c r="G25" s="25" t="str">
        <x:v>3–6 rounds/shift</x:v>
      </x:c>
      <x:c r="H25" s="35" t="n">
        <x:v>11</x:v>
      </x:c>
      <x:c r="I25" s="27" t="str">
        <x:v>ASM-2026-007</x:v>
      </x:c>
      <x:c r="J25" s="27" t="str">
        <x:v>STEP-2026-007-02</x:v>
      </x:c>
    </x:row>
    <x:row r="26">
      <x:c r="A26" s="28" t="str">
        <x:v>Clinical Nutrition</x:v>
      </x:c>
      <x:c r="B26" s="37" t="n">
        <x:v>46044</x:v>
      </x:c>
      <x:c r="C26" s="26" t="str">
        <x:v>RAH01-2026-007</x:v>
      </x:c>
      <x:c r="D26" s="35" t="n">
        <x:v>3</x:v>
      </x:c>
      <x:c r="E26" s="25" t="str">
        <x:v>Clinical Nutrition: Reposition and transfer patients</x:v>
      </x:c>
      <x:c r="F26" s="25" t="str">
        <x:v>manual handling, awkward posture</x:v>
      </x:c>
      <x:c r="G26" s="25" t="str">
        <x:v>6–15 times/shift</x:v>
      </x:c>
      <x:c r="H26" s="35" t="n">
        <x:v>14</x:v>
      </x:c>
      <x:c r="I26" s="27" t="str">
        <x:v>ASM-2026-007</x:v>
      </x:c>
      <x:c r="J26" s="27" t="str">
        <x:v>STEP-2026-007-03</x:v>
      </x:c>
    </x:row>
    <x:row r="27">
      <x:c r="A27" s="28" t="str">
        <x:v>Clinical Nutrition</x:v>
      </x:c>
      <x:c r="B27" s="37" t="n">
        <x:v>46044</x:v>
      </x:c>
      <x:c r="C27" s="26" t="str">
        <x:v>RAH01-2026-007</x:v>
      </x:c>
      <x:c r="D27" s="35" t="n">
        <x:v>4</x:v>
      </x:c>
      <x:c r="E27" s="25" t="str">
        <x:v>Clinical Nutrition: Document care and coordinate discharge</x:v>
      </x:c>
      <x:c r="F27" s="25" t="str">
        <x:v>screen work, sitting, stress</x:v>
      </x:c>
      <x:c r="G27" s="25" t="str">
        <x:v>1–3 hours/shift</x:v>
      </x:c>
      <x:c r="H27" s="35" t="n">
        <x:v>17</x:v>
      </x:c>
      <x:c r="I27" s="27" t="str">
        <x:v>ASM-2026-007</x:v>
      </x:c>
      <x:c r="J27" s="27" t="str">
        <x:v>STEP-2026-007-04</x:v>
      </x:c>
    </x:row>
    <x:row r="28">
      <x:c r="A28" s="28" t="str">
        <x:v>Dental</x:v>
      </x:c>
      <x:c r="B28" s="37" t="n">
        <x:v>46078</x:v>
      </x:c>
      <x:c r="C28" s="26" t="str">
        <x:v>RAH01-2026-008</x:v>
      </x:c>
      <x:c r="D28" s="35" t="n">
        <x:v>1</x:v>
      </x:c>
      <x:c r="E28" s="25" t="str">
        <x:v>Dental: Assess patients and provide bedside care</x:v>
      </x:c>
      <x:c r="F28" s="25" t="str">
        <x:v>infection, sharps, workload</x:v>
      </x:c>
      <x:c r="G28" s="25" t="str">
        <x:v>Continuous</x:v>
      </x:c>
      <x:c r="H28" s="35" t="n">
        <x:v>9</x:v>
      </x:c>
      <x:c r="I28" s="27" t="str">
        <x:v>ASM-2026-008</x:v>
      </x:c>
      <x:c r="J28" s="27" t="str">
        <x:v>STEP-2026-008-01</x:v>
      </x:c>
    </x:row>
    <x:row r="29">
      <x:c r="A29" s="28" t="str">
        <x:v>Dental</x:v>
      </x:c>
      <x:c r="B29" s="37" t="n">
        <x:v>46078</x:v>
      </x:c>
      <x:c r="C29" s="26" t="str">
        <x:v>RAH01-2026-008</x:v>
      </x:c>
      <x:c r="D29" s="35" t="n">
        <x:v>2</x:v>
      </x:c>
      <x:c r="E29" s="25" t="str">
        <x:v>Dental: Administer medicines and collect specimens</x:v>
      </x:c>
      <x:c r="F29" s="25" t="str">
        <x:v>sharps, medicines, body fluids</x:v>
      </x:c>
      <x:c r="G29" s="25" t="str">
        <x:v>3–6 rounds/shift</x:v>
      </x:c>
      <x:c r="H29" s="35" t="n">
        <x:v>12</x:v>
      </x:c>
      <x:c r="I29" s="27" t="str">
        <x:v>ASM-2026-008</x:v>
      </x:c>
      <x:c r="J29" s="27" t="str">
        <x:v>STEP-2026-008-02</x:v>
      </x:c>
    </x:row>
    <x:row r="30">
      <x:c r="A30" s="28" t="str">
        <x:v>Dermatology</x:v>
      </x:c>
      <x:c r="B30" s="37" t="n">
        <x:v>46084</x:v>
      </x:c>
      <x:c r="C30" s="26" t="str">
        <x:v>RAH01-2026-009</x:v>
      </x:c>
      <x:c r="D30" s="35" t="n">
        <x:v>1</x:v>
      </x:c>
      <x:c r="E30" s="25" t="str">
        <x:v>Dermatology: Assess patients and provide bedside care</x:v>
      </x:c>
      <x:c r="F30" s="25" t="str">
        <x:v>infection, sharps, workload</x:v>
      </x:c>
      <x:c r="G30" s="25" t="str">
        <x:v>Continuous</x:v>
      </x:c>
      <x:c r="H30" s="35" t="n">
        <x:v>10</x:v>
      </x:c>
      <x:c r="I30" s="27" t="str">
        <x:v>ASM-2026-009</x:v>
      </x:c>
      <x:c r="J30" s="27" t="str">
        <x:v>STEP-2026-009-01</x:v>
      </x:c>
    </x:row>
    <x:row r="31">
      <x:c r="A31" s="28" t="str">
        <x:v>Dermatology</x:v>
      </x:c>
      <x:c r="B31" s="37" t="n">
        <x:v>46084</x:v>
      </x:c>
      <x:c r="C31" s="26" t="str">
        <x:v>RAH01-2026-009</x:v>
      </x:c>
      <x:c r="D31" s="35" t="n">
        <x:v>2</x:v>
      </x:c>
      <x:c r="E31" s="25" t="str">
        <x:v>Dermatology: Administer medicines and collect specimens</x:v>
      </x:c>
      <x:c r="F31" s="25" t="str">
        <x:v>sharps, medicines, body fluids</x:v>
      </x:c>
      <x:c r="G31" s="25" t="str">
        <x:v>3–6 rounds/shift</x:v>
      </x:c>
      <x:c r="H31" s="35" t="n">
        <x:v>2</x:v>
      </x:c>
      <x:c r="I31" s="27" t="str">
        <x:v>ASM-2026-009</x:v>
      </x:c>
      <x:c r="J31" s="27" t="str">
        <x:v>STEP-2026-009-02</x:v>
      </x:c>
    </x:row>
    <x:row r="32">
      <x:c r="A32" s="28" t="str">
        <x:v>Dermatology</x:v>
      </x:c>
      <x:c r="B32" s="37" t="n">
        <x:v>46084</x:v>
      </x:c>
      <x:c r="C32" s="26" t="str">
        <x:v>RAH01-2026-009</x:v>
      </x:c>
      <x:c r="D32" s="35" t="n">
        <x:v>3</x:v>
      </x:c>
      <x:c r="E32" s="25" t="str">
        <x:v>Dermatology: Reposition and transfer patients</x:v>
      </x:c>
      <x:c r="F32" s="25" t="str">
        <x:v>manual handling, awkward posture</x:v>
      </x:c>
      <x:c r="G32" s="25" t="str">
        <x:v>6–15 times/shift</x:v>
      </x:c>
      <x:c r="H32" s="35" t="n">
        <x:v>5</x:v>
      </x:c>
      <x:c r="I32" s="27" t="str">
        <x:v>ASM-2026-009</x:v>
      </x:c>
      <x:c r="J32" s="27" t="str">
        <x:v>STEP-2026-009-03</x:v>
      </x:c>
    </x:row>
    <x:row r="33">
      <x:c r="A33" s="28" t="str">
        <x:v>Diagnostic Imaging</x:v>
      </x:c>
      <x:c r="B33" s="37" t="n">
        <x:v>46118</x:v>
      </x:c>
      <x:c r="C33" s="26" t="str">
        <x:v>RAH01-2026-010</x:v>
      </x:c>
      <x:c r="D33" s="35" t="n">
        <x:v>1</x:v>
      </x:c>
      <x:c r="E33" s="25" t="str">
        <x:v>Diagnostic Imaging: Assess patients and provide bedside care</x:v>
      </x:c>
      <x:c r="F33" s="25" t="str">
        <x:v>infection, sharps, workload</x:v>
      </x:c>
      <x:c r="G33" s="25" t="str">
        <x:v>Continuous</x:v>
      </x:c>
      <x:c r="H33" s="35" t="n">
        <x:v>11</x:v>
      </x:c>
      <x:c r="I33" s="27" t="str">
        <x:v>ASM-2026-010</x:v>
      </x:c>
      <x:c r="J33" s="27" t="str">
        <x:v>STEP-2026-010-01</x:v>
      </x:c>
    </x:row>
    <x:row r="34">
      <x:c r="A34" s="28" t="str">
        <x:v>Diagnostic Imaging</x:v>
      </x:c>
      <x:c r="B34" s="37" t="n">
        <x:v>46118</x:v>
      </x:c>
      <x:c r="C34" s="26" t="str">
        <x:v>RAH01-2026-010</x:v>
      </x:c>
      <x:c r="D34" s="35" t="n">
        <x:v>2</x:v>
      </x:c>
      <x:c r="E34" s="25" t="str">
        <x:v>Diagnostic Imaging: Administer medicines and collect specimens</x:v>
      </x:c>
      <x:c r="F34" s="25" t="str">
        <x:v>sharps, medicines, body fluids</x:v>
      </x:c>
      <x:c r="G34" s="25" t="str">
        <x:v>3–6 rounds/shift</x:v>
      </x:c>
      <x:c r="H34" s="35" t="n">
        <x:v>14</x:v>
      </x:c>
      <x:c r="I34" s="27" t="str">
        <x:v>ASM-2026-010</x:v>
      </x:c>
      <x:c r="J34" s="27" t="str">
        <x:v>STEP-2026-010-02</x:v>
      </x:c>
    </x:row>
    <x:row r="35">
      <x:c r="A35" s="28" t="str">
        <x:v>Diagnostic Imaging</x:v>
      </x:c>
      <x:c r="B35" s="37" t="n">
        <x:v>46118</x:v>
      </x:c>
      <x:c r="C35" s="26" t="str">
        <x:v>RAH01-2026-010</x:v>
      </x:c>
      <x:c r="D35" s="35" t="n">
        <x:v>3</x:v>
      </x:c>
      <x:c r="E35" s="25" t="str">
        <x:v>Diagnostic Imaging: Reposition and transfer patients</x:v>
      </x:c>
      <x:c r="F35" s="25" t="str">
        <x:v>manual handling, awkward posture</x:v>
      </x:c>
      <x:c r="G35" s="25" t="str">
        <x:v>6–15 times/shift</x:v>
      </x:c>
      <x:c r="H35" s="35" t="n">
        <x:v>17</x:v>
      </x:c>
      <x:c r="I35" s="27" t="str">
        <x:v>ASM-2026-010</x:v>
      </x:c>
      <x:c r="J35" s="27" t="str">
        <x:v>STEP-2026-010-03</x:v>
      </x:c>
    </x:row>
    <x:row r="36">
      <x:c r="A36" s="28" t="str">
        <x:v>Diagnostic Imaging</x:v>
      </x:c>
      <x:c r="B36" s="37" t="n">
        <x:v>46118</x:v>
      </x:c>
      <x:c r="C36" s="26" t="str">
        <x:v>RAH01-2026-010</x:v>
      </x:c>
      <x:c r="D36" s="35" t="n">
        <x:v>4</x:v>
      </x:c>
      <x:c r="E36" s="25" t="str">
        <x:v>Diagnostic Imaging: Document care and coordinate discharge</x:v>
      </x:c>
      <x:c r="F36" s="25" t="str">
        <x:v>screen work, sitting, stress</x:v>
      </x:c>
      <x:c r="G36" s="25" t="str">
        <x:v>1–3 hours/shift</x:v>
      </x:c>
      <x:c r="H36" s="35" t="n">
        <x:v>2</x:v>
      </x:c>
      <x:c r="I36" s="27" t="str">
        <x:v>ASM-2026-010</x:v>
      </x:c>
      <x:c r="J36" s="27" t="str">
        <x:v>STEP-2026-010-04</x:v>
      </x:c>
    </x:row>
    <x:row r="37">
      <x:c r="A37" s="28" t="str">
        <x:v>Emergency Medical Service</x:v>
      </x:c>
      <x:c r="B37" s="37" t="n">
        <x:v>46151</x:v>
      </x:c>
      <x:c r="C37" s="26" t="str">
        <x:v>RAH01-2026-011</x:v>
      </x:c>
      <x:c r="D37" s="35" t="n">
        <x:v>1</x:v>
      </x:c>
      <x:c r="E37" s="25" t="str">
        <x:v>Emergency Medical Service: Register, screen, and assess ambulatory patients</x:v>
      </x:c>
      <x:c r="F37" s="25" t="str">
        <x:v>crowding, infection, prolonged standing</x:v>
      </x:c>
      <x:c r="G37" s="25" t="str">
        <x:v>Continuous</x:v>
      </x:c>
      <x:c r="H37" s="35" t="n">
        <x:v>12</x:v>
      </x:c>
      <x:c r="I37" s="27" t="str">
        <x:v>ASM-2026-011</x:v>
      </x:c>
      <x:c r="J37" s="27" t="str">
        <x:v>STEP-2026-011-01</x:v>
      </x:c>
    </x:row>
    <x:row r="38">
      <x:c r="A38" s="28" t="str">
        <x:v>Emergency Medical Service</x:v>
      </x:c>
      <x:c r="B38" s="37" t="n">
        <x:v>46151</x:v>
      </x:c>
      <x:c r="C38" s="26" t="str">
        <x:v>RAH01-2026-011</x:v>
      </x:c>
      <x:c r="D38" s="35" t="n">
        <x:v>2</x:v>
      </x:c>
      <x:c r="E38" s="25" t="str">
        <x:v>Emergency Medical Service: Perform examination or minor treatment</x:v>
      </x:c>
      <x:c r="F38" s="25" t="str">
        <x:v>sharps, close patient contact</x:v>
      </x:c>
      <x:c r="G38" s="25" t="str">
        <x:v>10–40 cases/shift</x:v>
      </x:c>
      <x:c r="H38" s="35" t="n">
        <x:v>15</x:v>
      </x:c>
      <x:c r="I38" s="27" t="str">
        <x:v>ASM-2026-011</x:v>
      </x:c>
      <x:c r="J38" s="27" t="str">
        <x:v>STEP-2026-011-02</x:v>
      </x:c>
    </x:row>
    <x:row r="39">
      <x:c r="A39" s="28" t="str">
        <x:v>Emergency Medical Service</x:v>
      </x:c>
      <x:c r="B39" s="37" t="n">
        <x:v>46151</x:v>
      </x:c>
      <x:c r="C39" s="26" t="str">
        <x:v>RAH01-2026-011</x:v>
      </x:c>
      <x:c r="D39" s="35" t="n">
        <x:v>3</x:v>
      </x:c>
      <x:c r="E39" s="25" t="str">
        <x:v>Emergency Medical Service: Provide education and coordinate follow-up</x:v>
      </x:c>
      <x:c r="F39" s="25" t="str">
        <x:v>voice strain, screen work, workload</x:v>
      </x:c>
      <x:c r="G39" s="25" t="str">
        <x:v>2–4 hours/shift</x:v>
      </x:c>
      <x:c r="H39" s="35" t="n">
        <x:v>18</x:v>
      </x:c>
      <x:c r="I39" s="27" t="str">
        <x:v>ASM-2026-011</x:v>
      </x:c>
      <x:c r="J39" s="27" t="str">
        <x:v>STEP-2026-011-03</x:v>
      </x:c>
    </x:row>
    <x:row r="40">
      <x:c r="A40" s="28" t="str">
        <x:v>Endocrinology</x:v>
      </x:c>
      <x:c r="B40" s="37" t="n">
        <x:v>46185</x:v>
      </x:c>
      <x:c r="C40" s="26" t="str">
        <x:v>RAH01-2026-012</x:v>
      </x:c>
      <x:c r="D40" s="35" t="n">
        <x:v>1</x:v>
      </x:c>
      <x:c r="E40" s="25" t="str">
        <x:v>Endocrinology: Receive and store medicines</x:v>
      </x:c>
      <x:c r="F40" s="25" t="str">
        <x:v>lifting, falling objects, temperature</x:v>
      </x:c>
      <x:c r="G40" s="25" t="str">
        <x:v>1–2 hours/day</x:v>
      </x:c>
      <x:c r="H40" s="35" t="n">
        <x:v>13</x:v>
      </x:c>
      <x:c r="I40" s="27" t="str">
        <x:v>ASM-2026-012</x:v>
      </x:c>
      <x:c r="J40" s="27" t="str">
        <x:v>STEP-2026-012-01</x:v>
      </x:c>
    </x:row>
    <x:row r="41">
      <x:c r="A41" s="28" t="str">
        <x:v>Endocrinology</x:v>
      </x:c>
      <x:c r="B41" s="37" t="n">
        <x:v>46185</x:v>
      </x:c>
      <x:c r="C41" s="26" t="str">
        <x:v>RAH01-2026-012</x:v>
      </x:c>
      <x:c r="D41" s="35" t="n">
        <x:v>2</x:v>
      </x:c>
      <x:c r="E41" s="25" t="str">
        <x:v>Endocrinology: Prepare and dispense prescriptions</x:v>
      </x:c>
      <x:c r="F41" s="25" t="str">
        <x:v>repetitive work, prolonged standing, medicines</x:v>
      </x:c>
      <x:c r="G41" s="25" t="str">
        <x:v>Continuous</x:v>
      </x:c>
      <x:c r="H41" s="35" t="n">
        <x:v>16</x:v>
      </x:c>
      <x:c r="I41" s="27" t="str">
        <x:v>ASM-2026-012</x:v>
      </x:c>
      <x:c r="J41" s="27" t="str">
        <x:v>STEP-2026-012-02</x:v>
      </x:c>
    </x:row>
    <x:row r="42">
      <x:c r="A42" s="28" t="str">
        <x:v>ENT</x:v>
      </x:c>
      <x:c r="B42" s="37" t="n">
        <x:v>46037</x:v>
      </x:c>
      <x:c r="C42" s="26" t="str">
        <x:v>RAH01-2026-013</x:v>
      </x:c>
      <x:c r="D42" s="35" t="n">
        <x:v>1</x:v>
      </x:c>
      <x:c r="E42" s="25" t="str">
        <x:v>ENT: Assess mobility and functional capacity</x:v>
      </x:c>
      <x:c r="F42" s="25" t="str">
        <x:v>close contact, awkward posture</x:v>
      </x:c>
      <x:c r="G42" s="25" t="str">
        <x:v>30–60 minutes/patient</x:v>
      </x:c>
      <x:c r="H42" s="35" t="n">
        <x:v>14</x:v>
      </x:c>
      <x:c r="I42" s="27" t="str">
        <x:v>ASM-2026-013</x:v>
      </x:c>
      <x:c r="J42" s="27" t="str">
        <x:v>STEP-2026-013-01</x:v>
      </x:c>
    </x:row>
    <x:row r="43">
      <x:c r="A43" s="28" t="str">
        <x:v>ENT</x:v>
      </x:c>
      <x:c r="B43" s="37" t="n">
        <x:v>46037</x:v>
      </x:c>
      <x:c r="C43" s="26" t="str">
        <x:v>RAH01-2026-013</x:v>
      </x:c>
      <x:c r="D43" s="35" t="n">
        <x:v>2</x:v>
      </x:c>
      <x:c r="E43" s="25" t="str">
        <x:v>ENT: Assist therapeutic exercise and transfer</x:v>
      </x:c>
      <x:c r="F43" s="25" t="str">
        <x:v>manual handling, push/pull force</x:v>
      </x:c>
      <x:c r="G43" s="25" t="str">
        <x:v>3–6 hours/shift</x:v>
      </x:c>
      <x:c r="H43" s="35" t="n">
        <x:v>17</x:v>
      </x:c>
      <x:c r="I43" s="27" t="str">
        <x:v>ASM-2026-013</x:v>
      </x:c>
      <x:c r="J43" s="27" t="str">
        <x:v>STEP-2026-013-02</x:v>
      </x:c>
    </x:row>
    <x:row r="44">
      <x:c r="A44" s="28" t="str">
        <x:v>ENT</x:v>
      </x:c>
      <x:c r="B44" s="37" t="n">
        <x:v>46037</x:v>
      </x:c>
      <x:c r="C44" s="26" t="str">
        <x:v>RAH01-2026-013</x:v>
      </x:c>
      <x:c r="D44" s="35" t="n">
        <x:v>3</x:v>
      </x:c>
      <x:c r="E44" s="25" t="str">
        <x:v>ENT: Set up and clean therapy equipment</x:v>
      </x:c>
      <x:c r="F44" s="25" t="str">
        <x:v>electrical equipment, disinfectants</x:v>
      </x:c>
      <x:c r="G44" s="25" t="str">
        <x:v>Between patients</x:v>
      </x:c>
      <x:c r="H44" s="35" t="n">
        <x:v>20</x:v>
      </x:c>
      <x:c r="I44" s="27" t="str">
        <x:v>ASM-2026-013</x:v>
      </x:c>
      <x:c r="J44" s="27" t="str">
        <x:v>STEP-2026-013-03</x:v>
      </x:c>
    </x:row>
    <x:row r="45">
      <x:c r="A45" s="28" t="str">
        <x:v>Environmental Health</x:v>
      </x:c>
      <x:c r="B45" s="37" t="n">
        <x:v>46071</x:v>
      </x:c>
      <x:c r="C45" s="26" t="str">
        <x:v>RAH01-2026-014</x:v>
      </x:c>
      <x:c r="D45" s="35" t="n">
        <x:v>1</x:v>
      </x:c>
      <x:c r="E45" s="25" t="str">
        <x:v>Environmental Health: Prepare dental unit and instruments</x:v>
      </x:c>
      <x:c r="F45" s="25" t="str">
        <x:v>disinfectants, sharps, electrical equipment</x:v>
      </x:c>
      <x:c r="G45" s="25" t="str">
        <x:v>Before each patient</x:v>
      </x:c>
      <x:c r="H45" s="35" t="n">
        <x:v>15</x:v>
      </x:c>
      <x:c r="I45" s="27" t="str">
        <x:v>ASM-2026-014</x:v>
      </x:c>
      <x:c r="J45" s="27" t="str">
        <x:v>STEP-2026-014-01</x:v>
      </x:c>
    </x:row>
    <x:row r="46">
      <x:c r="A46" s="28" t="str">
        <x:v>Environmental Health</x:v>
      </x:c>
      <x:c r="B46" s="37" t="n">
        <x:v>46071</x:v>
      </x:c>
      <x:c r="C46" s="26" t="str">
        <x:v>RAH01-2026-014</x:v>
      </x:c>
      <x:c r="D46" s="35" t="n">
        <x:v>2</x:v>
      </x:c>
      <x:c r="E46" s="25" t="str">
        <x:v>Environmental Health: Perform chairside dental treatment</x:v>
      </x:c>
      <x:c r="F46" s="25" t="str">
        <x:v>aerosols, sharps, awkward posture</x:v>
      </x:c>
      <x:c r="G46" s="25" t="str">
        <x:v>4–7 hours/shift</x:v>
      </x:c>
      <x:c r="H46" s="35" t="n">
        <x:v>18</x:v>
      </x:c>
      <x:c r="I46" s="27" t="str">
        <x:v>ASM-2026-014</x:v>
      </x:c>
      <x:c r="J46" s="27" t="str">
        <x:v>STEP-2026-014-02</x:v>
      </x:c>
    </x:row>
    <x:row r="47">
      <x:c r="A47" s="28" t="str">
        <x:v>Environmental Health</x:v>
      </x:c>
      <x:c r="B47" s="37" t="n">
        <x:v>46071</x:v>
      </x:c>
      <x:c r="C47" s="26" t="str">
        <x:v>RAH01-2026-014</x:v>
      </x:c>
      <x:c r="D47" s="35" t="n">
        <x:v>3</x:v>
      </x:c>
      <x:c r="E47" s="25" t="str">
        <x:v>Environmental Health: Process instruments and clinical waste</x:v>
      </x:c>
      <x:c r="F47" s="25" t="str">
        <x:v>sharps, chemicals, infection</x:v>
      </x:c>
      <x:c r="G47" s="25" t="str">
        <x:v>After each case</x:v>
      </x:c>
      <x:c r="H47" s="35" t="n">
        <x:v>21</x:v>
      </x:c>
      <x:c r="I47" s="27" t="str">
        <x:v>ASM-2026-014</x:v>
      </x:c>
      <x:c r="J47" s="27" t="str">
        <x:v>STEP-2026-014-03</x:v>
      </x:c>
    </x:row>
    <x:row r="48">
      <x:c r="A48" s="28" t="str">
        <x:v>Eye Clinic</x:v>
      </x:c>
      <x:c r="B48" s="37" t="n">
        <x:v>46102</x:v>
      </x:c>
      <x:c r="C48" s="26" t="str">
        <x:v>RAH01-2026-015</x:v>
      </x:c>
      <x:c r="D48" s="35" t="n">
        <x:v>1</x:v>
      </x:c>
      <x:c r="E48" s="25" t="str">
        <x:v>Eye Clinic: Register, screen, and assess ambulatory patients</x:v>
      </x:c>
      <x:c r="F48" s="25" t="str">
        <x:v>crowding, infection, prolonged standing</x:v>
      </x:c>
      <x:c r="G48" s="25" t="str">
        <x:v>Continuous</x:v>
      </x:c>
      <x:c r="H48" s="35" t="n">
        <x:v>16</x:v>
      </x:c>
      <x:c r="I48" s="27" t="str">
        <x:v>ASM-2026-015</x:v>
      </x:c>
      <x:c r="J48" s="27" t="str">
        <x:v>STEP-2026-015-01</x:v>
      </x:c>
    </x:row>
    <x:row r="49">
      <x:c r="A49" s="28" t="str">
        <x:v>Eye Clinic</x:v>
      </x:c>
      <x:c r="B49" s="37" t="n">
        <x:v>46102</x:v>
      </x:c>
      <x:c r="C49" s="26" t="str">
        <x:v>RAH01-2026-015</x:v>
      </x:c>
      <x:c r="D49" s="35" t="n">
        <x:v>2</x:v>
      </x:c>
      <x:c r="E49" s="25" t="str">
        <x:v>Eye Clinic: Perform examination or minor treatment</x:v>
      </x:c>
      <x:c r="F49" s="25" t="str">
        <x:v>sharps, close patient contact</x:v>
      </x:c>
      <x:c r="G49" s="25" t="str">
        <x:v>10–40 cases/shift</x:v>
      </x:c>
      <x:c r="H49" s="35" t="n">
        <x:v>19</x:v>
      </x:c>
      <x:c r="I49" s="27" t="str">
        <x:v>ASM-2026-015</x:v>
      </x:c>
      <x:c r="J49" s="27" t="str">
        <x:v>STEP-2026-015-02</x:v>
      </x:c>
    </x:row>
    <x:row r="50">
      <x:c r="A50" s="28" t="str">
        <x:v>Eye Clinic</x:v>
      </x:c>
      <x:c r="B50" s="37" t="n">
        <x:v>46102</x:v>
      </x:c>
      <x:c r="C50" s="26" t="str">
        <x:v>RAH01-2026-015</x:v>
      </x:c>
      <x:c r="D50" s="35" t="n">
        <x:v>3</x:v>
      </x:c>
      <x:c r="E50" s="25" t="str">
        <x:v>Eye Clinic: Provide education and coordinate follow-up</x:v>
      </x:c>
      <x:c r="F50" s="25" t="str">
        <x:v>voice strain, screen work, workload</x:v>
      </x:c>
      <x:c r="G50" s="25" t="str">
        <x:v>2–4 hours/shift</x:v>
      </x:c>
      <x:c r="H50" s="35" t="n">
        <x:v>22</x:v>
      </x:c>
      <x:c r="I50" s="27" t="str">
        <x:v>ASM-2026-015</x:v>
      </x:c>
      <x:c r="J50" s="27" t="str">
        <x:v>STEP-2026-015-03</x:v>
      </x:c>
    </x:row>
    <x:row r="51">
      <x:c r="A51" s="28" t="str">
        <x:v>Family Medicine</x:v>
      </x:c>
      <x:c r="B51" s="37" t="n">
        <x:v>46136</x:v>
      </x:c>
      <x:c r="C51" s="26" t="str">
        <x:v>RAH01-2026-016</x:v>
      </x:c>
      <x:c r="D51" s="35" t="n">
        <x:v>1</x:v>
      </x:c>
      <x:c r="E51" s="25" t="str">
        <x:v>Family Medicine: Register, screen, and assess ambulatory patients</x:v>
      </x:c>
      <x:c r="F51" s="25" t="str">
        <x:v>crowding, infection, prolonged standing</x:v>
      </x:c>
      <x:c r="G51" s="25" t="str">
        <x:v>Continuous</x:v>
      </x:c>
      <x:c r="H51" s="35" t="n">
        <x:v>17</x:v>
      </x:c>
      <x:c r="I51" s="27" t="str">
        <x:v>ASM-2026-016</x:v>
      </x:c>
      <x:c r="J51" s="27" t="str">
        <x:v>STEP-2026-016-01</x:v>
      </x:c>
    </x:row>
    <x:row r="52">
      <x:c r="A52" s="28" t="str">
        <x:v>Family Medicine</x:v>
      </x:c>
      <x:c r="B52" s="37" t="n">
        <x:v>46136</x:v>
      </x:c>
      <x:c r="C52" s="26" t="str">
        <x:v>RAH01-2026-016</x:v>
      </x:c>
      <x:c r="D52" s="35" t="n">
        <x:v>2</x:v>
      </x:c>
      <x:c r="E52" s="25" t="str">
        <x:v>Family Medicine: Perform examination or minor treatment</x:v>
      </x:c>
      <x:c r="F52" s="25" t="str">
        <x:v>sharps, close patient contact</x:v>
      </x:c>
      <x:c r="G52" s="25" t="str">
        <x:v>10–40 cases/shift</x:v>
      </x:c>
      <x:c r="H52" s="35" t="n">
        <x:v>20</x:v>
      </x:c>
      <x:c r="I52" s="27" t="str">
        <x:v>ASM-2026-016</x:v>
      </x:c>
      <x:c r="J52" s="27" t="str">
        <x:v>STEP-2026-016-02</x:v>
      </x:c>
    </x:row>
    <x:row r="53">
      <x:c r="A53" s="28" t="str">
        <x:v>Gastroenterology</x:v>
      </x:c>
      <x:c r="B53" s="37" t="n">
        <x:v>46144</x:v>
      </x:c>
      <x:c r="C53" s="26" t="str">
        <x:v>RAH01-2026-017</x:v>
      </x:c>
      <x:c r="D53" s="35" t="n">
        <x:v>1</x:v>
      </x:c>
      <x:c r="E53" s="25" t="str">
        <x:v>Gastroenterology: Register, screen, and assess ambulatory patients</x:v>
      </x:c>
      <x:c r="F53" s="25" t="str">
        <x:v>crowding, infection, prolonged standing</x:v>
      </x:c>
      <x:c r="G53" s="25" t="str">
        <x:v>Continuous</x:v>
      </x:c>
      <x:c r="H53" s="35" t="n">
        <x:v>9</x:v>
      </x:c>
      <x:c r="I53" s="27" t="str">
        <x:v>ASM-2026-017</x:v>
      </x:c>
      <x:c r="J53" s="27" t="str">
        <x:v>STEP-2026-017-01</x:v>
      </x:c>
    </x:row>
    <x:row r="54">
      <x:c r="A54" s="28" t="str">
        <x:v>Gastroenterology</x:v>
      </x:c>
      <x:c r="B54" s="37" t="n">
        <x:v>46144</x:v>
      </x:c>
      <x:c r="C54" s="26" t="str">
        <x:v>RAH01-2026-017</x:v>
      </x:c>
      <x:c r="D54" s="35" t="n">
        <x:v>2</x:v>
      </x:c>
      <x:c r="E54" s="25" t="str">
        <x:v>Gastroenterology: Perform examination or minor treatment</x:v>
      </x:c>
      <x:c r="F54" s="25" t="str">
        <x:v>sharps, close patient contact</x:v>
      </x:c>
      <x:c r="G54" s="25" t="str">
        <x:v>10–40 cases/shift</x:v>
      </x:c>
      <x:c r="H54" s="35" t="n">
        <x:v>3</x:v>
      </x:c>
      <x:c r="I54" s="27" t="str">
        <x:v>ASM-2026-017</x:v>
      </x:c>
      <x:c r="J54" s="27" t="str">
        <x:v>STEP-2026-017-02</x:v>
      </x:c>
    </x:row>
    <x:row r="55">
      <x:c r="A55" s="28" t="str">
        <x:v>Gastroenterology</x:v>
      </x:c>
      <x:c r="B55" s="37" t="n">
        <x:v>46144</x:v>
      </x:c>
      <x:c r="C55" s="26" t="str">
        <x:v>RAH01-2026-017</x:v>
      </x:c>
      <x:c r="D55" s="35" t="n">
        <x:v>3</x:v>
      </x:c>
      <x:c r="E55" s="25" t="str">
        <x:v>Gastroenterology: Provide education and coordinate follow-up</x:v>
      </x:c>
      <x:c r="F55" s="25" t="str">
        <x:v>voice strain, screen work, workload</x:v>
      </x:c>
      <x:c r="G55" s="25" t="str">
        <x:v>2–4 hours/shift</x:v>
      </x:c>
      <x:c r="H55" s="35" t="n">
        <x:v>6</x:v>
      </x:c>
      <x:c r="I55" s="27" t="str">
        <x:v>ASM-2026-017</x:v>
      </x:c>
      <x:c r="J55" s="27" t="str">
        <x:v>STEP-2026-017-03</x:v>
      </x:c>
    </x:row>
    <x:row r="56">
      <x:c r="A56" s="28" t="str">
        <x:v>General Surgery</x:v>
      </x:c>
      <x:c r="B56" s="37" t="n">
        <x:v>46178</x:v>
      </x:c>
      <x:c r="C56" s="26" t="str">
        <x:v>RAH01-2026-018</x:v>
      </x:c>
      <x:c r="D56" s="35" t="n">
        <x:v>1</x:v>
      </x:c>
      <x:c r="E56" s="25" t="str">
        <x:v>General Surgery: Assess patients and provide bedside care</x:v>
      </x:c>
      <x:c r="F56" s="25" t="str">
        <x:v>infection, sharps, workload</x:v>
      </x:c>
      <x:c r="G56" s="25" t="str">
        <x:v>Continuous</x:v>
      </x:c>
      <x:c r="H56" s="35" t="n">
        <x:v>3</x:v>
      </x:c>
      <x:c r="I56" s="27" t="str">
        <x:v>ASM-2026-018</x:v>
      </x:c>
      <x:c r="J56" s="27" t="str">
        <x:v>STEP-2026-018-01</x:v>
      </x:c>
    </x:row>
    <x:row r="57">
      <x:c r="A57" s="28" t="str">
        <x:v>General Surgery</x:v>
      </x:c>
      <x:c r="B57" s="37" t="n">
        <x:v>46178</x:v>
      </x:c>
      <x:c r="C57" s="26" t="str">
        <x:v>RAH01-2026-018</x:v>
      </x:c>
      <x:c r="D57" s="35" t="n">
        <x:v>2</x:v>
      </x:c>
      <x:c r="E57" s="25" t="str">
        <x:v>General Surgery: Administer medicines and collect specimens</x:v>
      </x:c>
      <x:c r="F57" s="25" t="str">
        <x:v>sharps, medicines, body fluids</x:v>
      </x:c>
      <x:c r="G57" s="25" t="str">
        <x:v>3–6 rounds/shift</x:v>
      </x:c>
      <x:c r="H57" s="35" t="n">
        <x:v>6</x:v>
      </x:c>
      <x:c r="I57" s="27" t="str">
        <x:v>ASM-2026-018</x:v>
      </x:c>
      <x:c r="J57" s="27" t="str">
        <x:v>STEP-2026-018-02</x:v>
      </x:c>
    </x:row>
    <x:row r="58">
      <x:c r="A58" s="28" t="str">
        <x:v>General Surgery</x:v>
      </x:c>
      <x:c r="B58" s="37" t="n">
        <x:v>46178</x:v>
      </x:c>
      <x:c r="C58" s="26" t="str">
        <x:v>RAH01-2026-018</x:v>
      </x:c>
      <x:c r="D58" s="35" t="n">
        <x:v>3</x:v>
      </x:c>
      <x:c r="E58" s="25" t="str">
        <x:v>General Surgery: Reposition and transfer patients</x:v>
      </x:c>
      <x:c r="F58" s="25" t="str">
        <x:v>manual handling, awkward posture</x:v>
      </x:c>
      <x:c r="G58" s="25" t="str">
        <x:v>6–15 times/shift</x:v>
      </x:c>
      <x:c r="H58" s="35" t="n">
        <x:v>9</x:v>
      </x:c>
      <x:c r="I58" s="27" t="str">
        <x:v>ASM-2026-018</x:v>
      </x:c>
      <x:c r="J58" s="27" t="str">
        <x:v>STEP-2026-018-03</x:v>
      </x:c>
    </x:row>
    <x:row r="59">
      <x:c r="A59" s="28" t="str">
        <x:v>General Surgery</x:v>
      </x:c>
      <x:c r="B59" s="37" t="n">
        <x:v>46178</x:v>
      </x:c>
      <x:c r="C59" s="26" t="str">
        <x:v>RAH01-2026-018</x:v>
      </x:c>
      <x:c r="D59" s="35" t="n">
        <x:v>4</x:v>
      </x:c>
      <x:c r="E59" s="25" t="str">
        <x:v>General Surgery: Document care and coordinate discharge</x:v>
      </x:c>
      <x:c r="F59" s="25" t="str">
        <x:v>screen work, sitting, stress</x:v>
      </x:c>
      <x:c r="G59" s="25" t="str">
        <x:v>1–3 hours/shift</x:v>
      </x:c>
      <x:c r="H59" s="35" t="n">
        <x:v>12</x:v>
      </x:c>
      <x:c r="I59" s="27" t="str">
        <x:v>ASM-2026-018</x:v>
      </x:c>
      <x:c r="J59" s="27" t="str">
        <x:v>STEP-2026-018-04</x:v>
      </x:c>
    </x:row>
    <x:row r="60">
      <x:c r="A60" s="28" t="str">
        <x:v>Haemodialysis</x:v>
      </x:c>
      <x:c r="B60" s="37" t="n">
        <x:v>46030</x:v>
      </x:c>
      <x:c r="C60" s="26" t="str">
        <x:v>RAH01-2026-019</x:v>
      </x:c>
      <x:c r="D60" s="35" t="n">
        <x:v>1</x:v>
      </x:c>
      <x:c r="E60" s="25" t="str">
        <x:v>Haemodialysis: Register, screen, and assess ambulatory patients</x:v>
      </x:c>
      <x:c r="F60" s="25" t="str">
        <x:v>crowding, infection, prolonged standing</x:v>
      </x:c>
      <x:c r="G60" s="25" t="str">
        <x:v>Continuous</x:v>
      </x:c>
      <x:c r="H60" s="35" t="n">
        <x:v>20</x:v>
      </x:c>
      <x:c r="I60" s="27" t="str">
        <x:v>ASM-2026-019</x:v>
      </x:c>
      <x:c r="J60" s="27" t="str">
        <x:v>STEP-2026-019-01</x:v>
      </x:c>
    </x:row>
    <x:row r="61">
      <x:c r="A61" s="28" t="str">
        <x:v>Haemodialysis</x:v>
      </x:c>
      <x:c r="B61" s="37" t="n">
        <x:v>46030</x:v>
      </x:c>
      <x:c r="C61" s="26" t="str">
        <x:v>RAH01-2026-019</x:v>
      </x:c>
      <x:c r="D61" s="35" t="n">
        <x:v>2</x:v>
      </x:c>
      <x:c r="E61" s="25" t="str">
        <x:v>Haemodialysis: Perform examination or minor treatment</x:v>
      </x:c>
      <x:c r="F61" s="25" t="str">
        <x:v>sharps, close patient contact</x:v>
      </x:c>
      <x:c r="G61" s="25" t="str">
        <x:v>10–40 cases/shift</x:v>
      </x:c>
      <x:c r="H61" s="35" t="n">
        <x:v>23</x:v>
      </x:c>
      <x:c r="I61" s="27" t="str">
        <x:v>ASM-2026-019</x:v>
      </x:c>
      <x:c r="J61" s="27" t="str">
        <x:v>STEP-2026-019-02</x:v>
      </x:c>
    </x:row>
    <x:row r="62">
      <x:c r="A62" s="28" t="str">
        <x:v>Haemodialysis</x:v>
      </x:c>
      <x:c r="B62" s="37" t="n">
        <x:v>46030</x:v>
      </x:c>
      <x:c r="C62" s="26" t="str">
        <x:v>RAH01-2026-019</x:v>
      </x:c>
      <x:c r="D62" s="35" t="n">
        <x:v>3</x:v>
      </x:c>
      <x:c r="E62" s="25" t="str">
        <x:v>Haemodialysis: Provide education and coordinate follow-up</x:v>
      </x:c>
      <x:c r="F62" s="25" t="str">
        <x:v>voice strain, screen work, workload</x:v>
      </x:c>
      <x:c r="G62" s="25" t="str">
        <x:v>2–4 hours/shift</x:v>
      </x:c>
      <x:c r="H62" s="35" t="n">
        <x:v>3</x:v>
      </x:c>
      <x:c r="I62" s="27" t="str">
        <x:v>ASM-2026-019</x:v>
      </x:c>
      <x:c r="J62" s="27" t="str">
        <x:v>STEP-2026-019-03</x:v>
      </x:c>
    </x:row>
    <x:row r="63">
      <x:c r="A63" s="28" t="str">
        <x:v>Health Promotion</x:v>
      </x:c>
      <x:c r="B63" s="37" t="n">
        <x:v>46064</x:v>
      </x:c>
      <x:c r="C63" s="26" t="str">
        <x:v>RAH01-2026-020</x:v>
      </x:c>
      <x:c r="D63" s="35" t="n">
        <x:v>1</x:v>
      </x:c>
      <x:c r="E63" s="25" t="str">
        <x:v>Health Promotion: Assess patients and provide bedside care</x:v>
      </x:c>
      <x:c r="F63" s="25" t="str">
        <x:v>infection, sharps, workload</x:v>
      </x:c>
      <x:c r="G63" s="25" t="str">
        <x:v>Continuous</x:v>
      </x:c>
      <x:c r="H63" s="35" t="n">
        <x:v>21</x:v>
      </x:c>
      <x:c r="I63" s="27" t="str">
        <x:v>ASM-2026-020</x:v>
      </x:c>
      <x:c r="J63" s="27" t="str">
        <x:v>STEP-2026-020-01</x:v>
      </x:c>
    </x:row>
    <x:row r="64">
      <x:c r="A64" s="28" t="str">
        <x:v>Health Promotion</x:v>
      </x:c>
      <x:c r="B64" s="37" t="n">
        <x:v>46064</x:v>
      </x:c>
      <x:c r="C64" s="26" t="str">
        <x:v>RAH01-2026-020</x:v>
      </x:c>
      <x:c r="D64" s="35" t="n">
        <x:v>2</x:v>
      </x:c>
      <x:c r="E64" s="25" t="str">
        <x:v>Health Promotion: Administer medicines and collect specimens</x:v>
      </x:c>
      <x:c r="F64" s="25" t="str">
        <x:v>sharps, medicines, body fluids</x:v>
      </x:c>
      <x:c r="G64" s="25" t="str">
        <x:v>3–6 rounds/shift</x:v>
      </x:c>
      <x:c r="H64" s="35" t="n">
        <x:v>24</x:v>
      </x:c>
      <x:c r="I64" s="27" t="str">
        <x:v>ASM-2026-020</x:v>
      </x:c>
      <x:c r="J64" s="27" t="str">
        <x:v>STEP-2026-020-02</x:v>
      </x:c>
    </x:row>
    <x:row r="65">
      <x:c r="A65" s="28" t="str">
        <x:v>Hematology</x:v>
      </x:c>
      <x:c r="B65" s="37" t="n">
        <x:v>46095</x:v>
      </x:c>
      <x:c r="C65" s="26" t="str">
        <x:v>RAH01-2026-021</x:v>
      </x:c>
      <x:c r="D65" s="35" t="n">
        <x:v>1</x:v>
      </x:c>
      <x:c r="E65" s="25" t="str">
        <x:v>Hematology: Receive, label, and sort clinical specimens</x:v>
      </x:c>
      <x:c r="F65" s="25" t="str">
        <x:v>infectious material, repetitive handling</x:v>
      </x:c>
      <x:c r="G65" s="25" t="str">
        <x:v>Continuous</x:v>
      </x:c>
      <x:c r="H65" s="35" t="n">
        <x:v>22</x:v>
      </x:c>
      <x:c r="I65" s="27" t="str">
        <x:v>ASM-2026-021</x:v>
      </x:c>
      <x:c r="J65" s="27" t="str">
        <x:v>STEP-2026-021-01</x:v>
      </x:c>
    </x:row>
    <x:row r="66">
      <x:c r="A66" s="28" t="str">
        <x:v>Hematology</x:v>
      </x:c>
      <x:c r="B66" s="37" t="n">
        <x:v>46095</x:v>
      </x:c>
      <x:c r="C66" s="26" t="str">
        <x:v>RAH01-2026-021</x:v>
      </x:c>
      <x:c r="D66" s="35" t="n">
        <x:v>2</x:v>
      </x:c>
      <x:c r="E66" s="25" t="str">
        <x:v>Hematology: Prepare and analyze specimens</x:v>
      </x:c>
      <x:c r="F66" s="25" t="str">
        <x:v>aerosols, sharps, chemicals</x:v>
      </x:c>
      <x:c r="G66" s="25" t="str">
        <x:v>4–6 hours/shift</x:v>
      </x:c>
      <x:c r="H66" s="35" t="n">
        <x:v>25</x:v>
      </x:c>
      <x:c r="I66" s="27" t="str">
        <x:v>ASM-2026-021</x:v>
      </x:c>
      <x:c r="J66" s="27" t="str">
        <x:v>STEP-2026-021-02</x:v>
      </x:c>
    </x:row>
    <x:row r="67">
      <x:c r="A67" s="28" t="str">
        <x:v>Hematology</x:v>
      </x:c>
      <x:c r="B67" s="37" t="n">
        <x:v>46095</x:v>
      </x:c>
      <x:c r="C67" s="26" t="str">
        <x:v>RAH01-2026-021</x:v>
      </x:c>
      <x:c r="D67" s="35" t="n">
        <x:v>3</x:v>
      </x:c>
      <x:c r="E67" s="25" t="str">
        <x:v>Hematology: Operate analyzers and centrifuges</x:v>
      </x:c>
      <x:c r="F67" s="25" t="str">
        <x:v>noise, machinery, electrical equipment</x:v>
      </x:c>
      <x:c r="G67" s="25" t="str">
        <x:v>2–5 hours/shift</x:v>
      </x:c>
      <x:c r="H67" s="35" t="n">
        <x:v>28</x:v>
      </x:c>
      <x:c r="I67" s="27" t="str">
        <x:v>ASM-2026-021</x:v>
      </x:c>
      <x:c r="J67" s="27" t="str">
        <x:v>STEP-2026-021-03</x:v>
      </x:c>
    </x:row>
    <x:row r="68">
      <x:c r="A68" s="28" t="str">
        <x:v>ICU 1</x:v>
      </x:c>
      <x:c r="B68" s="37" t="n">
        <x:v>46129</x:v>
      </x:c>
      <x:c r="C68" s="26" t="str">
        <x:v>RAH01-2026-022</x:v>
      </x:c>
      <x:c r="D68" s="35" t="n">
        <x:v>1</x:v>
      </x:c>
      <x:c r="E68" s="25" t="str">
        <x:v>ICU 1: Receive, label, and sort clinical specimens</x:v>
      </x:c>
      <x:c r="F68" s="25" t="str">
        <x:v>infectious material, repetitive handling</x:v>
      </x:c>
      <x:c r="G68" s="25" t="str">
        <x:v>Continuous</x:v>
      </x:c>
      <x:c r="H68" s="35" t="n">
        <x:v>23</x:v>
      </x:c>
      <x:c r="I68" s="27" t="str">
        <x:v>ASM-2026-022</x:v>
      </x:c>
      <x:c r="J68" s="27" t="str">
        <x:v>STEP-2026-022-01</x:v>
      </x:c>
    </x:row>
    <x:row r="69">
      <x:c r="A69" s="28" t="str">
        <x:v>ICU 1</x:v>
      </x:c>
      <x:c r="B69" s="37" t="n">
        <x:v>46129</x:v>
      </x:c>
      <x:c r="C69" s="26" t="str">
        <x:v>RAH01-2026-022</x:v>
      </x:c>
      <x:c r="D69" s="35" t="n">
        <x:v>2</x:v>
      </x:c>
      <x:c r="E69" s="25" t="str">
        <x:v>ICU 1: Prepare and analyze specimens</x:v>
      </x:c>
      <x:c r="F69" s="25" t="str">
        <x:v>aerosols, sharps, chemicals</x:v>
      </x:c>
      <x:c r="G69" s="25" t="str">
        <x:v>4–6 hours/shift</x:v>
      </x:c>
      <x:c r="H69" s="35" t="n">
        <x:v>26</x:v>
      </x:c>
      <x:c r="I69" s="27" t="str">
        <x:v>ASM-2026-022</x:v>
      </x:c>
      <x:c r="J69" s="27" t="str">
        <x:v>STEP-2026-022-02</x:v>
      </x:c>
    </x:row>
    <x:row r="70">
      <x:c r="A70" s="28" t="str">
        <x:v>ICU 1</x:v>
      </x:c>
      <x:c r="B70" s="37" t="n">
        <x:v>46129</x:v>
      </x:c>
      <x:c r="C70" s="26" t="str">
        <x:v>RAH01-2026-022</x:v>
      </x:c>
      <x:c r="D70" s="35" t="n">
        <x:v>3</x:v>
      </x:c>
      <x:c r="E70" s="25" t="str">
        <x:v>ICU 1: Operate analyzers and centrifuges</x:v>
      </x:c>
      <x:c r="F70" s="25" t="str">
        <x:v>noise, machinery, electrical equipment</x:v>
      </x:c>
      <x:c r="G70" s="25" t="str">
        <x:v>2–5 hours/shift</x:v>
      </x:c>
      <x:c r="H70" s="35" t="n">
        <x:v>29</x:v>
      </x:c>
      <x:c r="I70" s="27" t="str">
        <x:v>ASM-2026-022</x:v>
      </x:c>
      <x:c r="J70" s="27" t="str">
        <x:v>STEP-2026-022-03</x:v>
      </x:c>
    </x:row>
    <x:row r="71">
      <x:c r="A71" s="28" t="str">
        <x:v>ICU 1</x:v>
      </x:c>
      <x:c r="B71" s="37" t="n">
        <x:v>46129</x:v>
      </x:c>
      <x:c r="C71" s="26" t="str">
        <x:v>RAH01-2026-022</x:v>
      </x:c>
      <x:c r="D71" s="35" t="n">
        <x:v>4</x:v>
      </x:c>
      <x:c r="E71" s="25" t="str">
        <x:v>ICU 1: Disinfect benches and segregate waste</x:v>
      </x:c>
      <x:c r="F71" s="25" t="str">
        <x:v>disinfectants, spills, infectious waste</x:v>
      </x:c>
      <x:c r="G71" s="25" t="str">
        <x:v>End of batch/shift</x:v>
      </x:c>
      <x:c r="H71" s="35" t="n">
        <x:v>32</x:v>
      </x:c>
      <x:c r="I71" s="27" t="str">
        <x:v>ASM-2026-022</x:v>
      </x:c>
      <x:c r="J71" s="27" t="str">
        <x:v>STEP-2026-022-04</x:v>
      </x:c>
    </x:row>
    <x:row r="72">
      <x:c r="A72" s="28" t="str">
        <x:v>ICU 2</x:v>
      </x:c>
      <x:c r="B72" s="37" t="n">
        <x:v>46162</x:v>
      </x:c>
      <x:c r="C72" s="26" t="str">
        <x:v>RAH01-2026-023</x:v>
      </x:c>
      <x:c r="D72" s="35" t="n">
        <x:v>1</x:v>
      </x:c>
      <x:c r="E72" s="25" t="str">
        <x:v>ICU 2: Review requests, records, or administrative cases</x:v>
      </x:c>
      <x:c r="F72" s="25" t="str">
        <x:v>screen work, prolonged sitting, workload</x:v>
      </x:c>
      <x:c r="G72" s="25" t="str">
        <x:v>4–6 hours/day</x:v>
      </x:c>
      <x:c r="H72" s="35" t="n">
        <x:v>24</x:v>
      </x:c>
      <x:c r="I72" s="27" t="str">
        <x:v>ASM-2026-023</x:v>
      </x:c>
      <x:c r="J72" s="27" t="str">
        <x:v>STEP-2026-023-01</x:v>
      </x:c>
    </x:row>
    <x:row r="73">
      <x:c r="A73" s="28" t="str">
        <x:v>ICU 2</x:v>
      </x:c>
      <x:c r="B73" s="37" t="n">
        <x:v>46162</x:v>
      </x:c>
      <x:c r="C73" s="26" t="str">
        <x:v>RAH01-2026-023</x:v>
      </x:c>
      <x:c r="D73" s="35" t="n">
        <x:v>2</x:v>
      </x:c>
      <x:c r="E73" s="25" t="str">
        <x:v>ICU 2: Coordinate with staff, patients, or external parties</x:v>
      </x:c>
      <x:c r="F73" s="25" t="str">
        <x:v>stress, difficult interactions</x:v>
      </x:c>
      <x:c r="G73" s="25" t="str">
        <x:v>1–3 hours/day</x:v>
      </x:c>
      <x:c r="H73" s="35" t="n">
        <x:v>27</x:v>
      </x:c>
      <x:c r="I73" s="27" t="str">
        <x:v>ASM-2026-023</x:v>
      </x:c>
      <x:c r="J73" s="27" t="str">
        <x:v>STEP-2026-023-02</x:v>
      </x:c>
    </x:row>
    <x:row r="74">
      <x:c r="A74" s="28" t="str">
        <x:v>ICU 2</x:v>
      </x:c>
      <x:c r="B74" s="37" t="n">
        <x:v>46162</x:v>
      </x:c>
      <x:c r="C74" s="26" t="str">
        <x:v>RAH01-2026-023</x:v>
      </x:c>
      <x:c r="D74" s="35" t="n">
        <x:v>3</x:v>
      </x:c>
      <x:c r="E74" s="25" t="str">
        <x:v>ICU 2: File, retrieve, and archive documents or supplies</x:v>
      </x:c>
      <x:c r="F74" s="25" t="str">
        <x:v>repetition, lifting, obstruction</x:v>
      </x:c>
      <x:c r="G74" s="25" t="str">
        <x:v>30–90 minutes/day</x:v>
      </x:c>
      <x:c r="H74" s="35" t="n">
        <x:v>30</x:v>
      </x:c>
      <x:c r="I74" s="27" t="str">
        <x:v>ASM-2026-023</x:v>
      </x:c>
      <x:c r="J74" s="27" t="str">
        <x:v>STEP-2026-023-03</x:v>
      </x:c>
    </x:row>
    <x:row r="75">
      <x:c r="A75" s="28" t="str">
        <x:v>Infectious Diseases</x:v>
      </x:c>
      <x:c r="B75" s="37" t="n">
        <x:v>46196</x:v>
      </x:c>
      <x:c r="C75" s="26" t="str">
        <x:v>RAH01-2026-024</x:v>
      </x:c>
      <x:c r="D75" s="35" t="n">
        <x:v>1</x:v>
      </x:c>
      <x:c r="E75" s="25" t="str">
        <x:v>Infectious Diseases: Register, screen, and assess ambulatory patients</x:v>
      </x:c>
      <x:c r="F75" s="25" t="str">
        <x:v>crowding, infection, prolonged standing</x:v>
      </x:c>
      <x:c r="G75" s="25" t="str">
        <x:v>Continuous</x:v>
      </x:c>
      <x:c r="H75" s="35" t="n">
        <x:v>25</x:v>
      </x:c>
      <x:c r="I75" s="27" t="str">
        <x:v>ASM-2026-024</x:v>
      </x:c>
      <x:c r="J75" s="27" t="str">
        <x:v>STEP-2026-024-01</x:v>
      </x:c>
    </x:row>
    <x:row r="76">
      <x:c r="A76" s="28" t="str">
        <x:v>Infectious Diseases</x:v>
      </x:c>
      <x:c r="B76" s="37" t="n">
        <x:v>46196</x:v>
      </x:c>
      <x:c r="C76" s="26" t="str">
        <x:v>RAH01-2026-024</x:v>
      </x:c>
      <x:c r="D76" s="35" t="n">
        <x:v>2</x:v>
      </x:c>
      <x:c r="E76" s="25" t="str">
        <x:v>Infectious Diseases: Perform examination or minor treatment</x:v>
      </x:c>
      <x:c r="F76" s="25" t="str">
        <x:v>sharps, close patient contact</x:v>
      </x:c>
      <x:c r="G76" s="25" t="str">
        <x:v>10–40 cases/shift</x:v>
      </x:c>
      <x:c r="H76" s="35" t="n">
        <x:v>28</x:v>
      </x:c>
      <x:c r="I76" s="27" t="str">
        <x:v>ASM-2026-024</x:v>
      </x:c>
      <x:c r="J76" s="27" t="str">
        <x:v>STEP-2026-024-02</x:v>
      </x:c>
    </x:row>
    <x:row r="77">
      <x:c r="A77" s="28" t="str">
        <x:v>Internal Medicine</x:v>
      </x:c>
      <x:c r="B77" s="37" t="n">
        <x:v>46023</x:v>
      </x:c>
      <x:c r="C77" s="26" t="str">
        <x:v>RAH01-2026-025</x:v>
      </x:c>
      <x:c r="D77" s="35" t="n">
        <x:v>1</x:v>
      </x:c>
      <x:c r="E77" s="25" t="str">
        <x:v>Internal Medicine: Register, screen, and assess ambulatory patients</x:v>
      </x:c>
      <x:c r="F77" s="25" t="str">
        <x:v>crowding, infection, prolonged standing</x:v>
      </x:c>
      <x:c r="G77" s="25" t="str">
        <x:v>Continuous</x:v>
      </x:c>
      <x:c r="H77" s="35" t="n">
        <x:v>5</x:v>
      </x:c>
      <x:c r="I77" s="27" t="str">
        <x:v>ASM-2026-025</x:v>
      </x:c>
      <x:c r="J77" s="27" t="str">
        <x:v>STEP-2026-025-01</x:v>
      </x:c>
    </x:row>
    <x:row r="78">
      <x:c r="A78" s="28" t="str">
        <x:v>Internal Medicine</x:v>
      </x:c>
      <x:c r="B78" s="37" t="n">
        <x:v>46023</x:v>
      </x:c>
      <x:c r="C78" s="26" t="str">
        <x:v>RAH01-2026-025</x:v>
      </x:c>
      <x:c r="D78" s="35" t="n">
        <x:v>2</x:v>
      </x:c>
      <x:c r="E78" s="25" t="str">
        <x:v>Internal Medicine: Perform examination or minor treatment</x:v>
      </x:c>
      <x:c r="F78" s="25" t="str">
        <x:v>sharps, close patient contact</x:v>
      </x:c>
      <x:c r="G78" s="25" t="str">
        <x:v>10–40 cases/shift</x:v>
      </x:c>
      <x:c r="H78" s="35" t="n">
        <x:v>1</x:v>
      </x:c>
      <x:c r="I78" s="27" t="str">
        <x:v>ASM-2026-025</x:v>
      </x:c>
      <x:c r="J78" s="27" t="str">
        <x:v>STEP-2026-025-02</x:v>
      </x:c>
    </x:row>
    <x:row r="79">
      <x:c r="A79" s="28" t="str">
        <x:v>Internal Medicine</x:v>
      </x:c>
      <x:c r="B79" s="37" t="n">
        <x:v>46023</x:v>
      </x:c>
      <x:c r="C79" s="26" t="str">
        <x:v>RAH01-2026-025</x:v>
      </x:c>
      <x:c r="D79" s="35" t="n">
        <x:v>3</x:v>
      </x:c>
      <x:c r="E79" s="25" t="str">
        <x:v>Internal Medicine: Provide education and coordinate follow-up</x:v>
      </x:c>
      <x:c r="F79" s="25" t="str">
        <x:v>voice strain, screen work, workload</x:v>
      </x:c>
      <x:c r="G79" s="25" t="str">
        <x:v>2–4 hours/shift</x:v>
      </x:c>
      <x:c r="H79" s="35" t="n">
        <x:v>4</x:v>
      </x:c>
      <x:c r="I79" s="27" t="str">
        <x:v>ASM-2026-025</x:v>
      </x:c>
      <x:c r="J79" s="27" t="str">
        <x:v>STEP-2026-025-03</x:v>
      </x:c>
    </x:row>
    <x:row r="80">
      <x:c r="A80" s="28" t="str">
        <x:v>Laboratory</x:v>
      </x:c>
      <x:c r="B80" s="37" t="n">
        <x:v>46057</x:v>
      </x:c>
      <x:c r="C80" s="26" t="str">
        <x:v>RAH01-2026-026</x:v>
      </x:c>
      <x:c r="D80" s="35" t="n">
        <x:v>1</x:v>
      </x:c>
      <x:c r="E80" s="25" t="str">
        <x:v>Laboratory: Prepare patient, sterile field, and equipment</x:v>
      </x:c>
      <x:c r="F80" s="25" t="str">
        <x:v>disinfectants, sharps, electrical equipment</x:v>
      </x:c>
      <x:c r="G80" s="25" t="str">
        <x:v>1–2 hours/case</x:v>
      </x:c>
      <x:c r="H80" s="35" t="n">
        <x:v>13</x:v>
      </x:c>
      <x:c r="I80" s="27" t="str">
        <x:v>ASM-2026-026</x:v>
      </x:c>
      <x:c r="J80" s="27" t="str">
        <x:v>STEP-2026-026-01</x:v>
      </x:c>
    </x:row>
    <x:row r="81">
      <x:c r="A81" s="28" t="str">
        <x:v>Laboratory</x:v>
      </x:c>
      <x:c r="B81" s="37" t="n">
        <x:v>46057</x:v>
      </x:c>
      <x:c r="C81" s="26" t="str">
        <x:v>RAH01-2026-026</x:v>
      </x:c>
      <x:c r="D81" s="35" t="n">
        <x:v>2</x:v>
      </x:c>
      <x:c r="E81" s="25" t="str">
        <x:v>Laboratory: Perform or support invasive procedure</x:v>
      </x:c>
      <x:c r="F81" s="25" t="str">
        <x:v>body fluids, sharps, awkward posture</x:v>
      </x:c>
      <x:c r="G81" s="25" t="str">
        <x:v>1–4 hours/case</x:v>
      </x:c>
      <x:c r="H81" s="35" t="n">
        <x:v>2</x:v>
      </x:c>
      <x:c r="I81" s="27" t="str">
        <x:v>ASM-2026-026</x:v>
      </x:c>
      <x:c r="J81" s="27" t="str">
        <x:v>STEP-2026-026-02</x:v>
      </x:c>
    </x:row>
    <x:row r="82">
      <x:c r="A82" s="28" t="str">
        <x:v>Laboratory</x:v>
      </x:c>
      <x:c r="B82" s="37" t="n">
        <x:v>46057</x:v>
      </x:c>
      <x:c r="C82" s="26" t="str">
        <x:v>RAH01-2026-026</x:v>
      </x:c>
      <x:c r="D82" s="35" t="n">
        <x:v>3</x:v>
      </x:c>
      <x:c r="E82" s="25" t="str">
        <x:v>Laboratory: Count and dispose of instruments and waste</x:v>
      </x:c>
      <x:c r="F82" s="25" t="str">
        <x:v>sharps, infectious waste</x:v>
      </x:c>
      <x:c r="G82" s="25" t="str">
        <x:v>20–40 minutes/case</x:v>
      </x:c>
      <x:c r="H82" s="35" t="n">
        <x:v>5</x:v>
      </x:c>
      <x:c r="I82" s="27" t="str">
        <x:v>ASM-2026-026</x:v>
      </x:c>
      <x:c r="J82" s="27" t="str">
        <x:v>STEP-2026-026-03</x:v>
      </x:c>
    </x:row>
    <x:row r="83">
      <x:c r="A83" s="28" t="str">
        <x:v>Laboratory</x:v>
      </x:c>
      <x:c r="B83" s="37" t="n">
        <x:v>46057</x:v>
      </x:c>
      <x:c r="C83" s="26" t="str">
        <x:v>RAH01-2026-026</x:v>
      </x:c>
      <x:c r="D83" s="35" t="n">
        <x:v>4</x:v>
      </x:c>
      <x:c r="E83" s="25" t="str">
        <x:v>Laboratory: Turn over and disinfect the room</x:v>
      </x:c>
      <x:c r="F83" s="25" t="str">
        <x:v>chemical exposure, wet floor</x:v>
      </x:c>
      <x:c r="G83" s="25" t="str">
        <x:v>20–45 minutes/case</x:v>
      </x:c>
      <x:c r="H83" s="35" t="n">
        <x:v>8</x:v>
      </x:c>
      <x:c r="I83" s="27" t="str">
        <x:v>ASM-2026-026</x:v>
      </x:c>
      <x:c r="J83" s="27" t="str">
        <x:v>STEP-2026-026-04</x:v>
      </x:c>
    </x:row>
    <x:row r="84">
      <x:c r="A84" s="28" t="str">
        <x:v>Laundry</x:v>
      </x:c>
      <x:c r="B84" s="37" t="n">
        <x:v>46088</x:v>
      </x:c>
      <x:c r="C84" s="26" t="str">
        <x:v>RAH01-2026-027</x:v>
      </x:c>
      <x:c r="D84" s="35" t="n">
        <x:v>1</x:v>
      </x:c>
      <x:c r="E84" s="25" t="str">
        <x:v>Laundry: Receive and sort contaminated instruments</x:v>
      </x:c>
      <x:c r="F84" s="25" t="str">
        <x:v>sharps, infection, lifting</x:v>
      </x:c>
      <x:c r="G84" s="25" t="str">
        <x:v>2–4 hours/shift</x:v>
      </x:c>
      <x:c r="H84" s="35" t="n">
        <x:v>7</x:v>
      </x:c>
      <x:c r="I84" s="27" t="str">
        <x:v>ASM-2026-027</x:v>
      </x:c>
      <x:c r="J84" s="27" t="str">
        <x:v>STEP-2026-027-01</x:v>
      </x:c>
    </x:row>
    <x:row r="85">
      <x:c r="A85" s="28" t="str">
        <x:v>Laundry</x:v>
      </x:c>
      <x:c r="B85" s="37" t="n">
        <x:v>46088</x:v>
      </x:c>
      <x:c r="C85" s="26" t="str">
        <x:v>RAH01-2026-027</x:v>
      </x:c>
      <x:c r="D85" s="35" t="n">
        <x:v>2</x:v>
      </x:c>
      <x:c r="E85" s="25" t="str">
        <x:v>Laundry: Wash and disinfect instruments</x:v>
      </x:c>
      <x:c r="F85" s="25" t="str">
        <x:v>heat, chemicals, wet surfaces</x:v>
      </x:c>
      <x:c r="G85" s="25" t="str">
        <x:v>2–5 hours/shift</x:v>
      </x:c>
      <x:c r="H85" s="35" t="n">
        <x:v>10</x:v>
      </x:c>
      <x:c r="I85" s="27" t="str">
        <x:v>ASM-2026-027</x:v>
      </x:c>
      <x:c r="J85" s="27" t="str">
        <x:v>STEP-2026-027-02</x:v>
      </x:c>
    </x:row>
    <x:row r="86">
      <x:c r="A86" s="28" t="str">
        <x:v>Laundry</x:v>
      </x:c>
      <x:c r="B86" s="37" t="n">
        <x:v>46088</x:v>
      </x:c>
      <x:c r="C86" s="26" t="str">
        <x:v>RAH01-2026-027</x:v>
      </x:c>
      <x:c r="D86" s="35" t="n">
        <x:v>3</x:v>
      </x:c>
      <x:c r="E86" s="25" t="str">
        <x:v>Laundry: Pack, sterilize, and release sets</x:v>
      </x:c>
      <x:c r="F86" s="25" t="str">
        <x:v>heat, repetitive work, machinery</x:v>
      </x:c>
      <x:c r="G86" s="25" t="str">
        <x:v>Continuous batches</x:v>
      </x:c>
      <x:c r="H86" s="35" t="n">
        <x:v>13</x:v>
      </x:c>
      <x:c r="I86" s="27" t="str">
        <x:v>ASM-2026-027</x:v>
      </x:c>
      <x:c r="J86" s="27" t="str">
        <x:v>STEP-2026-027-03</x:v>
      </x:c>
    </x:row>
    <x:row r="87">
      <x:c r="A87" s="28" t="str">
        <x:v>Medical Records</x:v>
      </x:c>
      <x:c r="B87" s="37" t="n">
        <x:v>46122</x:v>
      </x:c>
      <x:c r="C87" s="26" t="str">
        <x:v>RAH01-2026-028</x:v>
      </x:c>
      <x:c r="D87" s="35" t="n">
        <x:v>1</x:v>
      </x:c>
      <x:c r="E87" s="25" t="str">
        <x:v>Medical Records: Receive and store food supplies</x:v>
      </x:c>
      <x:c r="F87" s="25" t="str">
        <x:v>lifting, cold/heat, obstruction</x:v>
      </x:c>
      <x:c r="G87" s="25" t="str">
        <x:v>1–2 hours/day</x:v>
      </x:c>
      <x:c r="H87" s="35" t="n">
        <x:v>1</x:v>
      </x:c>
      <x:c r="I87" s="27" t="str">
        <x:v>ASM-2026-028</x:v>
      </x:c>
      <x:c r="J87" s="27" t="str">
        <x:v>STEP-2026-028-01</x:v>
      </x:c>
    </x:row>
    <x:row r="88">
      <x:c r="A88" s="28" t="str">
        <x:v>Medical Records</x:v>
      </x:c>
      <x:c r="B88" s="37" t="n">
        <x:v>46122</x:v>
      </x:c>
      <x:c r="C88" s="26" t="str">
        <x:v>RAH01-2026-028</x:v>
      </x:c>
      <x:c r="D88" s="35" t="n">
        <x:v>2</x:v>
      </x:c>
      <x:c r="E88" s="25" t="str">
        <x:v>Medical Records: Prepare and cook meals</x:v>
      </x:c>
      <x:c r="F88" s="25" t="str">
        <x:v>knives, heat, repetitive work</x:v>
      </x:c>
      <x:c r="G88" s="25" t="str">
        <x:v>4–6 hours/shift</x:v>
      </x:c>
      <x:c r="H88" s="35" t="n">
        <x:v>4</x:v>
      </x:c>
      <x:c r="I88" s="27" t="str">
        <x:v>ASM-2026-028</x:v>
      </x:c>
      <x:c r="J88" s="27" t="str">
        <x:v>STEP-2026-028-02</x:v>
      </x:c>
    </x:row>
    <x:row r="89">
      <x:c r="A89" s="28" t="str">
        <x:v>Neonatal ICU</x:v>
      </x:c>
      <x:c r="B89" s="37" t="n">
        <x:v>46155</x:v>
      </x:c>
      <x:c r="C89" s="26" t="str">
        <x:v>RAH01-2026-029</x:v>
      </x:c>
      <x:c r="D89" s="35" t="n">
        <x:v>1</x:v>
      </x:c>
      <x:c r="E89" s="25" t="str">
        <x:v>Neonatal ICU: Review requests, records, or administrative cases</x:v>
      </x:c>
      <x:c r="F89" s="25" t="str">
        <x:v>screen work, prolonged sitting, workload</x:v>
      </x:c>
      <x:c r="G89" s="25" t="str">
        <x:v>4–6 hours/day</x:v>
      </x:c>
      <x:c r="H89" s="35" t="n">
        <x:v>30</x:v>
      </x:c>
      <x:c r="I89" s="27" t="str">
        <x:v>ASM-2026-029</x:v>
      </x:c>
      <x:c r="J89" s="27" t="str">
        <x:v>STEP-2026-029-01</x:v>
      </x:c>
    </x:row>
    <x:row r="90">
      <x:c r="A90" s="28" t="str">
        <x:v>Neonatal ICU</x:v>
      </x:c>
      <x:c r="B90" s="37" t="n">
        <x:v>46155</x:v>
      </x:c>
      <x:c r="C90" s="26" t="str">
        <x:v>RAH01-2026-029</x:v>
      </x:c>
      <x:c r="D90" s="35" t="n">
        <x:v>2</x:v>
      </x:c>
      <x:c r="E90" s="25" t="str">
        <x:v>Neonatal ICU: Coordinate with staff, patients, or external parties</x:v>
      </x:c>
      <x:c r="F90" s="25" t="str">
        <x:v>stress, difficult interactions</x:v>
      </x:c>
      <x:c r="G90" s="25" t="str">
        <x:v>1–3 hours/day</x:v>
      </x:c>
      <x:c r="H90" s="35" t="n">
        <x:v>33</x:v>
      </x:c>
      <x:c r="I90" s="27" t="str">
        <x:v>ASM-2026-029</x:v>
      </x:c>
      <x:c r="J90" s="27" t="str">
        <x:v>STEP-2026-029-02</x:v>
      </x:c>
    </x:row>
    <x:row r="91">
      <x:c r="A91" s="28" t="str">
        <x:v>Neonatal ICU</x:v>
      </x:c>
      <x:c r="B91" s="37" t="n">
        <x:v>46155</x:v>
      </x:c>
      <x:c r="C91" s="26" t="str">
        <x:v>RAH01-2026-029</x:v>
      </x:c>
      <x:c r="D91" s="35" t="n">
        <x:v>3</x:v>
      </x:c>
      <x:c r="E91" s="25" t="str">
        <x:v>Neonatal ICU: File, retrieve, and archive documents or supplies</x:v>
      </x:c>
      <x:c r="F91" s="25" t="str">
        <x:v>repetition, lifting, obstruction</x:v>
      </x:c>
      <x:c r="G91" s="25" t="str">
        <x:v>30–90 minutes/day</x:v>
      </x:c>
      <x:c r="H91" s="35" t="n">
        <x:v>1</x:v>
      </x:c>
      <x:c r="I91" s="27" t="str">
        <x:v>ASM-2026-029</x:v>
      </x:c>
      <x:c r="J91" s="27" t="str">
        <x:v>STEP-2026-029-03</x:v>
      </x:c>
    </x:row>
    <x:row r="92">
      <x:c r="A92" s="28" t="str">
        <x:v>Neurology</x:v>
      </x:c>
      <x:c r="B92" s="37" t="n">
        <x:v>46189</x:v>
      </x:c>
      <x:c r="C92" s="26" t="str">
        <x:v>RAH01-2026-030</x:v>
      </x:c>
      <x:c r="D92" s="35" t="n">
        <x:v>1</x:v>
      </x:c>
      <x:c r="E92" s="25" t="str">
        <x:v>Neurology: Review requests, records, or administrative cases</x:v>
      </x:c>
      <x:c r="F92" s="25" t="str">
        <x:v>screen work, prolonged sitting, workload</x:v>
      </x:c>
      <x:c r="G92" s="25" t="str">
        <x:v>4–6 hours/day</x:v>
      </x:c>
      <x:c r="H92" s="35" t="n">
        <x:v>31</x:v>
      </x:c>
      <x:c r="I92" s="27" t="str">
        <x:v>ASM-2026-030</x:v>
      </x:c>
      <x:c r="J92" s="27" t="str">
        <x:v>STEP-2026-030-01</x:v>
      </x:c>
    </x:row>
    <x:row r="93">
      <x:c r="A93" s="28" t="str">
        <x:v>Neurology</x:v>
      </x:c>
      <x:c r="B93" s="37" t="n">
        <x:v>46189</x:v>
      </x:c>
      <x:c r="C93" s="26" t="str">
        <x:v>RAH01-2026-030</x:v>
      </x:c>
      <x:c r="D93" s="35" t="n">
        <x:v>2</x:v>
      </x:c>
      <x:c r="E93" s="25" t="str">
        <x:v>Neurology: Coordinate with staff, patients, or external parties</x:v>
      </x:c>
      <x:c r="F93" s="25" t="str">
        <x:v>stress, difficult interactions</x:v>
      </x:c>
      <x:c r="G93" s="25" t="str">
        <x:v>1–3 hours/day</x:v>
      </x:c>
      <x:c r="H93" s="35" t="n">
        <x:v>34</x:v>
      </x:c>
      <x:c r="I93" s="27" t="str">
        <x:v>ASM-2026-030</x:v>
      </x:c>
      <x:c r="J93" s="27" t="str">
        <x:v>STEP-2026-030-02</x:v>
      </x:c>
    </x:row>
    <x:row r="94">
      <x:c r="A94" s="28" t="str">
        <x:v>Neurology</x:v>
      </x:c>
      <x:c r="B94" s="37" t="n">
        <x:v>46189</x:v>
      </x:c>
      <x:c r="C94" s="26" t="str">
        <x:v>RAH01-2026-030</x:v>
      </x:c>
      <x:c r="D94" s="35" t="n">
        <x:v>3</x:v>
      </x:c>
      <x:c r="E94" s="25" t="str">
        <x:v>Neurology: File, retrieve, and archive documents or supplies</x:v>
      </x:c>
      <x:c r="F94" s="25" t="str">
        <x:v>repetition, lifting, obstruction</x:v>
      </x:c>
      <x:c r="G94" s="25" t="str">
        <x:v>30–90 minutes/day</x:v>
      </x:c>
      <x:c r="H94" s="35" t="n">
        <x:v>37</x:v>
      </x:c>
      <x:c r="I94" s="27" t="str">
        <x:v>ASM-2026-030</x:v>
      </x:c>
      <x:c r="J94" s="27" t="str">
        <x:v>STEP-2026-030-03</x:v>
      </x:c>
    </x:row>
    <x:row r="95">
      <x:c r="A95" s="28" t="str">
        <x:v>Neurosurgery</x:v>
      </x:c>
      <x:c r="B95" s="37" t="n">
        <x:v>46041</x:v>
      </x:c>
      <x:c r="C95" s="26" t="str">
        <x:v>RAH01-2026-031</x:v>
      </x:c>
      <x:c r="D95" s="35" t="n">
        <x:v>1</x:v>
      </x:c>
      <x:c r="E95" s="25" t="str">
        <x:v>Neurosurgery: Review requests, records, or administrative cases</x:v>
      </x:c>
      <x:c r="F95" s="25" t="str">
        <x:v>screen work, prolonged sitting, workload</x:v>
      </x:c>
      <x:c r="G95" s="25" t="str">
        <x:v>4–6 hours/day</x:v>
      </x:c>
      <x:c r="H95" s="35" t="n">
        <x:v>32</x:v>
      </x:c>
      <x:c r="I95" s="27" t="str">
        <x:v>ASM-2026-031</x:v>
      </x:c>
      <x:c r="J95" s="27" t="str">
        <x:v>STEP-2026-031-01</x:v>
      </x:c>
    </x:row>
    <x:row r="96">
      <x:c r="A96" s="28" t="str">
        <x:v>Neurosurgery</x:v>
      </x:c>
      <x:c r="B96" s="37" t="n">
        <x:v>46041</x:v>
      </x:c>
      <x:c r="C96" s="26" t="str">
        <x:v>RAH01-2026-031</x:v>
      </x:c>
      <x:c r="D96" s="35" t="n">
        <x:v>2</x:v>
      </x:c>
      <x:c r="E96" s="25" t="str">
        <x:v>Neurosurgery: Coordinate with staff, patients, or external parties</x:v>
      </x:c>
      <x:c r="F96" s="25" t="str">
        <x:v>stress, difficult interactions</x:v>
      </x:c>
      <x:c r="G96" s="25" t="str">
        <x:v>1–3 hours/day</x:v>
      </x:c>
      <x:c r="H96" s="35" t="n">
        <x:v>35</x:v>
      </x:c>
      <x:c r="I96" s="27" t="str">
        <x:v>ASM-2026-031</x:v>
      </x:c>
      <x:c r="J96" s="27" t="str">
        <x:v>STEP-2026-031-02</x:v>
      </x:c>
    </x:row>
    <x:row r="97">
      <x:c r="A97" s="28" t="str">
        <x:v>Neurosurgery</x:v>
      </x:c>
      <x:c r="B97" s="37" t="n">
        <x:v>46041</x:v>
      </x:c>
      <x:c r="C97" s="26" t="str">
        <x:v>RAH01-2026-031</x:v>
      </x:c>
      <x:c r="D97" s="35" t="n">
        <x:v>3</x:v>
      </x:c>
      <x:c r="E97" s="25" t="str">
        <x:v>Neurosurgery: File, retrieve, and archive documents or supplies</x:v>
      </x:c>
      <x:c r="F97" s="25" t="str">
        <x:v>repetition, lifting, obstruction</x:v>
      </x:c>
      <x:c r="G97" s="25" t="str">
        <x:v>30–90 minutes/day</x:v>
      </x:c>
      <x:c r="H97" s="35" t="n">
        <x:v>38</x:v>
      </x:c>
      <x:c r="I97" s="27" t="str">
        <x:v>ASM-2026-031</x:v>
      </x:c>
      <x:c r="J97" s="27" t="str">
        <x:v>STEP-2026-031-03</x:v>
      </x:c>
    </x:row>
    <x:row r="98">
      <x:c r="A98" s="28" t="str">
        <x:v>Nuclear Medicine</x:v>
      </x:c>
      <x:c r="B98" s="37" t="n">
        <x:v>46075</x:v>
      </x:c>
      <x:c r="C98" s="26" t="str">
        <x:v>RAH01-2026-032</x:v>
      </x:c>
      <x:c r="D98" s="35" t="n">
        <x:v>1</x:v>
      </x:c>
      <x:c r="E98" s="25" t="str">
        <x:v>Nuclear Medicine: Review requests, records, or administrative cases</x:v>
      </x:c>
      <x:c r="F98" s="25" t="str">
        <x:v>screen work, prolonged sitting, workload</x:v>
      </x:c>
      <x:c r="G98" s="25" t="str">
        <x:v>4–6 hours/day</x:v>
      </x:c>
      <x:c r="H98" s="35" t="n">
        <x:v>33</x:v>
      </x:c>
      <x:c r="I98" s="27" t="str">
        <x:v>ASM-2026-032</x:v>
      </x:c>
      <x:c r="J98" s="27" t="str">
        <x:v>STEP-2026-032-01</x:v>
      </x:c>
    </x:row>
    <x:row r="99">
      <x:c r="A99" s="28" t="str">
        <x:v>Nuclear Medicine</x:v>
      </x:c>
      <x:c r="B99" s="37" t="n">
        <x:v>46075</x:v>
      </x:c>
      <x:c r="C99" s="26" t="str">
        <x:v>RAH01-2026-032</x:v>
      </x:c>
      <x:c r="D99" s="35" t="n">
        <x:v>2</x:v>
      </x:c>
      <x:c r="E99" s="25" t="str">
        <x:v>Nuclear Medicine: Coordinate with staff, patients, or external parties</x:v>
      </x:c>
      <x:c r="F99" s="25" t="str">
        <x:v>stress, difficult interactions</x:v>
      </x:c>
      <x:c r="G99" s="25" t="str">
        <x:v>1–3 hours/day</x:v>
      </x:c>
      <x:c r="H99" s="35" t="n">
        <x:v>36</x:v>
      </x:c>
      <x:c r="I99" s="27" t="str">
        <x:v>ASM-2026-032</x:v>
      </x:c>
      <x:c r="J99" s="27" t="str">
        <x:v>STEP-2026-032-02</x:v>
      </x:c>
    </x:row>
    <x:row r="100">
      <x:c r="A100" s="28" t="str">
        <x:v>Obstetrics</x:v>
      </x:c>
      <x:c r="B100" s="37" t="n">
        <x:v>46106</x:v>
      </x:c>
      <x:c r="C100" s="26" t="str">
        <x:v>RAH01-2026-033</x:v>
      </x:c>
      <x:c r="D100" s="35" t="n">
        <x:v>1</x:v>
      </x:c>
      <x:c r="E100" s="25" t="str">
        <x:v>Obstetrics: Review requests, records, or administrative cases</x:v>
      </x:c>
      <x:c r="F100" s="25" t="str">
        <x:v>screen work, prolonged sitting, workload</x:v>
      </x:c>
      <x:c r="G100" s="25" t="str">
        <x:v>4–6 hours/day</x:v>
      </x:c>
      <x:c r="H100" s="35" t="n">
        <x:v>34</x:v>
      </x:c>
      <x:c r="I100" s="27" t="str">
        <x:v>ASM-2026-033</x:v>
      </x:c>
      <x:c r="J100" s="27" t="str">
        <x:v>STEP-2026-033-01</x:v>
      </x:c>
    </x:row>
    <x:row r="101">
      <x:c r="A101" s="28" t="str">
        <x:v>Obstetrics</x:v>
      </x:c>
      <x:c r="B101" s="37" t="n">
        <x:v>46106</x:v>
      </x:c>
      <x:c r="C101" s="26" t="str">
        <x:v>RAH01-2026-033</x:v>
      </x:c>
      <x:c r="D101" s="35" t="n">
        <x:v>2</x:v>
      </x:c>
      <x:c r="E101" s="25" t="str">
        <x:v>Obstetrics: Coordinate with staff, patients, or external parties</x:v>
      </x:c>
      <x:c r="F101" s="25" t="str">
        <x:v>stress, difficult interactions</x:v>
      </x:c>
      <x:c r="G101" s="25" t="str">
        <x:v>1–3 hours/day</x:v>
      </x:c>
      <x:c r="H101" s="35" t="n">
        <x:v>37</x:v>
      </x:c>
      <x:c r="I101" s="27" t="str">
        <x:v>ASM-2026-033</x:v>
      </x:c>
      <x:c r="J101" s="27" t="str">
        <x:v>STEP-2026-033-02</x:v>
      </x:c>
    </x:row>
    <x:row r="102">
      <x:c r="A102" s="28" t="str">
        <x:v>Obstetrics</x:v>
      </x:c>
      <x:c r="B102" s="37" t="n">
        <x:v>46106</x:v>
      </x:c>
      <x:c r="C102" s="26" t="str">
        <x:v>RAH01-2026-033</x:v>
      </x:c>
      <x:c r="D102" s="35" t="n">
        <x:v>3</x:v>
      </x:c>
      <x:c r="E102" s="25" t="str">
        <x:v>Obstetrics: File, retrieve, and archive documents or supplies</x:v>
      </x:c>
      <x:c r="F102" s="25" t="str">
        <x:v>repetition, lifting, obstruction</x:v>
      </x:c>
      <x:c r="G102" s="25" t="str">
        <x:v>30–90 minutes/day</x:v>
      </x:c>
      <x:c r="H102" s="35" t="n">
        <x:v>40</x:v>
      </x:c>
      <x:c r="I102" s="27" t="str">
        <x:v>ASM-2026-033</x:v>
      </x:c>
      <x:c r="J102" s="27" t="str">
        <x:v>STEP-2026-033-03</x:v>
      </x:c>
    </x:row>
    <x:row r="103">
      <x:c r="A103" s="28" t="str">
        <x:v>Occupational Health</x:v>
      </x:c>
      <x:c r="B103" s="37" t="n">
        <x:v>46115</x:v>
      </x:c>
      <x:c r="C103" s="26" t="str">
        <x:v>RAH01-2026-034</x:v>
      </x:c>
      <x:c r="D103" s="35" t="n">
        <x:v>1</x:v>
      </x:c>
      <x:c r="E103" s="25" t="str">
        <x:v>Occupational Health: Review requests, records, or administrative cases</x:v>
      </x:c>
      <x:c r="F103" s="25" t="str">
        <x:v>screen work, prolonged sitting, workload</x:v>
      </x:c>
      <x:c r="G103" s="25" t="str">
        <x:v>4–6 hours/day</x:v>
      </x:c>
      <x:c r="H103" s="35" t="n">
        <x:v>11</x:v>
      </x:c>
      <x:c r="I103" s="27" t="str">
        <x:v>ASM-2026-034</x:v>
      </x:c>
      <x:c r="J103" s="27" t="str">
        <x:v>STEP-2026-034-01</x:v>
      </x:c>
    </x:row>
    <x:row r="104">
      <x:c r="A104" s="28" t="str">
        <x:v>Occupational Health</x:v>
      </x:c>
      <x:c r="B104" s="37" t="n">
        <x:v>46115</x:v>
      </x:c>
      <x:c r="C104" s="26" t="str">
        <x:v>RAH01-2026-034</x:v>
      </x:c>
      <x:c r="D104" s="35" t="n">
        <x:v>2</x:v>
      </x:c>
      <x:c r="E104" s="25" t="str">
        <x:v>Occupational Health: Coordinate with staff, patients, or external parties</x:v>
      </x:c>
      <x:c r="F104" s="25" t="str">
        <x:v>stress, difficult interactions</x:v>
      </x:c>
      <x:c r="G104" s="25" t="str">
        <x:v>1–3 hours/day</x:v>
      </x:c>
      <x:c r="H104" s="35" t="n">
        <x:v>2</x:v>
      </x:c>
      <x:c r="I104" s="27" t="str">
        <x:v>ASM-2026-034</x:v>
      </x:c>
      <x:c r="J104" s="27" t="str">
        <x:v>STEP-2026-034-02</x:v>
      </x:c>
    </x:row>
    <x:row r="105">
      <x:c r="A105" s="28" t="str">
        <x:v>Occupational Health</x:v>
      </x:c>
      <x:c r="B105" s="37" t="n">
        <x:v>46115</x:v>
      </x:c>
      <x:c r="C105" s="26" t="str">
        <x:v>RAH01-2026-034</x:v>
      </x:c>
      <x:c r="D105" s="35" t="n">
        <x:v>3</x:v>
      </x:c>
      <x:c r="E105" s="25" t="str">
        <x:v>Occupational Health: File, retrieve, and archive documents or supplies</x:v>
      </x:c>
      <x:c r="F105" s="25" t="str">
        <x:v>repetition, lifting, obstruction</x:v>
      </x:c>
      <x:c r="G105" s="25" t="str">
        <x:v>30–90 minutes/day</x:v>
      </x:c>
      <x:c r="H105" s="35" t="n">
        <x:v>5</x:v>
      </x:c>
      <x:c r="I105" s="27" t="str">
        <x:v>ASM-2026-034</x:v>
      </x:c>
      <x:c r="J105" s="27" t="str">
        <x:v>STEP-2026-034-03</x:v>
      </x:c>
    </x:row>
    <x:row r="106">
      <x:c r="A106" s="28" t="str">
        <x:v>Oncology</x:v>
      </x:c>
      <x:c r="B106" s="37" t="n">
        <x:v>46148</x:v>
      </x:c>
      <x:c r="C106" s="26" t="str">
        <x:v>RAH01-2026-035</x:v>
      </x:c>
      <x:c r="D106" s="35" t="n">
        <x:v>1</x:v>
      </x:c>
      <x:c r="E106" s="25" t="str">
        <x:v>Oncology: Review requests, records, or administrative cases</x:v>
      </x:c>
      <x:c r="F106" s="25" t="str">
        <x:v>screen work, prolonged sitting, workload</x:v>
      </x:c>
      <x:c r="G106" s="25" t="str">
        <x:v>4–6 hours/day</x:v>
      </x:c>
      <x:c r="H106" s="35" t="n">
        <x:v>17</x:v>
      </x:c>
      <x:c r="I106" s="27" t="str">
        <x:v>ASM-2026-035</x:v>
      </x:c>
      <x:c r="J106" s="27" t="str">
        <x:v>STEP-2026-035-01</x:v>
      </x:c>
    </x:row>
    <x:row r="107">
      <x:c r="A107" s="28" t="str">
        <x:v>Oncology</x:v>
      </x:c>
      <x:c r="B107" s="37" t="n">
        <x:v>46148</x:v>
      </x:c>
      <x:c r="C107" s="26" t="str">
        <x:v>RAH01-2026-035</x:v>
      </x:c>
      <x:c r="D107" s="35" t="n">
        <x:v>2</x:v>
      </x:c>
      <x:c r="E107" s="25" t="str">
        <x:v>Oncology: Coordinate with staff, patients, or external parties</x:v>
      </x:c>
      <x:c r="F107" s="25" t="str">
        <x:v>stress, difficult interactions</x:v>
      </x:c>
      <x:c r="G107" s="25" t="str">
        <x:v>1–3 hours/day</x:v>
      </x:c>
      <x:c r="H107" s="35" t="n">
        <x:v>1</x:v>
      </x:c>
      <x:c r="I107" s="27" t="str">
        <x:v>ASM-2026-035</x:v>
      </x:c>
      <x:c r="J107" s="27" t="str">
        <x:v>STEP-2026-035-02</x:v>
      </x:c>
    </x:row>
    <x:row r="108">
      <x:c r="A108" s="28" t="str">
        <x:v>Oncology</x:v>
      </x:c>
      <x:c r="B108" s="37" t="n">
        <x:v>46148</x:v>
      </x:c>
      <x:c r="C108" s="26" t="str">
        <x:v>RAH01-2026-035</x:v>
      </x:c>
      <x:c r="D108" s="35" t="n">
        <x:v>3</x:v>
      </x:c>
      <x:c r="E108" s="25" t="str">
        <x:v>Oncology: File, retrieve, and archive documents or supplies</x:v>
      </x:c>
      <x:c r="F108" s="25" t="str">
        <x:v>repetition, lifting, obstruction</x:v>
      </x:c>
      <x:c r="G108" s="25" t="str">
        <x:v>30–90 minutes/day</x:v>
      </x:c>
      <x:c r="H108" s="35" t="n">
        <x:v>4</x:v>
      </x:c>
      <x:c r="I108" s="27" t="str">
        <x:v>ASM-2026-035</x:v>
      </x:c>
      <x:c r="J108" s="27" t="str">
        <x:v>STEP-2026-035-03</x:v>
      </x:c>
    </x:row>
    <x:row r="109">
      <x:c r="A109" s="28" t="str">
        <x:v>Operating Theatre</x:v>
      </x:c>
      <x:c r="B109" s="37" t="n">
        <x:v>46182</x:v>
      </x:c>
      <x:c r="C109" s="26" t="str">
        <x:v>RAH01-2026-036</x:v>
      </x:c>
      <x:c r="D109" s="35" t="n">
        <x:v>1</x:v>
      </x:c>
      <x:c r="E109" s="25" t="str">
        <x:v>Operating Theatre: Inspect plant, utilities, and equipment</x:v>
      </x:c>
      <x:c r="F109" s="25" t="str">
        <x:v>electricity, noise, heat</x:v>
      </x:c>
      <x:c r="G109" s="25" t="str">
        <x:v>Daily rounds</x:v>
      </x:c>
      <x:c r="H109" s="35" t="n">
        <x:v>11</x:v>
      </x:c>
      <x:c r="I109" s="27" t="str">
        <x:v>ASM-2026-036</x:v>
      </x:c>
      <x:c r="J109" s="27" t="str">
        <x:v>STEP-2026-036-01</x:v>
      </x:c>
    </x:row>
    <x:row r="110">
      <x:c r="A110" s="28" t="str">
        <x:v>Operating Theatre</x:v>
      </x:c>
      <x:c r="B110" s="37" t="n">
        <x:v>46182</x:v>
      </x:c>
      <x:c r="C110" s="26" t="str">
        <x:v>RAH01-2026-036</x:v>
      </x:c>
      <x:c r="D110" s="35" t="n">
        <x:v>2</x:v>
      </x:c>
      <x:c r="E110" s="25" t="str">
        <x:v>Operating Theatre: Isolate and repair defective systems</x:v>
      </x:c>
      <x:c r="F110" s="25" t="str">
        <x:v>electrical work, machinery, awkward posture</x:v>
      </x:c>
      <x:c r="G110" s="25" t="str">
        <x:v>1–4 hours/job</x:v>
      </x:c>
      <x:c r="H110" s="35" t="n">
        <x:v>14</x:v>
      </x:c>
      <x:c r="I110" s="27" t="str">
        <x:v>ASM-2026-036</x:v>
      </x:c>
      <x:c r="J110" s="27" t="str">
        <x:v>STEP-2026-036-02</x:v>
      </x:c>
    </x:row>
    <x:row r="111">
      <x:c r="A111" s="28" t="str">
        <x:v>Orthopaedics</x:v>
      </x:c>
      <x:c r="B111" s="37" t="n">
        <x:v>46034</x:v>
      </x:c>
      <x:c r="C111" s="26" t="str">
        <x:v>RAH01-2026-037</x:v>
      </x:c>
      <x:c r="D111" s="35" t="n">
        <x:v>1</x:v>
      </x:c>
      <x:c r="E111" s="25" t="str">
        <x:v>Orthopaedics: Inspect plant, utilities, and equipment</x:v>
      </x:c>
      <x:c r="F111" s="25" t="str">
        <x:v>electricity, noise, heat</x:v>
      </x:c>
      <x:c r="G111" s="25" t="str">
        <x:v>Daily rounds</x:v>
      </x:c>
      <x:c r="H111" s="35" t="n">
        <x:v>5</x:v>
      </x:c>
      <x:c r="I111" s="27" t="str">
        <x:v>ASM-2026-037</x:v>
      </x:c>
      <x:c r="J111" s="27" t="str">
        <x:v>STEP-2026-037-01</x:v>
      </x:c>
    </x:row>
    <x:row r="112">
      <x:c r="A112" s="28" t="str">
        <x:v>Orthopaedics</x:v>
      </x:c>
      <x:c r="B112" s="37" t="n">
        <x:v>46034</x:v>
      </x:c>
      <x:c r="C112" s="26" t="str">
        <x:v>RAH01-2026-037</x:v>
      </x:c>
      <x:c r="D112" s="35" t="n">
        <x:v>2</x:v>
      </x:c>
      <x:c r="E112" s="25" t="str">
        <x:v>Orthopaedics: Isolate and repair defective systems</x:v>
      </x:c>
      <x:c r="F112" s="25" t="str">
        <x:v>electrical work, machinery, awkward posture</x:v>
      </x:c>
      <x:c r="G112" s="25" t="str">
        <x:v>1–4 hours/job</x:v>
      </x:c>
      <x:c r="H112" s="35" t="n">
        <x:v>8</x:v>
      </x:c>
      <x:c r="I112" s="27" t="str">
        <x:v>ASM-2026-037</x:v>
      </x:c>
      <x:c r="J112" s="27" t="str">
        <x:v>STEP-2026-037-02</x:v>
      </x:c>
    </x:row>
    <x:row r="113">
      <x:c r="A113" s="28" t="str">
        <x:v>Orthopaedics</x:v>
      </x:c>
      <x:c r="B113" s="37" t="n">
        <x:v>46034</x:v>
      </x:c>
      <x:c r="C113" s="26" t="str">
        <x:v>RAH01-2026-037</x:v>
      </x:c>
      <x:c r="D113" s="35" t="n">
        <x:v>3</x:v>
      </x:c>
      <x:c r="E113" s="25" t="str">
        <x:v>Orthopaedics: Test restored equipment and document work</x:v>
      </x:c>
      <x:c r="F113" s="25" t="str">
        <x:v>unexpected startup, screen work</x:v>
      </x:c>
      <x:c r="G113" s="25" t="str">
        <x:v>30–90 minutes/job</x:v>
      </x:c>
      <x:c r="H113" s="35" t="n">
        <x:v>11</x:v>
      </x:c>
      <x:c r="I113" s="27" t="str">
        <x:v>ASM-2026-037</x:v>
      </x:c>
      <x:c r="J113" s="27" t="str">
        <x:v>STEP-2026-037-03</x:v>
      </x:c>
    </x:row>
    <x:row r="114">
      <x:c r="A114" s="28" t="str">
        <x:v>Outpatient Department</x:v>
      </x:c>
      <x:c r="B114" s="37" t="n">
        <x:v>46068</x:v>
      </x:c>
      <x:c r="C114" s="26" t="str">
        <x:v>RAH01-2026-038</x:v>
      </x:c>
      <x:c r="D114" s="35" t="n">
        <x:v>1</x:v>
      </x:c>
      <x:c r="E114" s="25" t="str">
        <x:v>Outpatient Department: Collect materials, linen, or waste from work areas</x:v>
      </x:c>
      <x:c r="F114" s="25" t="str">
        <x:v>infection, manual handling, sharps</x:v>
      </x:c>
      <x:c r="G114" s="25" t="str">
        <x:v>Multiple rounds/shift</x:v>
      </x:c>
      <x:c r="H114" s="35" t="n">
        <x:v>39</x:v>
      </x:c>
      <x:c r="I114" s="27" t="str">
        <x:v>ASM-2026-038</x:v>
      </x:c>
      <x:c r="J114" s="27" t="str">
        <x:v>STEP-2026-038-01</x:v>
      </x:c>
    </x:row>
    <x:row r="115">
      <x:c r="A115" s="28" t="str">
        <x:v>Outpatient Department</x:v>
      </x:c>
      <x:c r="B115" s="37" t="n">
        <x:v>46068</x:v>
      </x:c>
      <x:c r="C115" s="26" t="str">
        <x:v>RAH01-2026-038</x:v>
      </x:c>
      <x:c r="D115" s="35" t="n">
        <x:v>2</x:v>
      </x:c>
      <x:c r="E115" s="25" t="str">
        <x:v>Outpatient Department: Clean, sort, wash, or process materials</x:v>
      </x:c>
      <x:c r="F115" s="25" t="str">
        <x:v>chemicals, wet floors, repetitive work</x:v>
      </x:c>
      <x:c r="G115" s="25" t="str">
        <x:v>4–6 hours/shift</x:v>
      </x:c>
      <x:c r="H115" s="35" t="n">
        <x:v>2</x:v>
      </x:c>
      <x:c r="I115" s="27" t="str">
        <x:v>ASM-2026-038</x:v>
      </x:c>
      <x:c r="J115" s="27" t="str">
        <x:v>STEP-2026-038-02</x:v>
      </x:c>
    </x:row>
    <x:row r="116">
      <x:c r="A116" s="28" t="str">
        <x:v>Outpatient Department</x:v>
      </x:c>
      <x:c r="B116" s="37" t="n">
        <x:v>46068</x:v>
      </x:c>
      <x:c r="C116" s="26" t="str">
        <x:v>RAH01-2026-038</x:v>
      </x:c>
      <x:c r="D116" s="35" t="n">
        <x:v>3</x:v>
      </x:c>
      <x:c r="E116" s="25" t="str">
        <x:v>Outpatient Department: Move loads to storage or disposal point</x:v>
      </x:c>
      <x:c r="F116" s="25" t="str">
        <x:v>push/pull force, obstruction, vehicle movement</x:v>
      </x:c>
      <x:c r="G116" s="25" t="str">
        <x:v>2–4 hours/shift</x:v>
      </x:c>
      <x:c r="H116" s="35" t="n">
        <x:v>5</x:v>
      </x:c>
      <x:c r="I116" s="27" t="str">
        <x:v>ASM-2026-038</x:v>
      </x:c>
      <x:c r="J116" s="27" t="str">
        <x:v>STEP-2026-038-03</x:v>
      </x:c>
    </x:row>
    <x:row r="117">
      <x:c r="A117" s="28" t="str">
        <x:v>Paediatrics</x:v>
      </x:c>
      <x:c r="B117" s="37" t="n">
        <x:v>46099</x:v>
      </x:c>
      <x:c r="C117" s="26" t="str">
        <x:v>RAH01-2026-039</x:v>
      </x:c>
      <x:c r="D117" s="35" t="n">
        <x:v>1</x:v>
      </x:c>
      <x:c r="E117" s="25" t="str">
        <x:v>Paediatrics: Collect materials, linen, or waste from work areas</x:v>
      </x:c>
      <x:c r="F117" s="25" t="str">
        <x:v>infection, manual handling, sharps</x:v>
      </x:c>
      <x:c r="G117" s="25" t="str">
        <x:v>Multiple rounds/shift</x:v>
      </x:c>
      <x:c r="H117" s="35" t="n">
        <x:v>40</x:v>
      </x:c>
      <x:c r="I117" s="27" t="str">
        <x:v>ASM-2026-039</x:v>
      </x:c>
      <x:c r="J117" s="27" t="str">
        <x:v>STEP-2026-039-01</x:v>
      </x:c>
    </x:row>
    <x:row r="118">
      <x:c r="A118" s="28" t="str">
        <x:v>Paediatrics</x:v>
      </x:c>
      <x:c r="B118" s="37" t="n">
        <x:v>46099</x:v>
      </x:c>
      <x:c r="C118" s="26" t="str">
        <x:v>RAH01-2026-039</x:v>
      </x:c>
      <x:c r="D118" s="35" t="n">
        <x:v>2</x:v>
      </x:c>
      <x:c r="E118" s="25" t="str">
        <x:v>Paediatrics: Clean, sort, wash, or process materials</x:v>
      </x:c>
      <x:c r="F118" s="25" t="str">
        <x:v>chemicals, wet floors, repetitive work</x:v>
      </x:c>
      <x:c r="G118" s="25" t="str">
        <x:v>4–6 hours/shift</x:v>
      </x:c>
      <x:c r="H118" s="35" t="n">
        <x:v>43</x:v>
      </x:c>
      <x:c r="I118" s="27" t="str">
        <x:v>ASM-2026-039</x:v>
      </x:c>
      <x:c r="J118" s="27" t="str">
        <x:v>STEP-2026-039-02</x:v>
      </x:c>
    </x:row>
    <x:row r="119">
      <x:c r="A119" s="28" t="str">
        <x:v>Paediatrics</x:v>
      </x:c>
      <x:c r="B119" s="37" t="n">
        <x:v>46099</x:v>
      </x:c>
      <x:c r="C119" s="26" t="str">
        <x:v>RAH01-2026-039</x:v>
      </x:c>
      <x:c r="D119" s="35" t="n">
        <x:v>3</x:v>
      </x:c>
      <x:c r="E119" s="25" t="str">
        <x:v>Paediatrics: Move loads to storage or disposal point</x:v>
      </x:c>
      <x:c r="F119" s="25" t="str">
        <x:v>push/pull force, obstruction, vehicle movement</x:v>
      </x:c>
      <x:c r="G119" s="25" t="str">
        <x:v>2–4 hours/shift</x:v>
      </x:c>
      <x:c r="H119" s="35" t="n">
        <x:v>46</x:v>
      </x:c>
      <x:c r="I119" s="27" t="str">
        <x:v>ASM-2026-039</x:v>
      </x:c>
      <x:c r="J119" s="27" t="str">
        <x:v>STEP-2026-039-03</x:v>
      </x:c>
    </x:row>
    <x:row r="120">
      <x:c r="A120" s="28" t="str">
        <x:v>Pathology</x:v>
      </x:c>
      <x:c r="B120" s="37" t="n">
        <x:v>46133</x:v>
      </x:c>
      <x:c r="C120" s="26" t="str">
        <x:v>RAH01-2026-040</x:v>
      </x:c>
      <x:c r="D120" s="35" t="n">
        <x:v>1</x:v>
      </x:c>
      <x:c r="E120" s="25" t="str">
        <x:v>Pathology: Inspect vehicle or transport equipment</x:v>
      </x:c>
      <x:c r="F120" s="25" t="str">
        <x:v>vehicle, electrical equipment, obstruction</x:v>
      </x:c>
      <x:c r="G120" s="25" t="str">
        <x:v>Start of shift</x:v>
      </x:c>
      <x:c r="H120" s="35" t="n">
        <x:v>41</x:v>
      </x:c>
      <x:c r="I120" s="27" t="str">
        <x:v>ASM-2026-040</x:v>
      </x:c>
      <x:c r="J120" s="27" t="str">
        <x:v>STEP-2026-040-01</x:v>
      </x:c>
    </x:row>
    <x:row r="121">
      <x:c r="A121" s="28" t="str">
        <x:v>Pathology</x:v>
      </x:c>
      <x:c r="B121" s="37" t="n">
        <x:v>46133</x:v>
      </x:c>
      <x:c r="C121" s="26" t="str">
        <x:v>RAH01-2026-040</x:v>
      </x:c>
      <x:c r="D121" s="35" t="n">
        <x:v>2</x:v>
      </x:c>
      <x:c r="E121" s="25" t="str">
        <x:v>Pathology: Move patients, staff, or materials</x:v>
      </x:c>
      <x:c r="F121" s="25" t="str">
        <x:v>collision, manual handling, violence</x:v>
      </x:c>
      <x:c r="G121" s="25" t="str">
        <x:v>Multiple trips/shift</x:v>
      </x:c>
      <x:c r="H121" s="35" t="n">
        <x:v>44</x:v>
      </x:c>
      <x:c r="I121" s="27" t="str">
        <x:v>ASM-2026-040</x:v>
      </x:c>
      <x:c r="J121" s="27" t="str">
        <x:v>STEP-2026-040-02</x:v>
      </x:c>
    </x:row>
    <x:row r="122">
      <x:c r="A122" s="28" t="str">
        <x:v>Pharmacy</x:v>
      </x:c>
      <x:c r="B122" s="37" t="n">
        <x:v>46166</x:v>
      </x:c>
      <x:c r="C122" s="26" t="str">
        <x:v>RAH01-2026-041</x:v>
      </x:c>
      <x:c r="D122" s="35" t="n">
        <x:v>1</x:v>
      </x:c>
      <x:c r="E122" s="25" t="str">
        <x:v>Pharmacy: Inspect vehicle or transport equipment</x:v>
      </x:c>
      <x:c r="F122" s="25" t="str">
        <x:v>vehicle, electrical equipment, obstruction</x:v>
      </x:c>
      <x:c r="G122" s="25" t="str">
        <x:v>Start of shift</x:v>
      </x:c>
      <x:c r="H122" s="35" t="n">
        <x:v>42</x:v>
      </x:c>
      <x:c r="I122" s="27" t="str">
        <x:v>ASM-2026-041</x:v>
      </x:c>
      <x:c r="J122" s="27" t="str">
        <x:v>STEP-2026-041-01</x:v>
      </x:c>
    </x:row>
    <x:row r="123">
      <x:c r="A123" s="28" t="str">
        <x:v>Pharmacy</x:v>
      </x:c>
      <x:c r="B123" s="37" t="n">
        <x:v>46166</x:v>
      </x:c>
      <x:c r="C123" s="26" t="str">
        <x:v>RAH01-2026-041</x:v>
      </x:c>
      <x:c r="D123" s="35" t="n">
        <x:v>2</x:v>
      </x:c>
      <x:c r="E123" s="25" t="str">
        <x:v>Pharmacy: Move patients, staff, or materials</x:v>
      </x:c>
      <x:c r="F123" s="25" t="str">
        <x:v>collision, manual handling, violence</x:v>
      </x:c>
      <x:c r="G123" s="25" t="str">
        <x:v>Multiple trips/shift</x:v>
      </x:c>
      <x:c r="H123" s="35" t="n">
        <x:v>45</x:v>
      </x:c>
      <x:c r="I123" s="27" t="str">
        <x:v>ASM-2026-041</x:v>
      </x:c>
      <x:c r="J123" s="27" t="str">
        <x:v>STEP-2026-041-02</x:v>
      </x:c>
    </x:row>
    <x:row r="124">
      <x:c r="A124" s="28" t="str">
        <x:v>Pharmacy</x:v>
      </x:c>
      <x:c r="B124" s="37" t="n">
        <x:v>46166</x:v>
      </x:c>
      <x:c r="C124" s="26" t="str">
        <x:v>RAH01-2026-041</x:v>
      </x:c>
      <x:c r="D124" s="35" t="n">
        <x:v>3</x:v>
      </x:c>
      <x:c r="E124" s="25" t="str">
        <x:v>Pharmacy: Clean and disinfect transport equipment</x:v>
      </x:c>
      <x:c r="F124" s="25" t="str">
        <x:v>infection, disinfectants, wet surfaces</x:v>
      </x:c>
      <x:c r="G124" s="25" t="str">
        <x:v>After each transfer</x:v>
      </x:c>
      <x:c r="H124" s="35" t="n">
        <x:v>48</x:v>
      </x:c>
      <x:c r="I124" s="27" t="str">
        <x:v>ASM-2026-041</x:v>
      </x:c>
      <x:c r="J124" s="27" t="str">
        <x:v>STEP-2026-041-03</x:v>
      </x:c>
    </x:row>
    <x:row r="125">
      <x:c r="A125" s="28" t="str">
        <x:v>Physical Therapy</x:v>
      </x:c>
      <x:c r="B125" s="37" t="n">
        <x:v>46175</x:v>
      </x:c>
      <x:c r="C125" s="26" t="str">
        <x:v>RAH01-2026-042</x:v>
      </x:c>
      <x:c r="D125" s="35" t="n">
        <x:v>1</x:v>
      </x:c>
      <x:c r="E125" s="25" t="str">
        <x:v>Physical Therapy: Collect materials, linen, or waste from work areas</x:v>
      </x:c>
      <x:c r="F125" s="25" t="str">
        <x:v>infection, manual handling, sharps</x:v>
      </x:c>
      <x:c r="G125" s="25" t="str">
        <x:v>Multiple rounds/shift</x:v>
      </x:c>
      <x:c r="H125" s="35" t="n">
        <x:v>3</x:v>
      </x:c>
      <x:c r="I125" s="27" t="str">
        <x:v>ASM-2026-042</x:v>
      </x:c>
      <x:c r="J125" s="27" t="str">
        <x:v>STEP-2026-042-01</x:v>
      </x:c>
    </x:row>
    <x:row r="126">
      <x:c r="A126" s="28" t="str">
        <x:v>Physical Therapy</x:v>
      </x:c>
      <x:c r="B126" s="37" t="n">
        <x:v>46175</x:v>
      </x:c>
      <x:c r="C126" s="26" t="str">
        <x:v>RAH01-2026-042</x:v>
      </x:c>
      <x:c r="D126" s="35" t="n">
        <x:v>2</x:v>
      </x:c>
      <x:c r="E126" s="25" t="str">
        <x:v>Physical Therapy: Clean, sort, wash, or process materials</x:v>
      </x:c>
      <x:c r="F126" s="25" t="str">
        <x:v>chemicals, wet floors, repetitive work</x:v>
      </x:c>
      <x:c r="G126" s="25" t="str">
        <x:v>4–6 hours/shift</x:v>
      </x:c>
      <x:c r="H126" s="35" t="n">
        <x:v>6</x:v>
      </x:c>
      <x:c r="I126" s="27" t="str">
        <x:v>ASM-2026-042</x:v>
      </x:c>
      <x:c r="J126" s="27" t="str">
        <x:v>STEP-2026-042-02</x:v>
      </x:c>
    </x:row>
    <x:row r="127">
      <x:c r="A127" s="28" t="str">
        <x:v>Physical Therapy</x:v>
      </x:c>
      <x:c r="B127" s="37" t="n">
        <x:v>46175</x:v>
      </x:c>
      <x:c r="C127" s="26" t="str">
        <x:v>RAH01-2026-042</x:v>
      </x:c>
      <x:c r="D127" s="35" t="n">
        <x:v>3</x:v>
      </x:c>
      <x:c r="E127" s="25" t="str">
        <x:v>Physical Therapy: Move loads to storage or disposal point</x:v>
      </x:c>
      <x:c r="F127" s="25" t="str">
        <x:v>push/pull force, obstruction, vehicle movement</x:v>
      </x:c>
      <x:c r="G127" s="25" t="str">
        <x:v>2–4 hours/shift</x:v>
      </x:c>
      <x:c r="H127" s="35" t="n">
        <x:v>9</x:v>
      </x:c>
      <x:c r="I127" s="27" t="str">
        <x:v>ASM-2026-042</x:v>
      </x:c>
      <x:c r="J127" s="27" t="str">
        <x:v>STEP-2026-042-03</x:v>
      </x:c>
    </x:row>
    <x:row r="128">
      <x:c r="A128" s="28" t="str">
        <x:v>Plastic Surgery</x:v>
      </x:c>
      <x:c r="B128" s="37" t="n">
        <x:v>46027</x:v>
      </x:c>
      <x:c r="C128" s="26" t="str">
        <x:v>RAH01-2026-043</x:v>
      </x:c>
      <x:c r="D128" s="35" t="n">
        <x:v>1</x:v>
      </x:c>
      <x:c r="E128" s="25" t="str">
        <x:v>Plastic Surgery: Collect materials, linen, or waste from work areas</x:v>
      </x:c>
      <x:c r="F128" s="25" t="str">
        <x:v>infection, manual handling, sharps</x:v>
      </x:c>
      <x:c r="G128" s="25" t="str">
        <x:v>Multiple rounds/shift</x:v>
      </x:c>
      <x:c r="H128" s="35" t="n">
        <x:v>10</x:v>
      </x:c>
      <x:c r="I128" s="27" t="str">
        <x:v>ASM-2026-043</x:v>
      </x:c>
      <x:c r="J128" s="27" t="str">
        <x:v>STEP-2026-043-01</x:v>
      </x:c>
    </x:row>
    <x:row r="129">
      <x:c r="A129" s="28" t="str">
        <x:v>Plastic Surgery</x:v>
      </x:c>
      <x:c r="B129" s="37" t="n">
        <x:v>46027</x:v>
      </x:c>
      <x:c r="C129" s="26" t="str">
        <x:v>RAH01-2026-043</x:v>
      </x:c>
      <x:c r="D129" s="35" t="n">
        <x:v>2</x:v>
      </x:c>
      <x:c r="E129" s="25" t="str">
        <x:v>Plastic Surgery: Clean, sort, wash, or process materials</x:v>
      </x:c>
      <x:c r="F129" s="25" t="str">
        <x:v>chemicals, wet floors, repetitive work</x:v>
      </x:c>
      <x:c r="G129" s="25" t="str">
        <x:v>4–6 hours/shift</x:v>
      </x:c>
      <x:c r="H129" s="35" t="n">
        <x:v>13</x:v>
      </x:c>
      <x:c r="I129" s="27" t="str">
        <x:v>ASM-2026-043</x:v>
      </x:c>
      <x:c r="J129" s="27" t="str">
        <x:v>STEP-2026-043-02</x:v>
      </x:c>
    </x:row>
    <x:row r="130">
      <x:c r="A130" s="28" t="str">
        <x:v>Plastic Surgery</x:v>
      </x:c>
      <x:c r="B130" s="37" t="n">
        <x:v>46027</x:v>
      </x:c>
      <x:c r="C130" s="26" t="str">
        <x:v>RAH01-2026-043</x:v>
      </x:c>
      <x:c r="D130" s="35" t="n">
        <x:v>3</x:v>
      </x:c>
      <x:c r="E130" s="25" t="str">
        <x:v>Plastic Surgery: Move loads to storage or disposal point</x:v>
      </x:c>
      <x:c r="F130" s="25" t="str">
        <x:v>push/pull force, obstruction, vehicle movement</x:v>
      </x:c>
      <x:c r="G130" s="25" t="str">
        <x:v>2–4 hours/shift</x:v>
      </x:c>
      <x:c r="H130" s="35" t="n">
        <x:v>16</x:v>
      </x:c>
      <x:c r="I130" s="27" t="str">
        <x:v>ASM-2026-043</x:v>
      </x:c>
      <x:c r="J130" s="27" t="str">
        <x:v>STEP-2026-043-03</x:v>
      </x:c>
    </x:row>
    <x:row r="131">
      <x:c r="A131" s="28" t="str">
        <x:v>Psychiatry</x:v>
      </x:c>
      <x:c r="B131" s="37" t="n">
        <x:v>46061</x:v>
      </x:c>
      <x:c r="C131" s="26" t="str">
        <x:v>RAH01-2026-044</x:v>
      </x:c>
      <x:c r="D131" s="35" t="n">
        <x:v>1</x:v>
      </x:c>
      <x:c r="E131" s="25" t="str">
        <x:v>Psychiatry: Review requests, records, or administrative cases</x:v>
      </x:c>
      <x:c r="F131" s="25" t="str">
        <x:v>screen work, prolonged sitting, workload</x:v>
      </x:c>
      <x:c r="G131" s="25" t="str">
        <x:v>4–6 hours/day</x:v>
      </x:c>
      <x:c r="H131" s="35" t="n">
        <x:v>21</x:v>
      </x:c>
      <x:c r="I131" s="27" t="str">
        <x:v>ASM-2026-044</x:v>
      </x:c>
      <x:c r="J131" s="27" t="str">
        <x:v>STEP-2026-044-01</x:v>
      </x:c>
    </x:row>
    <x:row r="132">
      <x:c r="A132" s="28" t="str">
        <x:v>Psychiatry</x:v>
      </x:c>
      <x:c r="B132" s="37" t="n">
        <x:v>46061</x:v>
      </x:c>
      <x:c r="C132" s="26" t="str">
        <x:v>RAH01-2026-044</x:v>
      </x:c>
      <x:c r="D132" s="35" t="n">
        <x:v>2</x:v>
      </x:c>
      <x:c r="E132" s="25" t="str">
        <x:v>Psychiatry: Coordinate with staff, patients, or external parties</x:v>
      </x:c>
      <x:c r="F132" s="25" t="str">
        <x:v>stress, difficult interactions</x:v>
      </x:c>
      <x:c r="G132" s="25" t="str">
        <x:v>1–3 hours/day</x:v>
      </x:c>
      <x:c r="H132" s="35" t="n">
        <x:v>24</x:v>
      </x:c>
      <x:c r="I132" s="27" t="str">
        <x:v>ASM-2026-044</x:v>
      </x:c>
      <x:c r="J132" s="27" t="str">
        <x:v>STEP-2026-044-02</x:v>
      </x:c>
    </x:row>
    <x:row r="133">
      <x:c r="A133" s="28" t="str">
        <x:v>Quality Improvement</x:v>
      </x:c>
      <x:c r="B133" s="37" t="n">
        <x:v>46092</x:v>
      </x:c>
      <x:c r="C133" s="26" t="str">
        <x:v>RAH01-2026-045</x:v>
      </x:c>
      <x:c r="D133" s="35" t="n">
        <x:v>1</x:v>
      </x:c>
      <x:c r="E133" s="25" t="str">
        <x:v>Quality Improvement: Review requests, records, or administrative cases</x:v>
      </x:c>
      <x:c r="F133" s="25" t="str">
        <x:v>screen work, prolonged sitting, workload</x:v>
      </x:c>
      <x:c r="G133" s="25" t="str">
        <x:v>4–6 hours/day</x:v>
      </x:c>
      <x:c r="H133" s="35" t="n">
        <x:v>15</x:v>
      </x:c>
      <x:c r="I133" s="27" t="str">
        <x:v>ASM-2026-045</x:v>
      </x:c>
      <x:c r="J133" s="27" t="str">
        <x:v>STEP-2026-045-01</x:v>
      </x:c>
    </x:row>
    <x:row r="134">
      <x:c r="A134" s="28" t="str">
        <x:v>Quality Improvement</x:v>
      </x:c>
      <x:c r="B134" s="37" t="n">
        <x:v>46092</x:v>
      </x:c>
      <x:c r="C134" s="26" t="str">
        <x:v>RAH01-2026-045</x:v>
      </x:c>
      <x:c r="D134" s="35" t="n">
        <x:v>2</x:v>
      </x:c>
      <x:c r="E134" s="25" t="str">
        <x:v>Quality Improvement: Coordinate with staff, patients, or external parties</x:v>
      </x:c>
      <x:c r="F134" s="25" t="str">
        <x:v>stress, difficult interactions</x:v>
      </x:c>
      <x:c r="G134" s="25" t="str">
        <x:v>1–3 hours/day</x:v>
      </x:c>
      <x:c r="H134" s="35" t="n">
        <x:v>18</x:v>
      </x:c>
      <x:c r="I134" s="27" t="str">
        <x:v>ASM-2026-045</x:v>
      </x:c>
      <x:c r="J134" s="27" t="str">
        <x:v>STEP-2026-045-02</x:v>
      </x:c>
    </x:row>
    <x:row r="135">
      <x:c r="A135" s="28" t="str">
        <x:v>Quality Improvement</x:v>
      </x:c>
      <x:c r="B135" s="37" t="n">
        <x:v>46092</x:v>
      </x:c>
      <x:c r="C135" s="26" t="str">
        <x:v>RAH01-2026-045</x:v>
      </x:c>
      <x:c r="D135" s="35" t="n">
        <x:v>3</x:v>
      </x:c>
      <x:c r="E135" s="25" t="str">
        <x:v>Quality Improvement: File, retrieve, and archive documents or supplies</x:v>
      </x:c>
      <x:c r="F135" s="25" t="str">
        <x:v>repetition, lifting, obstruction</x:v>
      </x:c>
      <x:c r="G135" s="25" t="str">
        <x:v>30–90 minutes/day</x:v>
      </x:c>
      <x:c r="H135" s="35" t="n">
        <x:v>21</x:v>
      </x:c>
      <x:c r="I135" s="27" t="str">
        <x:v>ASM-2026-045</x:v>
      </x:c>
      <x:c r="J135" s="27" t="str">
        <x:v>STEP-2026-045-03</x:v>
      </x:c>
    </x:row>
    <x:row r="136">
      <x:c r="A136" s="28" t="str">
        <x:v>Radiotherapy</x:v>
      </x:c>
      <x:c r="B136" s="37" t="n">
        <x:v>46126</x:v>
      </x:c>
      <x:c r="C136" s="26" t="str">
        <x:v>RAH01-2026-046</x:v>
      </x:c>
      <x:c r="D136" s="35" t="n">
        <x:v>1</x:v>
      </x:c>
      <x:c r="E136" s="25" t="str">
        <x:v>Radiotherapy: Review requests, records, or administrative cases</x:v>
      </x:c>
      <x:c r="F136" s="25" t="str">
        <x:v>screen work, prolonged sitting, workload</x:v>
      </x:c>
      <x:c r="G136" s="25" t="str">
        <x:v>4–6 hours/day</x:v>
      </x:c>
      <x:c r="H136" s="35" t="n">
        <x:v>9</x:v>
      </x:c>
      <x:c r="I136" s="27" t="str">
        <x:v>ASM-2026-046</x:v>
      </x:c>
      <x:c r="J136" s="27" t="str">
        <x:v>STEP-2026-046-01</x:v>
      </x:c>
    </x:row>
    <x:row r="137">
      <x:c r="A137" s="28" t="str">
        <x:v>Radiotherapy</x:v>
      </x:c>
      <x:c r="B137" s="37" t="n">
        <x:v>46126</x:v>
      </x:c>
      <x:c r="C137" s="26" t="str">
        <x:v>RAH01-2026-046</x:v>
      </x:c>
      <x:c r="D137" s="35" t="n">
        <x:v>2</x:v>
      </x:c>
      <x:c r="E137" s="25" t="str">
        <x:v>Radiotherapy: Coordinate with staff, patients, or external parties</x:v>
      </x:c>
      <x:c r="F137" s="25" t="str">
        <x:v>stress, difficult interactions</x:v>
      </x:c>
      <x:c r="G137" s="25" t="str">
        <x:v>1–3 hours/day</x:v>
      </x:c>
      <x:c r="H137" s="35" t="n">
        <x:v>12</x:v>
      </x:c>
      <x:c r="I137" s="27" t="str">
        <x:v>ASM-2026-046</x:v>
      </x:c>
      <x:c r="J137" s="27" t="str">
        <x:v>STEP-2026-046-02</x:v>
      </x:c>
    </x:row>
    <x:row r="138">
      <x:c r="A138" s="28" t="str">
        <x:v>Radiotherapy</x:v>
      </x:c>
      <x:c r="B138" s="37" t="n">
        <x:v>46126</x:v>
      </x:c>
      <x:c r="C138" s="26" t="str">
        <x:v>RAH01-2026-046</x:v>
      </x:c>
      <x:c r="D138" s="35" t="n">
        <x:v>3</x:v>
      </x:c>
      <x:c r="E138" s="25" t="str">
        <x:v>Radiotherapy: File, retrieve, and archive documents or supplies</x:v>
      </x:c>
      <x:c r="F138" s="25" t="str">
        <x:v>repetition, lifting, obstruction</x:v>
      </x:c>
      <x:c r="G138" s="25" t="str">
        <x:v>30–90 minutes/day</x:v>
      </x:c>
      <x:c r="H138" s="35" t="n">
        <x:v>15</x:v>
      </x:c>
      <x:c r="I138" s="27" t="str">
        <x:v>ASM-2026-046</x:v>
      </x:c>
      <x:c r="J138" s="27" t="str">
        <x:v>STEP-2026-046-03</x:v>
      </x:c>
    </x:row>
    <x:row r="139">
      <x:c r="A139" s="28" t="str">
        <x:v>Rehabilitation</x:v>
      </x:c>
      <x:c r="B139" s="37" t="n">
        <x:v>46159</x:v>
      </x:c>
      <x:c r="C139" s="26" t="str">
        <x:v>RAH01-2026-047</x:v>
      </x:c>
      <x:c r="D139" s="35" t="n">
        <x:v>1</x:v>
      </x:c>
      <x:c r="E139" s="25" t="str">
        <x:v>Rehabilitation: Review requests, records, or administrative cases</x:v>
      </x:c>
      <x:c r="F139" s="25" t="str">
        <x:v>screen work, prolonged sitting, workload</x:v>
      </x:c>
      <x:c r="G139" s="25" t="str">
        <x:v>4–6 hours/day</x:v>
      </x:c>
      <x:c r="H139" s="35" t="n">
        <x:v>3</x:v>
      </x:c>
      <x:c r="I139" s="27" t="str">
        <x:v>ASM-2026-047</x:v>
      </x:c>
      <x:c r="J139" s="27" t="str">
        <x:v>STEP-2026-047-01</x:v>
      </x:c>
    </x:row>
    <x:row r="140">
      <x:c r="A140" s="28" t="str">
        <x:v>Rehabilitation</x:v>
      </x:c>
      <x:c r="B140" s="37" t="n">
        <x:v>46159</x:v>
      </x:c>
      <x:c r="C140" s="26" t="str">
        <x:v>RAH01-2026-047</x:v>
      </x:c>
      <x:c r="D140" s="35" t="n">
        <x:v>2</x:v>
      </x:c>
      <x:c r="E140" s="25" t="str">
        <x:v>Rehabilitation: Coordinate with staff, patients, or external parties</x:v>
      </x:c>
      <x:c r="F140" s="25" t="str">
        <x:v>stress, difficult interactions</x:v>
      </x:c>
      <x:c r="G140" s="25" t="str">
        <x:v>1–3 hours/day</x:v>
      </x:c>
      <x:c r="H140" s="35" t="n">
        <x:v>6</x:v>
      </x:c>
      <x:c r="I140" s="27" t="str">
        <x:v>ASM-2026-047</x:v>
      </x:c>
      <x:c r="J140" s="27" t="str">
        <x:v>STEP-2026-047-02</x:v>
      </x:c>
    </x:row>
    <x:row r="141">
      <x:c r="A141" s="28" t="str">
        <x:v>Rehabilitation</x:v>
      </x:c>
      <x:c r="B141" s="37" t="n">
        <x:v>46159</x:v>
      </x:c>
      <x:c r="C141" s="26" t="str">
        <x:v>RAH01-2026-047</x:v>
      </x:c>
      <x:c r="D141" s="35" t="n">
        <x:v>3</x:v>
      </x:c>
      <x:c r="E141" s="25" t="str">
        <x:v>Rehabilitation: File, retrieve, and archive documents or supplies</x:v>
      </x:c>
      <x:c r="F141" s="25" t="str">
        <x:v>repetition, lifting, obstruction</x:v>
      </x:c>
      <x:c r="G141" s="25" t="str">
        <x:v>30–90 minutes/day</x:v>
      </x:c>
      <x:c r="H141" s="35" t="n">
        <x:v>9</x:v>
      </x:c>
      <x:c r="I141" s="27" t="str">
        <x:v>ASM-2026-047</x:v>
      </x:c>
      <x:c r="J141" s="27" t="str">
        <x:v>STEP-2026-047-03</x:v>
      </x:c>
    </x:row>
    <x:row r="142">
      <x:c r="A142" s="28" t="str">
        <x:v>Renal Unit</x:v>
      </x:c>
      <x:c r="B142" s="37" t="n">
        <x:v>46193</x:v>
      </x:c>
      <x:c r="C142" s="26" t="str">
        <x:v>RAH01-2026-048</x:v>
      </x:c>
      <x:c r="D142" s="35" t="n">
        <x:v>1</x:v>
      </x:c>
      <x:c r="E142" s="25" t="str">
        <x:v>Renal Unit: Review requests, records, or administrative cases</x:v>
      </x:c>
      <x:c r="F142" s="25" t="str">
        <x:v>screen work, prolonged sitting, workload</x:v>
      </x:c>
      <x:c r="G142" s="25" t="str">
        <x:v>4–6 hours/day</x:v>
      </x:c>
      <x:c r="H142" s="35" t="n">
        <x:v>49</x:v>
      </x:c>
      <x:c r="I142" s="27" t="str">
        <x:v>ASM-2026-048</x:v>
      </x:c>
      <x:c r="J142" s="27" t="str">
        <x:v>STEP-2026-048-01</x:v>
      </x:c>
    </x:row>
    <x:row r="143">
      <x:c r="A143" s="28" t="str">
        <x:v>Renal Unit</x:v>
      </x:c>
      <x:c r="B143" s="37" t="n">
        <x:v>46193</x:v>
      </x:c>
      <x:c r="C143" s="26" t="str">
        <x:v>RAH01-2026-048</x:v>
      </x:c>
      <x:c r="D143" s="35" t="n">
        <x:v>2</x:v>
      </x:c>
      <x:c r="E143" s="25" t="str">
        <x:v>Renal Unit: Coordinate with staff, patients, or external parties</x:v>
      </x:c>
      <x:c r="F143" s="25" t="str">
        <x:v>stress, difficult interactions</x:v>
      </x:c>
      <x:c r="G143" s="25" t="str">
        <x:v>1–3 hours/day</x:v>
      </x:c>
      <x:c r="H143" s="35" t="n">
        <x:v>52</x:v>
      </x:c>
      <x:c r="I143" s="27" t="str">
        <x:v>ASM-2026-048</x:v>
      </x:c>
      <x:c r="J143" s="27" t="str">
        <x:v>STEP-2026-048-02</x:v>
      </x:c>
    </x:row>
    <x:row r="144">
      <x:c r="A144" s="28" t="str">
        <x:v>Respiratory Medicine</x:v>
      </x:c>
      <x:c r="B144" s="37" t="n">
        <x:v>46045</x:v>
      </x:c>
      <x:c r="C144" s="26" t="str">
        <x:v>RAH01-2026-049</x:v>
      </x:c>
      <x:c r="D144" s="35" t="n">
        <x:v>1</x:v>
      </x:c>
      <x:c r="E144" s="25" t="str">
        <x:v>Respiratory Medicine: Review requests, records, or administrative cases</x:v>
      </x:c>
      <x:c r="F144" s="25" t="str">
        <x:v>screen work, prolonged sitting, workload</x:v>
      </x:c>
      <x:c r="G144" s="25" t="str">
        <x:v>4–6 hours/day</x:v>
      </x:c>
      <x:c r="H144" s="35" t="n">
        <x:v>50</x:v>
      </x:c>
      <x:c r="I144" s="27" t="str">
        <x:v>ASM-2026-049</x:v>
      </x:c>
      <x:c r="J144" s="27" t="str">
        <x:v>STEP-2026-049-01</x:v>
      </x:c>
    </x:row>
    <x:row r="145">
      <x:c r="A145" s="28" t="str">
        <x:v>Respiratory Medicine</x:v>
      </x:c>
      <x:c r="B145" s="37" t="n">
        <x:v>46045</x:v>
      </x:c>
      <x:c r="C145" s="26" t="str">
        <x:v>RAH01-2026-049</x:v>
      </x:c>
      <x:c r="D145" s="35" t="n">
        <x:v>2</x:v>
      </x:c>
      <x:c r="E145" s="25" t="str">
        <x:v>Respiratory Medicine: Coordinate with staff, patients, or external parties</x:v>
      </x:c>
      <x:c r="F145" s="25" t="str">
        <x:v>stress, difficult interactions</x:v>
      </x:c>
      <x:c r="G145" s="25" t="str">
        <x:v>1–3 hours/day</x:v>
      </x:c>
      <x:c r="H145" s="35" t="n">
        <x:v>53</x:v>
      </x:c>
      <x:c r="I145" s="27" t="str">
        <x:v>ASM-2026-049</x:v>
      </x:c>
      <x:c r="J145" s="27" t="str">
        <x:v>STEP-2026-049-02</x:v>
      </x:c>
    </x:row>
    <x:row r="146">
      <x:c r="A146" s="28" t="str">
        <x:v>Respiratory Medicine</x:v>
      </x:c>
      <x:c r="B146" s="37" t="n">
        <x:v>46045</x:v>
      </x:c>
      <x:c r="C146" s="26" t="str">
        <x:v>RAH01-2026-049</x:v>
      </x:c>
      <x:c r="D146" s="35" t="n">
        <x:v>3</x:v>
      </x:c>
      <x:c r="E146" s="25" t="str">
        <x:v>Respiratory Medicine: File, retrieve, and archive documents or supplies</x:v>
      </x:c>
      <x:c r="F146" s="25" t="str">
        <x:v>repetition, lifting, obstruction</x:v>
      </x:c>
      <x:c r="G146" s="25" t="str">
        <x:v>30–90 minutes/day</x:v>
      </x:c>
      <x:c r="H146" s="35" t="n">
        <x:v>56</x:v>
      </x:c>
      <x:c r="I146" s="27" t="str">
        <x:v>ASM-2026-049</x:v>
      </x:c>
      <x:c r="J146" s="27" t="str">
        <x:v>STEP-2026-049-03</x:v>
      </x:c>
    </x:row>
    <x:row r="147">
      <x:c r="A147" s="28" t="str">
        <x:v>Social Work</x:v>
      </x:c>
      <x:c r="B147" s="37" t="n">
        <x:v>46054</x:v>
      </x:c>
      <x:c r="C147" s="26" t="str">
        <x:v>RAH01-2026-050</x:v>
      </x:c>
      <x:c r="D147" s="35" t="n">
        <x:v>1</x:v>
      </x:c>
      <x:c r="E147" s="25" t="str">
        <x:v>Social Work: Review requests, records, or administrative cases</x:v>
      </x:c>
      <x:c r="F147" s="25" t="str">
        <x:v>screen work, prolonged sitting, workload</x:v>
      </x:c>
      <x:c r="G147" s="25" t="str">
        <x:v>4–6 hours/day</x:v>
      </x:c>
      <x:c r="H147" s="35" t="n">
        <x:v>3</x:v>
      </x:c>
      <x:c r="I147" s="27" t="str">
        <x:v>ASM-2026-050</x:v>
      </x:c>
      <x:c r="J147" s="27" t="str">
        <x:v>STEP-2026-050-01</x:v>
      </x:c>
    </x:row>
    <x:row r="148">
      <x:c r="A148" s="28" t="str">
        <x:v>Social Work</x:v>
      </x:c>
      <x:c r="B148" s="37" t="n">
        <x:v>46054</x:v>
      </x:c>
      <x:c r="C148" s="26" t="str">
        <x:v>RAH01-2026-050</x:v>
      </x:c>
      <x:c r="D148" s="35" t="n">
        <x:v>2</x:v>
      </x:c>
      <x:c r="E148" s="25" t="str">
        <x:v>Social Work: Coordinate with staff, patients, or external parties</x:v>
      </x:c>
      <x:c r="F148" s="25" t="str">
        <x:v>stress, difficult interactions</x:v>
      </x:c>
      <x:c r="G148" s="25" t="str">
        <x:v>1–3 hours/day</x:v>
      </x:c>
      <x:c r="H148" s="35" t="n">
        <x:v>6</x:v>
      </x:c>
      <x:c r="I148" s="27" t="str">
        <x:v>ASM-2026-050</x:v>
      </x:c>
      <x:c r="J148" s="27" t="str">
        <x:v>STEP-2026-050-02</x:v>
      </x:c>
    </x:row>
    <x:row r="149">
      <x:c r="A149" s="28" t="str">
        <x:v>Social Work</x:v>
      </x:c>
      <x:c r="B149" s="37" t="n">
        <x:v>46054</x:v>
      </x:c>
      <x:c r="C149" s="26" t="str">
        <x:v>RAH01-2026-050</x:v>
      </x:c>
      <x:c r="D149" s="35" t="n">
        <x:v>3</x:v>
      </x:c>
      <x:c r="E149" s="25" t="str">
        <x:v>Social Work: File, retrieve, and archive documents or supplies</x:v>
      </x:c>
      <x:c r="F149" s="25" t="str">
        <x:v>repetition, lifting, obstruction</x:v>
      </x:c>
      <x:c r="G149" s="25" t="str">
        <x:v>30–90 minutes/day</x:v>
      </x:c>
      <x:c r="H149" s="35" t="n">
        <x:v>1</x:v>
      </x:c>
      <x:c r="I149" s="27" t="str">
        <x:v>ASM-2026-050</x:v>
      </x:c>
      <x:c r="J149" s="27" t="str">
        <x:v>STEP-2026-050-03</x:v>
      </x:c>
    </x:row>
    <x:row r="150">
      <x:c r="A150" s="28" t="str">
        <x:v>Speech Therapy</x:v>
      </x:c>
      <x:c r="B150" s="37" t="n">
        <x:v>46085</x:v>
      </x:c>
      <x:c r="C150" s="26" t="str">
        <x:v>RAH01-2026-051</x:v>
      </x:c>
      <x:c r="D150" s="35" t="n">
        <x:v>1</x:v>
      </x:c>
      <x:c r="E150" s="25" t="str">
        <x:v>Speech Therapy: Review requests, records, or administrative cases</x:v>
      </x:c>
      <x:c r="F150" s="25" t="str">
        <x:v>screen work, prolonged sitting, workload</x:v>
      </x:c>
      <x:c r="G150" s="25" t="str">
        <x:v>4–6 hours/day</x:v>
      </x:c>
      <x:c r="H150" s="35" t="n">
        <x:v>7</x:v>
      </x:c>
      <x:c r="I150" s="27" t="str">
        <x:v>ASM-2026-051</x:v>
      </x:c>
      <x:c r="J150" s="27" t="str">
        <x:v>STEP-2026-051-01</x:v>
      </x:c>
    </x:row>
    <x:row r="151">
      <x:c r="A151" s="28" t="str">
        <x:v>Speech Therapy</x:v>
      </x:c>
      <x:c r="B151" s="37" t="n">
        <x:v>46085</x:v>
      </x:c>
      <x:c r="C151" s="26" t="str">
        <x:v>RAH01-2026-051</x:v>
      </x:c>
      <x:c r="D151" s="35" t="n">
        <x:v>2</x:v>
      </x:c>
      <x:c r="E151" s="25" t="str">
        <x:v>Speech Therapy: Coordinate with staff, patients, or external parties</x:v>
      </x:c>
      <x:c r="F151" s="25" t="str">
        <x:v>stress, difficult interactions</x:v>
      </x:c>
      <x:c r="G151" s="25" t="str">
        <x:v>1–3 hours/day</x:v>
      </x:c>
      <x:c r="H151" s="35" t="n">
        <x:v>10</x:v>
      </x:c>
      <x:c r="I151" s="27" t="str">
        <x:v>ASM-2026-051</x:v>
      </x:c>
      <x:c r="J151" s="27" t="str">
        <x:v>STEP-2026-051-02</x:v>
      </x:c>
    </x:row>
    <x:row r="152">
      <x:c r="A152" s="28" t="str">
        <x:v>Speech Therapy</x:v>
      </x:c>
      <x:c r="B152" s="37" t="n">
        <x:v>46085</x:v>
      </x:c>
      <x:c r="C152" s="26" t="str">
        <x:v>RAH01-2026-051</x:v>
      </x:c>
      <x:c r="D152" s="35" t="n">
        <x:v>3</x:v>
      </x:c>
      <x:c r="E152" s="25" t="str">
        <x:v>Speech Therapy: File, retrieve, and archive documents or supplies</x:v>
      </x:c>
      <x:c r="F152" s="25" t="str">
        <x:v>repetition, lifting, obstruction</x:v>
      </x:c>
      <x:c r="G152" s="25" t="str">
        <x:v>30–90 minutes/day</x:v>
      </x:c>
      <x:c r="H152" s="35" t="n">
        <x:v>13</x:v>
      </x:c>
      <x:c r="I152" s="27" t="str">
        <x:v>ASM-2026-051</x:v>
      </x:c>
      <x:c r="J152" s="27" t="str">
        <x:v>STEP-2026-051-03</x:v>
      </x:c>
    </x:row>
    <x:row r="153">
      <x:c r="A153" s="28" t="str">
        <x:v>Surgical ICU</x:v>
      </x:c>
      <x:c r="B153" s="37" t="n">
        <x:v>46119</x:v>
      </x:c>
      <x:c r="C153" s="26" t="str">
        <x:v>RAH01-2026-052</x:v>
      </x:c>
      <x:c r="D153" s="35" t="n">
        <x:v>1</x:v>
      </x:c>
      <x:c r="E153" s="25" t="str">
        <x:v>Surgical ICU: Review requests, records, or administrative cases</x:v>
      </x:c>
      <x:c r="F153" s="25" t="str">
        <x:v>screen work, prolonged sitting, workload</x:v>
      </x:c>
      <x:c r="G153" s="25" t="str">
        <x:v>4–6 hours/day</x:v>
      </x:c>
      <x:c r="H153" s="35" t="n">
        <x:v>9</x:v>
      </x:c>
      <x:c r="I153" s="27" t="str">
        <x:v>ASM-2026-052</x:v>
      </x:c>
      <x:c r="J153" s="27" t="str">
        <x:v>STEP-2026-052-01</x:v>
      </x:c>
    </x:row>
    <x:row r="154">
      <x:c r="A154" s="28" t="str">
        <x:v>Surgical ICU</x:v>
      </x:c>
      <x:c r="B154" s="37" t="n">
        <x:v>46119</x:v>
      </x:c>
      <x:c r="C154" s="26" t="str">
        <x:v>RAH01-2026-052</x:v>
      </x:c>
      <x:c r="D154" s="35" t="n">
        <x:v>2</x:v>
      </x:c>
      <x:c r="E154" s="25" t="str">
        <x:v>Surgical ICU: Coordinate with staff, patients, or external parties</x:v>
      </x:c>
      <x:c r="F154" s="25" t="str">
        <x:v>stress, difficult interactions</x:v>
      </x:c>
      <x:c r="G154" s="25" t="str">
        <x:v>1–3 hours/day</x:v>
      </x:c>
      <x:c r="H154" s="35" t="n">
        <x:v>12</x:v>
      </x:c>
      <x:c r="I154" s="27" t="str">
        <x:v>ASM-2026-052</x:v>
      </x:c>
      <x:c r="J154" s="27" t="str">
        <x:v>STEP-2026-052-02</x:v>
      </x:c>
    </x:row>
    <x:row r="155">
      <x:c r="A155" s="28" t="str">
        <x:v>Thai Traditional Medicine</x:v>
      </x:c>
      <x:c r="B155" s="37" t="n">
        <x:v>46152</x:v>
      </x:c>
      <x:c r="C155" s="26" t="str">
        <x:v>RAH01-2026-053</x:v>
      </x:c>
      <x:c r="D155" s="35" t="n">
        <x:v>1</x:v>
      </x:c>
      <x:c r="E155" s="25" t="str">
        <x:v>Thai Traditional Medicine: Review requests, records, or administrative cases</x:v>
      </x:c>
      <x:c r="F155" s="25" t="str">
        <x:v>screen work, prolonged sitting, workload</x:v>
      </x:c>
      <x:c r="G155" s="25" t="str">
        <x:v>4–6 hours/day</x:v>
      </x:c>
      <x:c r="H155" s="35" t="n">
        <x:v>25</x:v>
      </x:c>
      <x:c r="I155" s="27" t="str">
        <x:v>ASM-2026-053</x:v>
      </x:c>
      <x:c r="J155" s="27" t="str">
        <x:v>STEP-2026-053-01</x:v>
      </x:c>
    </x:row>
    <x:row r="156">
      <x:c r="A156" s="28" t="str">
        <x:v>Thai Traditional Medicine</x:v>
      </x:c>
      <x:c r="B156" s="37" t="n">
        <x:v>46152</x:v>
      </x:c>
      <x:c r="C156" s="26" t="str">
        <x:v>RAH01-2026-053</x:v>
      </x:c>
      <x:c r="D156" s="35" t="n">
        <x:v>2</x:v>
      </x:c>
      <x:c r="E156" s="25" t="str">
        <x:v>Thai Traditional Medicine: Coordinate with staff, patients, or external parties</x:v>
      </x:c>
      <x:c r="F156" s="25" t="str">
        <x:v>stress, difficult interactions</x:v>
      </x:c>
      <x:c r="G156" s="25" t="str">
        <x:v>1–3 hours/day</x:v>
      </x:c>
      <x:c r="H156" s="35" t="n">
        <x:v>28</x:v>
      </x:c>
      <x:c r="I156" s="27" t="str">
        <x:v>ASM-2026-053</x:v>
      </x:c>
      <x:c r="J156" s="27" t="str">
        <x:v>STEP-2026-053-02</x:v>
      </x:c>
    </x:row>
    <x:row r="157">
      <x:c r="A157" s="28" t="str">
        <x:v>Thai Traditional Medicine</x:v>
      </x:c>
      <x:c r="B157" s="37" t="n">
        <x:v>46152</x:v>
      </x:c>
      <x:c r="C157" s="26" t="str">
        <x:v>RAH01-2026-053</x:v>
      </x:c>
      <x:c r="D157" s="35" t="n">
        <x:v>3</x:v>
      </x:c>
      <x:c r="E157" s="25" t="str">
        <x:v>Thai Traditional Medicine: File, retrieve, and archive documents or supplies</x:v>
      </x:c>
      <x:c r="F157" s="25" t="str">
        <x:v>repetition, lifting, obstruction</x:v>
      </x:c>
      <x:c r="G157" s="25" t="str">
        <x:v>30–90 minutes/day</x:v>
      </x:c>
      <x:c r="H157" s="35" t="n">
        <x:v>2</x:v>
      </x:c>
      <x:c r="I157" s="27" t="str">
        <x:v>ASM-2026-053</x:v>
      </x:c>
      <x:c r="J157" s="27" t="str">
        <x:v>STEP-2026-053-03</x:v>
      </x:c>
    </x:row>
    <x:row r="158">
      <x:c r="A158" s="28" t="str">
        <x:v>Thoracic Medicine</x:v>
      </x:c>
      <x:c r="B158" s="37" t="n">
        <x:v>46186</x:v>
      </x:c>
      <x:c r="C158" s="26" t="str">
        <x:v>RAH01-2026-054</x:v>
      </x:c>
      <x:c r="D158" s="35" t="n">
        <x:v>1</x:v>
      </x:c>
      <x:c r="E158" s="25" t="str">
        <x:v>Thoracic Medicine: Review requests, records, or administrative cases</x:v>
      </x:c>
      <x:c r="F158" s="25" t="str">
        <x:v>screen work, prolonged sitting, workload</x:v>
      </x:c>
      <x:c r="G158" s="25" t="str">
        <x:v>4–6 hours/day</x:v>
      </x:c>
      <x:c r="H158" s="35" t="n">
        <x:v>19</x:v>
      </x:c>
      <x:c r="I158" s="27" t="str">
        <x:v>ASM-2026-054</x:v>
      </x:c>
      <x:c r="J158" s="27" t="str">
        <x:v>STEP-2026-054-01</x:v>
      </x:c>
    </x:row>
    <x:row r="159">
      <x:c r="A159" s="28" t="str">
        <x:v>Thoracic Medicine</x:v>
      </x:c>
      <x:c r="B159" s="37" t="n">
        <x:v>46186</x:v>
      </x:c>
      <x:c r="C159" s="26" t="str">
        <x:v>RAH01-2026-054</x:v>
      </x:c>
      <x:c r="D159" s="35" t="n">
        <x:v>2</x:v>
      </x:c>
      <x:c r="E159" s="25" t="str">
        <x:v>Thoracic Medicine: Coordinate with staff, patients, or external parties</x:v>
      </x:c>
      <x:c r="F159" s="25" t="str">
        <x:v>stress, difficult interactions</x:v>
      </x:c>
      <x:c r="G159" s="25" t="str">
        <x:v>1–3 hours/day</x:v>
      </x:c>
      <x:c r="H159" s="35" t="n">
        <x:v>22</x:v>
      </x:c>
      <x:c r="I159" s="27" t="str">
        <x:v>ASM-2026-054</x:v>
      </x:c>
      <x:c r="J159" s="27" t="str">
        <x:v>STEP-2026-054-02</x:v>
      </x:c>
    </x:row>
    <x:row r="160">
      <x:c r="A160" s="28" t="str">
        <x:v>Thoracic Medicine</x:v>
      </x:c>
      <x:c r="B160" s="37" t="n">
        <x:v>46186</x:v>
      </x:c>
      <x:c r="C160" s="26" t="str">
        <x:v>RAH01-2026-054</x:v>
      </x:c>
      <x:c r="D160" s="35" t="n">
        <x:v>3</x:v>
      </x:c>
      <x:c r="E160" s="25" t="str">
        <x:v>Thoracic Medicine: File, retrieve, and archive documents or supplies</x:v>
      </x:c>
      <x:c r="F160" s="25" t="str">
        <x:v>repetition, lifting, obstruction</x:v>
      </x:c>
      <x:c r="G160" s="25" t="str">
        <x:v>30–90 minutes/day</x:v>
      </x:c>
      <x:c r="H160" s="35" t="n">
        <x:v>25</x:v>
      </x:c>
      <x:c r="I160" s="27" t="str">
        <x:v>ASM-2026-054</x:v>
      </x:c>
      <x:c r="J160" s="27" t="str">
        <x:v>STEP-2026-054-03</x:v>
      </x:c>
    </x:row>
    <x:row r="161">
      <x:c r="A161" s="28" t="str">
        <x:v>Transfusion Medicine</x:v>
      </x:c>
      <x:c r="B161" s="37" t="n">
        <x:v>46038</x:v>
      </x:c>
      <x:c r="C161" s="26" t="str">
        <x:v>RAH01-2026-055</x:v>
      </x:c>
      <x:c r="D161" s="35" t="n">
        <x:v>1</x:v>
      </x:c>
      <x:c r="E161" s="25" t="str">
        <x:v>Transfusion Medicine: Review requests, records, or administrative cases</x:v>
      </x:c>
      <x:c r="F161" s="25" t="str">
        <x:v>screen work, prolonged sitting, workload</x:v>
      </x:c>
      <x:c r="G161" s="25" t="str">
        <x:v>4–6 hours/day</x:v>
      </x:c>
      <x:c r="H161" s="35" t="n">
        <x:v>13</x:v>
      </x:c>
      <x:c r="I161" s="27" t="str">
        <x:v>ASM-2026-055</x:v>
      </x:c>
      <x:c r="J161" s="27" t="str">
        <x:v>STEP-2026-055-01</x:v>
      </x:c>
    </x:row>
    <x:row r="162">
      <x:c r="A162" s="28" t="str">
        <x:v>Transfusion Medicine</x:v>
      </x:c>
      <x:c r="B162" s="37" t="n">
        <x:v>46038</x:v>
      </x:c>
      <x:c r="C162" s="26" t="str">
        <x:v>RAH01-2026-055</x:v>
      </x:c>
      <x:c r="D162" s="35" t="n">
        <x:v>2</x:v>
      </x:c>
      <x:c r="E162" s="25" t="str">
        <x:v>Transfusion Medicine: Coordinate with staff, patients, or external parties</x:v>
      </x:c>
      <x:c r="F162" s="25" t="str">
        <x:v>stress, difficult interactions</x:v>
      </x:c>
      <x:c r="G162" s="25" t="str">
        <x:v>1–3 hours/day</x:v>
      </x:c>
      <x:c r="H162" s="35" t="n">
        <x:v>16</x:v>
      </x:c>
      <x:c r="I162" s="27" t="str">
        <x:v>ASM-2026-055</x:v>
      </x:c>
      <x:c r="J162" s="27" t="str">
        <x:v>STEP-2026-055-02</x:v>
      </x:c>
    </x:row>
    <x:row r="163">
      <x:c r="A163" s="28" t="str">
        <x:v>Transfusion Medicine</x:v>
      </x:c>
      <x:c r="B163" s="37" t="n">
        <x:v>46038</x:v>
      </x:c>
      <x:c r="C163" s="26" t="str">
        <x:v>RAH01-2026-055</x:v>
      </x:c>
      <x:c r="D163" s="35" t="n">
        <x:v>3</x:v>
      </x:c>
      <x:c r="E163" s="25" t="str">
        <x:v>Transfusion Medicine: File, retrieve, and archive documents or supplies</x:v>
      </x:c>
      <x:c r="F163" s="25" t="str">
        <x:v>repetition, lifting, obstruction</x:v>
      </x:c>
      <x:c r="G163" s="25" t="str">
        <x:v>30–90 minutes/day</x:v>
      </x:c>
      <x:c r="H163" s="35" t="n">
        <x:v>19</x:v>
      </x:c>
      <x:c r="I163" s="27" t="str">
        <x:v>ASM-2026-055</x:v>
      </x:c>
      <x:c r="J163" s="27" t="str">
        <x:v>STEP-2026-055-03</x:v>
      </x:c>
    </x:row>
    <x:row r="164">
      <x:c r="A164" s="28" t="str">
        <x:v>Trauma Centre</x:v>
      </x:c>
      <x:c r="B164" s="37" t="n">
        <x:v>46072</x:v>
      </x:c>
      <x:c r="C164" s="26" t="str">
        <x:v>RAH01-2026-056</x:v>
      </x:c>
      <x:c r="D164" s="35" t="n">
        <x:v>1</x:v>
      </x:c>
      <x:c r="E164" s="25" t="str">
        <x:v>Trauma Centre: Review requests, records, or administrative cases</x:v>
      </x:c>
      <x:c r="F164" s="25" t="str">
        <x:v>screen work, prolonged sitting, workload</x:v>
      </x:c>
      <x:c r="G164" s="25" t="str">
        <x:v>4–6 hours/day</x:v>
      </x:c>
      <x:c r="H164" s="35" t="n">
        <x:v>7</x:v>
      </x:c>
      <x:c r="I164" s="27" t="str">
        <x:v>ASM-2026-056</x:v>
      </x:c>
      <x:c r="J164" s="27" t="str">
        <x:v>STEP-2026-056-01</x:v>
      </x:c>
    </x:row>
    <x:row r="165">
      <x:c r="A165" s="28" t="str">
        <x:v>Trauma Centre</x:v>
      </x:c>
      <x:c r="B165" s="37" t="n">
        <x:v>46072</x:v>
      </x:c>
      <x:c r="C165" s="26" t="str">
        <x:v>RAH01-2026-056</x:v>
      </x:c>
      <x:c r="D165" s="35" t="n">
        <x:v>2</x:v>
      </x:c>
      <x:c r="E165" s="25" t="str">
        <x:v>Trauma Centre: Coordinate with staff, patients, or external parties</x:v>
      </x:c>
      <x:c r="F165" s="25" t="str">
        <x:v>stress, difficult interactions</x:v>
      </x:c>
      <x:c r="G165" s="25" t="str">
        <x:v>1–3 hours/day</x:v>
      </x:c>
      <x:c r="H165" s="35" t="n">
        <x:v>10</x:v>
      </x:c>
      <x:c r="I165" s="27" t="str">
        <x:v>ASM-2026-056</x:v>
      </x:c>
      <x:c r="J165" s="27" t="str">
        <x:v>STEP-2026-056-02</x:v>
      </x:c>
    </x:row>
    <x:row r="166">
      <x:c r="A166" s="28" t="str">
        <x:v>Urology</x:v>
      </x:c>
      <x:c r="B166" s="37" t="n">
        <x:v>46103</x:v>
      </x:c>
      <x:c r="C166" s="26" t="str">
        <x:v>RAH01-2026-057</x:v>
      </x:c>
      <x:c r="D166" s="35" t="n">
        <x:v>1</x:v>
      </x:c>
      <x:c r="E166" s="25" t="str">
        <x:v>Urology: Assess mobility and functional capacity</x:v>
      </x:c>
      <x:c r="F166" s="25" t="str">
        <x:v>close contact, awkward posture</x:v>
      </x:c>
      <x:c r="G166" s="25" t="str">
        <x:v>30–60 minutes/patient</x:v>
      </x:c>
      <x:c r="H166" s="35" t="n">
        <x:v>1</x:v>
      </x:c>
      <x:c r="I166" s="27" t="str">
        <x:v>ASM-2026-057</x:v>
      </x:c>
      <x:c r="J166" s="27" t="str">
        <x:v>STEP-2026-057-01</x:v>
      </x:c>
    </x:row>
    <x:row r="167">
      <x:c r="A167" s="28" t="str">
        <x:v>Urology</x:v>
      </x:c>
      <x:c r="B167" s="37" t="n">
        <x:v>46103</x:v>
      </x:c>
      <x:c r="C167" s="26" t="str">
        <x:v>RAH01-2026-057</x:v>
      </x:c>
      <x:c r="D167" s="35" t="n">
        <x:v>2</x:v>
      </x:c>
      <x:c r="E167" s="25" t="str">
        <x:v>Urology: Assist therapeutic exercise and transfer</x:v>
      </x:c>
      <x:c r="F167" s="25" t="str">
        <x:v>manual handling, push/pull force</x:v>
      </x:c>
      <x:c r="G167" s="25" t="str">
        <x:v>3–6 hours/shift</x:v>
      </x:c>
      <x:c r="H167" s="35" t="n">
        <x:v>4</x:v>
      </x:c>
      <x:c r="I167" s="27" t="str">
        <x:v>ASM-2026-057</x:v>
      </x:c>
      <x:c r="J167" s="27" t="str">
        <x:v>STEP-2026-057-02</x:v>
      </x:c>
    </x:row>
    <x:row r="168">
      <x:c r="A168" s="28" t="str">
        <x:v>Urology</x:v>
      </x:c>
      <x:c r="B168" s="37" t="n">
        <x:v>46103</x:v>
      </x:c>
      <x:c r="C168" s="26" t="str">
        <x:v>RAH01-2026-057</x:v>
      </x:c>
      <x:c r="D168" s="35" t="n">
        <x:v>3</x:v>
      </x:c>
      <x:c r="E168" s="25" t="str">
        <x:v>Urology: Set up and clean therapy equipment</x:v>
      </x:c>
      <x:c r="F168" s="25" t="str">
        <x:v>electrical equipment, disinfectants</x:v>
      </x:c>
      <x:c r="G168" s="25" t="str">
        <x:v>Between patients</x:v>
      </x:c>
      <x:c r="H168" s="35" t="n">
        <x:v>7</x:v>
      </x:c>
      <x:c r="I168" s="27" t="str">
        <x:v>ASM-2026-057</x:v>
      </x:c>
      <x:c r="J168" s="27" t="str">
        <x:v>STEP-2026-057-03</x:v>
      </x:c>
    </x:row>
    <x:row r="169">
      <x:c r="A169" s="28" t="str">
        <x:v>Vaccination Clinic</x:v>
      </x:c>
      <x:c r="B169" s="37" t="n">
        <x:v>46137</x:v>
      </x:c>
      <x:c r="C169" s="26" t="str">
        <x:v>RAH01-2026-058</x:v>
      </x:c>
      <x:c r="D169" s="35" t="n">
        <x:v>1</x:v>
      </x:c>
      <x:c r="E169" s="25" t="str">
        <x:v>Vaccination Clinic: Inspect plant, utilities, and equipment</x:v>
      </x:c>
      <x:c r="F169" s="25" t="str">
        <x:v>electricity, noise, heat</x:v>
      </x:c>
      <x:c r="G169" s="25" t="str">
        <x:v>Daily rounds</x:v>
      </x:c>
      <x:c r="H169" s="35" t="n">
        <x:v>5</x:v>
      </x:c>
      <x:c r="I169" s="27" t="str">
        <x:v>ASM-2026-058</x:v>
      </x:c>
      <x:c r="J169" s="27" t="str">
        <x:v>STEP-2026-058-01</x:v>
      </x:c>
    </x:row>
    <x:row r="170">
      <x:c r="A170" s="28" t="str">
        <x:v>Vaccination Clinic</x:v>
      </x:c>
      <x:c r="B170" s="37" t="n">
        <x:v>46137</x:v>
      </x:c>
      <x:c r="C170" s="26" t="str">
        <x:v>RAH01-2026-058</x:v>
      </x:c>
      <x:c r="D170" s="35" t="n">
        <x:v>2</x:v>
      </x:c>
      <x:c r="E170" s="25" t="str">
        <x:v>Vaccination Clinic: Isolate and repair defective systems</x:v>
      </x:c>
      <x:c r="F170" s="25" t="str">
        <x:v>electrical work, machinery, awkward posture</x:v>
      </x:c>
      <x:c r="G170" s="25" t="str">
        <x:v>1–4 hours/job</x:v>
      </x:c>
      <x:c r="H170" s="35" t="n">
        <x:v>2</x:v>
      </x:c>
      <x:c r="I170" s="27" t="str">
        <x:v>ASM-2026-058</x:v>
      </x:c>
      <x:c r="J170" s="27" t="str">
        <x:v>STEP-2026-058-02</x:v>
      </x:c>
    </x:row>
    <x:row r="171">
      <x:c r="A171" s="28" t="str">
        <x:v>Vaccination Clinic</x:v>
      </x:c>
      <x:c r="B171" s="37" t="n">
        <x:v>46137</x:v>
      </x:c>
      <x:c r="C171" s="26" t="str">
        <x:v>RAH01-2026-058</x:v>
      </x:c>
      <x:c r="D171" s="35" t="n">
        <x:v>3</x:v>
      </x:c>
      <x:c r="E171" s="25" t="str">
        <x:v>Vaccination Clinic: Test restored equipment and document work</x:v>
      </x:c>
      <x:c r="F171" s="25" t="str">
        <x:v>unexpected startup, screen work</x:v>
      </x:c>
      <x:c r="G171" s="25" t="str">
        <x:v>30–90 minutes/job</x:v>
      </x:c>
      <x:c r="H171" s="35" t="n">
        <x:v>5</x:v>
      </x:c>
      <x:c r="I171" s="27" t="str">
        <x:v>ASM-2026-058</x:v>
      </x:c>
      <x:c r="J171" s="27" t="str">
        <x:v>STEP-2026-058-03</x:v>
      </x:c>
    </x:row>
    <x:row r="172">
      <x:c r="A172" s="28" t="str">
        <x:v>Vaccination Clinic</x:v>
      </x:c>
      <x:c r="B172" s="37" t="n">
        <x:v>46137</x:v>
      </x:c>
      <x:c r="C172" s="26" t="str">
        <x:v>RAH01-2026-058</x:v>
      </x:c>
      <x:c r="D172" s="35" t="n">
        <x:v>4</x:v>
      </x:c>
      <x:c r="E172" s="25" t="str">
        <x:v>Vaccination Clinic: Respond to urgent utility failure</x:v>
      </x:c>
      <x:c r="F172" s="25" t="str">
        <x:v>stress, work at height, confined areas</x:v>
      </x:c>
      <x:c r="G172" s="25" t="str">
        <x:v>On call</x:v>
      </x:c>
      <x:c r="H172" s="35" t="n">
        <x:v>2</x:v>
      </x:c>
      <x:c r="I172" s="27" t="str">
        <x:v>ASM-2026-058</x:v>
      </x:c>
      <x:c r="J172" s="27" t="str">
        <x:v>STEP-2026-058-04</x:v>
      </x:c>
    </x:row>
    <x:row r="173">
      <x:c r="A173" s="28" t="str">
        <x:v>Ward 1</x:v>
      </x:c>
      <x:c r="B173" s="37" t="n">
        <x:v>46145</x:v>
      </x:c>
      <x:c r="C173" s="26" t="str">
        <x:v>RAH01-2026-059</x:v>
      </x:c>
      <x:c r="D173" s="35" t="n">
        <x:v>1</x:v>
      </x:c>
      <x:c r="E173" s="25" t="str">
        <x:v>Ward 1: Inspect plant, utilities, and equipment</x:v>
      </x:c>
      <x:c r="F173" s="25" t="str">
        <x:v>electricity, noise, heat</x:v>
      </x:c>
      <x:c r="G173" s="25" t="str">
        <x:v>Daily rounds</x:v>
      </x:c>
      <x:c r="H173" s="35" t="n">
        <x:v>8</x:v>
      </x:c>
      <x:c r="I173" s="27" t="str">
        <x:v>ASM-2026-059</x:v>
      </x:c>
      <x:c r="J173" s="27" t="str">
        <x:v>STEP-2026-059-01</x:v>
      </x:c>
    </x:row>
    <x:row r="174">
      <x:c r="A174" s="28" t="str">
        <x:v>Ward 1</x:v>
      </x:c>
      <x:c r="B174" s="37" t="n">
        <x:v>46145</x:v>
      </x:c>
      <x:c r="C174" s="26" t="str">
        <x:v>RAH01-2026-059</x:v>
      </x:c>
      <x:c r="D174" s="35" t="n">
        <x:v>2</x:v>
      </x:c>
      <x:c r="E174" s="25" t="str">
        <x:v>Ward 1: Isolate and repair defective systems</x:v>
      </x:c>
      <x:c r="F174" s="25" t="str">
        <x:v>electrical work, machinery, awkward posture</x:v>
      </x:c>
      <x:c r="G174" s="25" t="str">
        <x:v>1–4 hours/job</x:v>
      </x:c>
      <x:c r="H174" s="35" t="n">
        <x:v>11</x:v>
      </x:c>
      <x:c r="I174" s="27" t="str">
        <x:v>ASM-2026-059</x:v>
      </x:c>
      <x:c r="J174" s="27" t="str">
        <x:v>STEP-2026-059-02</x:v>
      </x:c>
    </x:row>
    <x:row r="175">
      <x:c r="A175" s="28" t="str">
        <x:v>Ward 1</x:v>
      </x:c>
      <x:c r="B175" s="37" t="n">
        <x:v>46145</x:v>
      </x:c>
      <x:c r="C175" s="26" t="str">
        <x:v>RAH01-2026-059</x:v>
      </x:c>
      <x:c r="D175" s="35" t="n">
        <x:v>3</x:v>
      </x:c>
      <x:c r="E175" s="25" t="str">
        <x:v>Ward 1: Test restored equipment and document work</x:v>
      </x:c>
      <x:c r="F175" s="25" t="str">
        <x:v>unexpected startup, screen work</x:v>
      </x:c>
      <x:c r="G175" s="25" t="str">
        <x:v>30–90 minutes/job</x:v>
      </x:c>
      <x:c r="H175" s="35" t="n">
        <x:v>1</x:v>
      </x:c>
      <x:c r="I175" s="27" t="str">
        <x:v>ASM-2026-059</x:v>
      </x:c>
      <x:c r="J175" s="27" t="str">
        <x:v>STEP-2026-059-03</x:v>
      </x:c>
    </x:row>
    <x:row r="176">
      <x:c r="A176" s="28" t="str">
        <x:v>Ward 1</x:v>
      </x:c>
      <x:c r="B176" s="37" t="n">
        <x:v>46145</x:v>
      </x:c>
      <x:c r="C176" s="26" t="str">
        <x:v>RAH01-2026-059</x:v>
      </x:c>
      <x:c r="D176" s="35" t="n">
        <x:v>4</x:v>
      </x:c>
      <x:c r="E176" s="25" t="str">
        <x:v>Ward 1: Respond to urgent utility failure</x:v>
      </x:c>
      <x:c r="F176" s="25" t="str">
        <x:v>stress, work at height, confined areas</x:v>
      </x:c>
      <x:c r="G176" s="25" t="str">
        <x:v>On call</x:v>
      </x:c>
      <x:c r="H176" s="35" t="n">
        <x:v>4</x:v>
      </x:c>
      <x:c r="I176" s="27" t="str">
        <x:v>ASM-2026-059</x:v>
      </x:c>
      <x:c r="J176" s="27" t="str">
        <x:v>STEP-2026-059-04</x:v>
      </x:c>
    </x:row>
    <x:row r="177">
      <x:c r="A177" s="28" t="str">
        <x:v>Ward 10</x:v>
      </x:c>
      <x:c r="B177" s="37" t="n">
        <x:v>46058</x:v>
      </x:c>
      <x:c r="C177" s="26" t="str">
        <x:v>RAH01-2026-068</x:v>
      </x:c>
      <x:c r="D177" s="35" t="n">
        <x:v>1</x:v>
      </x:c>
      <x:c r="E177" s="25" t="str">
        <x:v>Ward 10: Assess patients and provide bedside care</x:v>
      </x:c>
      <x:c r="F177" s="25" t="str">
        <x:v>infection, sharps, workload</x:v>
      </x:c>
      <x:c r="G177" s="25" t="str">
        <x:v>Continuous</x:v>
      </x:c>
      <x:c r="H177" s="35" t="n">
        <x:v>15</x:v>
      </x:c>
      <x:c r="I177" s="27" t="str">
        <x:v>ASM-2026-068</x:v>
      </x:c>
      <x:c r="J177" s="27" t="str">
        <x:v>STEP-2026-068-01</x:v>
      </x:c>
    </x:row>
    <x:row r="178">
      <x:c r="A178" s="28" t="str">
        <x:v>Ward 10</x:v>
      </x:c>
      <x:c r="B178" s="37" t="n">
        <x:v>46058</x:v>
      </x:c>
      <x:c r="C178" s="26" t="str">
        <x:v>RAH01-2026-068</x:v>
      </x:c>
      <x:c r="D178" s="35" t="n">
        <x:v>2</x:v>
      </x:c>
      <x:c r="E178" s="25" t="str">
        <x:v>Ward 10: Administer medicines and collect specimens</x:v>
      </x:c>
      <x:c r="F178" s="25" t="str">
        <x:v>sharps, medicines, body fluids</x:v>
      </x:c>
      <x:c r="G178" s="25" t="str">
        <x:v>3–6 rounds/shift</x:v>
      </x:c>
      <x:c r="H178" s="35" t="n">
        <x:v>18</x:v>
      </x:c>
      <x:c r="I178" s="27" t="str">
        <x:v>ASM-2026-068</x:v>
      </x:c>
      <x:c r="J178" s="27" t="str">
        <x:v>STEP-2026-068-02</x:v>
      </x:c>
    </x:row>
    <x:row r="179">
      <x:c r="A179" s="28" t="str">
        <x:v>Ward 2</x:v>
      </x:c>
      <x:c r="B179" s="37" t="n">
        <x:v>46179</x:v>
      </x:c>
      <x:c r="C179" s="26" t="str">
        <x:v>RAH01-2026-060</x:v>
      </x:c>
      <x:c r="D179" s="35" t="n">
        <x:v>1</x:v>
      </x:c>
      <x:c r="E179" s="25" t="str">
        <x:v>Ward 2: Receive and store food supplies</x:v>
      </x:c>
      <x:c r="F179" s="25" t="str">
        <x:v>lifting, cold/heat, obstruction</x:v>
      </x:c>
      <x:c r="G179" s="25" t="str">
        <x:v>1–2 hours/day</x:v>
      </x:c>
      <x:c r="H179" s="35" t="n">
        <x:v>1</x:v>
      </x:c>
      <x:c r="I179" s="27" t="str">
        <x:v>ASM-2026-060</x:v>
      </x:c>
      <x:c r="J179" s="27" t="str">
        <x:v>STEP-2026-060-01</x:v>
      </x:c>
    </x:row>
    <x:row r="180">
      <x:c r="A180" s="28" t="str">
        <x:v>Ward 2</x:v>
      </x:c>
      <x:c r="B180" s="37" t="n">
        <x:v>46179</x:v>
      </x:c>
      <x:c r="C180" s="26" t="str">
        <x:v>RAH01-2026-060</x:v>
      </x:c>
      <x:c r="D180" s="35" t="n">
        <x:v>2</x:v>
      </x:c>
      <x:c r="E180" s="25" t="str">
        <x:v>Ward 2: Prepare and cook meals</x:v>
      </x:c>
      <x:c r="F180" s="25" t="str">
        <x:v>knives, heat, repetitive work</x:v>
      </x:c>
      <x:c r="G180" s="25" t="str">
        <x:v>4–6 hours/shift</x:v>
      </x:c>
      <x:c r="H180" s="35" t="n">
        <x:v>4</x:v>
      </x:c>
      <x:c r="I180" s="27" t="str">
        <x:v>ASM-2026-060</x:v>
      </x:c>
      <x:c r="J180" s="27" t="str">
        <x:v>STEP-2026-060-02</x:v>
      </x:c>
    </x:row>
    <x:row r="181">
      <x:c r="A181" s="28" t="str">
        <x:v>Ward 3</x:v>
      </x:c>
      <x:c r="B181" s="37" t="n">
        <x:v>46031</x:v>
      </x:c>
      <x:c r="C181" s="26" t="str">
        <x:v>RAH01-2026-061</x:v>
      </x:c>
      <x:c r="D181" s="35" t="n">
        <x:v>1</x:v>
      </x:c>
      <x:c r="E181" s="25" t="str">
        <x:v>Ward 3: Assess patients and provide bedside care</x:v>
      </x:c>
      <x:c r="F181" s="25" t="str">
        <x:v>infection, sharps, workload</x:v>
      </x:c>
      <x:c r="G181" s="25" t="str">
        <x:v>Continuous</x:v>
      </x:c>
      <x:c r="H181" s="35" t="n">
        <x:v>8</x:v>
      </x:c>
      <x:c r="I181" s="27" t="str">
        <x:v>ASM-2026-061</x:v>
      </x:c>
      <x:c r="J181" s="27" t="str">
        <x:v>STEP-2026-061-01</x:v>
      </x:c>
    </x:row>
    <x:row r="182">
      <x:c r="A182" s="28" t="str">
        <x:v>Ward 3</x:v>
      </x:c>
      <x:c r="B182" s="37" t="n">
        <x:v>46031</x:v>
      </x:c>
      <x:c r="C182" s="26" t="str">
        <x:v>RAH01-2026-061</x:v>
      </x:c>
      <x:c r="D182" s="35" t="n">
        <x:v>2</x:v>
      </x:c>
      <x:c r="E182" s="25" t="str">
        <x:v>Ward 3: Administer medicines and collect specimens</x:v>
      </x:c>
      <x:c r="F182" s="25" t="str">
        <x:v>sharps, medicines, body fluids</x:v>
      </x:c>
      <x:c r="G182" s="25" t="str">
        <x:v>3–6 rounds/shift</x:v>
      </x:c>
      <x:c r="H182" s="35" t="n">
        <x:v>11</x:v>
      </x:c>
      <x:c r="I182" s="27" t="str">
        <x:v>ASM-2026-061</x:v>
      </x:c>
      <x:c r="J182" s="27" t="str">
        <x:v>STEP-2026-061-02</x:v>
      </x:c>
    </x:row>
    <x:row r="183">
      <x:c r="A183" s="28" t="str">
        <x:v>Ward 3</x:v>
      </x:c>
      <x:c r="B183" s="37" t="n">
        <x:v>46031</x:v>
      </x:c>
      <x:c r="C183" s="26" t="str">
        <x:v>RAH01-2026-061</x:v>
      </x:c>
      <x:c r="D183" s="35" t="n">
        <x:v>3</x:v>
      </x:c>
      <x:c r="E183" s="25" t="str">
        <x:v>Ward 3: Reposition and transfer patients</x:v>
      </x:c>
      <x:c r="F183" s="25" t="str">
        <x:v>manual handling, awkward posture</x:v>
      </x:c>
      <x:c r="G183" s="25" t="str">
        <x:v>6–15 times/shift</x:v>
      </x:c>
      <x:c r="H183" s="35" t="n">
        <x:v>14</x:v>
      </x:c>
      <x:c r="I183" s="27" t="str">
        <x:v>ASM-2026-061</x:v>
      </x:c>
      <x:c r="J183" s="27" t="str">
        <x:v>STEP-2026-061-03</x:v>
      </x:c>
    </x:row>
    <x:row r="184">
      <x:c r="A184" s="28" t="str">
        <x:v>Ward 4</x:v>
      </x:c>
      <x:c r="B184" s="37" t="n">
        <x:v>46065</x:v>
      </x:c>
      <x:c r="C184" s="26" t="str">
        <x:v>RAH01-2026-062</x:v>
      </x:c>
      <x:c r="D184" s="35" t="n">
        <x:v>1</x:v>
      </x:c>
      <x:c r="E184" s="25" t="str">
        <x:v>Ward 4: Prepare patient, sterile field, and equipment</x:v>
      </x:c>
      <x:c r="F184" s="25" t="str">
        <x:v>disinfectants, sharps, electrical equipment</x:v>
      </x:c>
      <x:c r="G184" s="25" t="str">
        <x:v>1–2 hours/case</x:v>
      </x:c>
      <x:c r="H184" s="35" t="n">
        <x:v>29</x:v>
      </x:c>
      <x:c r="I184" s="27" t="str">
        <x:v>ASM-2026-062</x:v>
      </x:c>
      <x:c r="J184" s="27" t="str">
        <x:v>STEP-2026-062-01</x:v>
      </x:c>
    </x:row>
    <x:row r="185">
      <x:c r="A185" s="28" t="str">
        <x:v>Ward 4</x:v>
      </x:c>
      <x:c r="B185" s="37" t="n">
        <x:v>46065</x:v>
      </x:c>
      <x:c r="C185" s="26" t="str">
        <x:v>RAH01-2026-062</x:v>
      </x:c>
      <x:c r="D185" s="35" t="n">
        <x:v>2</x:v>
      </x:c>
      <x:c r="E185" s="25" t="str">
        <x:v>Ward 4: Perform or support invasive procedure</x:v>
      </x:c>
      <x:c r="F185" s="25" t="str">
        <x:v>body fluids, sharps, awkward posture</x:v>
      </x:c>
      <x:c r="G185" s="25" t="str">
        <x:v>1–4 hours/case</x:v>
      </x:c>
      <x:c r="H185" s="35" t="n">
        <x:v>32</x:v>
      </x:c>
      <x:c r="I185" s="27" t="str">
        <x:v>ASM-2026-062</x:v>
      </x:c>
      <x:c r="J185" s="27" t="str">
        <x:v>STEP-2026-062-02</x:v>
      </x:c>
    </x:row>
    <x:row r="186">
      <x:c r="A186" s="28" t="str">
        <x:v>Ward 4</x:v>
      </x:c>
      <x:c r="B186" s="37" t="n">
        <x:v>46065</x:v>
      </x:c>
      <x:c r="C186" s="26" t="str">
        <x:v>RAH01-2026-062</x:v>
      </x:c>
      <x:c r="D186" s="35" t="n">
        <x:v>3</x:v>
      </x:c>
      <x:c r="E186" s="25" t="str">
        <x:v>Ward 4: Count and dispose of instruments and waste</x:v>
      </x:c>
      <x:c r="F186" s="25" t="str">
        <x:v>sharps, infectious waste</x:v>
      </x:c>
      <x:c r="G186" s="25" t="str">
        <x:v>20–40 minutes/case</x:v>
      </x:c>
      <x:c r="H186" s="35" t="n">
        <x:v>1</x:v>
      </x:c>
      <x:c r="I186" s="27" t="str">
        <x:v>ASM-2026-062</x:v>
      </x:c>
      <x:c r="J186" s="27" t="str">
        <x:v>STEP-2026-062-03</x:v>
      </x:c>
    </x:row>
    <x:row r="187">
      <x:c r="A187" s="28" t="str">
        <x:v>Ward 4</x:v>
      </x:c>
      <x:c r="B187" s="37" t="n">
        <x:v>46065</x:v>
      </x:c>
      <x:c r="C187" s="26" t="str">
        <x:v>RAH01-2026-062</x:v>
      </x:c>
      <x:c r="D187" s="35" t="n">
        <x:v>4</x:v>
      </x:c>
      <x:c r="E187" s="25" t="str">
        <x:v>Ward 4: Turn over and disinfect the room</x:v>
      </x:c>
      <x:c r="F187" s="25" t="str">
        <x:v>chemical exposure, wet floor</x:v>
      </x:c>
      <x:c r="G187" s="25" t="str">
        <x:v>20–45 minutes/case</x:v>
      </x:c>
      <x:c r="H187" s="35" t="n">
        <x:v>4</x:v>
      </x:c>
      <x:c r="I187" s="27" t="str">
        <x:v>ASM-2026-062</x:v>
      </x:c>
      <x:c r="J187" s="27" t="str">
        <x:v>STEP-2026-062-04</x:v>
      </x:c>
    </x:row>
    <x:row r="188">
      <x:c r="A188" s="28" t="str">
        <x:v>Ward 5</x:v>
      </x:c>
      <x:c r="B188" s="37" t="n">
        <x:v>46096</x:v>
      </x:c>
      <x:c r="C188" s="26" t="str">
        <x:v>RAH01-2026-063</x:v>
      </x:c>
      <x:c r="D188" s="35" t="n">
        <x:v>1</x:v>
      </x:c>
      <x:c r="E188" s="25" t="str">
        <x:v>Ward 5: Assess patients and provide bedside care</x:v>
      </x:c>
      <x:c r="F188" s="25" t="str">
        <x:v>infection, sharps, workload</x:v>
      </x:c>
      <x:c r="G188" s="25" t="str">
        <x:v>Continuous</x:v>
      </x:c>
      <x:c r="H188" s="35" t="n">
        <x:v>23</x:v>
      </x:c>
      <x:c r="I188" s="27" t="str">
        <x:v>ASM-2026-063</x:v>
      </x:c>
      <x:c r="J188" s="27" t="str">
        <x:v>STEP-2026-063-01</x:v>
      </x:c>
    </x:row>
    <x:row r="189">
      <x:c r="A189" s="28" t="str">
        <x:v>Ward 5</x:v>
      </x:c>
      <x:c r="B189" s="37" t="n">
        <x:v>46096</x:v>
      </x:c>
      <x:c r="C189" s="26" t="str">
        <x:v>RAH01-2026-063</x:v>
      </x:c>
      <x:c r="D189" s="35" t="n">
        <x:v>2</x:v>
      </x:c>
      <x:c r="E189" s="25" t="str">
        <x:v>Ward 5: Administer medicines and collect specimens</x:v>
      </x:c>
      <x:c r="F189" s="25" t="str">
        <x:v>sharps, medicines, body fluids</x:v>
      </x:c>
      <x:c r="G189" s="25" t="str">
        <x:v>3–6 rounds/shift</x:v>
      </x:c>
      <x:c r="H189" s="35" t="n">
        <x:v>26</x:v>
      </x:c>
      <x:c r="I189" s="27" t="str">
        <x:v>ASM-2026-063</x:v>
      </x:c>
      <x:c r="J189" s="27" t="str">
        <x:v>STEP-2026-063-02</x:v>
      </x:c>
    </x:row>
    <x:row r="190">
      <x:c r="A190" s="28" t="str">
        <x:v>Ward 5</x:v>
      </x:c>
      <x:c r="B190" s="37" t="n">
        <x:v>46096</x:v>
      </x:c>
      <x:c r="C190" s="26" t="str">
        <x:v>RAH01-2026-063</x:v>
      </x:c>
      <x:c r="D190" s="35" t="n">
        <x:v>3</x:v>
      </x:c>
      <x:c r="E190" s="25" t="str">
        <x:v>Ward 5: Reposition and transfer patients</x:v>
      </x:c>
      <x:c r="F190" s="25" t="str">
        <x:v>manual handling, awkward posture</x:v>
      </x:c>
      <x:c r="G190" s="25" t="str">
        <x:v>6–15 times/shift</x:v>
      </x:c>
      <x:c r="H190" s="35" t="n">
        <x:v>29</x:v>
      </x:c>
      <x:c r="I190" s="27" t="str">
        <x:v>ASM-2026-063</x:v>
      </x:c>
      <x:c r="J190" s="27" t="str">
        <x:v>STEP-2026-063-03</x:v>
      </x:c>
    </x:row>
    <x:row r="191">
      <x:c r="A191" s="28" t="str">
        <x:v>Ward 5</x:v>
      </x:c>
      <x:c r="B191" s="37" t="n">
        <x:v>46096</x:v>
      </x:c>
      <x:c r="C191" s="26" t="str">
        <x:v>RAH01-2026-063</x:v>
      </x:c>
      <x:c r="D191" s="35" t="n">
        <x:v>4</x:v>
      </x:c>
      <x:c r="E191" s="25" t="str">
        <x:v>Ward 5: Document care and coordinate discharge</x:v>
      </x:c>
      <x:c r="F191" s="25" t="str">
        <x:v>screen work, sitting, stress</x:v>
      </x:c>
      <x:c r="G191" s="25" t="str">
        <x:v>1–3 hours/shift</x:v>
      </x:c>
      <x:c r="H191" s="35" t="n">
        <x:v>32</x:v>
      </x:c>
      <x:c r="I191" s="27" t="str">
        <x:v>ASM-2026-063</x:v>
      </x:c>
      <x:c r="J191" s="27" t="str">
        <x:v>STEP-2026-063-04</x:v>
      </x:c>
    </x:row>
    <x:row r="192">
      <x:c r="A192" s="28" t="str">
        <x:v>Ward 6</x:v>
      </x:c>
      <x:c r="B192" s="37" t="n">
        <x:v>46130</x:v>
      </x:c>
      <x:c r="C192" s="26" t="str">
        <x:v>RAH01-2026-064</x:v>
      </x:c>
      <x:c r="D192" s="35" t="n">
        <x:v>1</x:v>
      </x:c>
      <x:c r="E192" s="25" t="str">
        <x:v>Ward 6: Receive and assess critically ill patients</x:v>
      </x:c>
      <x:c r="F192" s="25" t="str">
        <x:v>biological exposure, violence, workload</x:v>
      </x:c>
      <x:c r="G192" s="25" t="str">
        <x:v>Continuous each shift</x:v>
      </x:c>
      <x:c r="H192" s="35" t="n">
        <x:v>17</x:v>
      </x:c>
      <x:c r="I192" s="27" t="str">
        <x:v>ASM-2026-064</x:v>
      </x:c>
      <x:c r="J192" s="27" t="str">
        <x:v>STEP-2026-064-01</x:v>
      </x:c>
    </x:row>
    <x:row r="193">
      <x:c r="A193" s="28" t="str">
        <x:v>Ward 6</x:v>
      </x:c>
      <x:c r="B193" s="37" t="n">
        <x:v>46130</x:v>
      </x:c>
      <x:c r="C193" s="26" t="str">
        <x:v>RAH01-2026-064</x:v>
      </x:c>
      <x:c r="D193" s="35" t="n">
        <x:v>2</x:v>
      </x:c>
      <x:c r="E193" s="25" t="str">
        <x:v>Ward 6: Administer medication and manage invasive devices</x:v>
      </x:c>
      <x:c r="F193" s="25" t="str">
        <x:v>sharps, infection, chemical disinfectants</x:v>
      </x:c>
      <x:c r="G193" s="25" t="str">
        <x:v>4–6 hours/shift</x:v>
      </x:c>
      <x:c r="H193" s="35" t="n">
        <x:v>20</x:v>
      </x:c>
      <x:c r="I193" s="27" t="str">
        <x:v>ASM-2026-064</x:v>
      </x:c>
      <x:c r="J193" s="27" t="str">
        <x:v>STEP-2026-064-02</x:v>
      </x:c>
    </x:row>
    <x:row r="194">
      <x:c r="A194" s="28" t="str">
        <x:v>Ward 7</x:v>
      </x:c>
      <x:c r="B194" s="37" t="n">
        <x:v>46163</x:v>
      </x:c>
      <x:c r="C194" s="26" t="str">
        <x:v>RAH01-2026-065</x:v>
      </x:c>
      <x:c r="D194" s="35" t="n">
        <x:v>1</x:v>
      </x:c>
      <x:c r="E194" s="25" t="str">
        <x:v>Ward 7: Receive and assess critically ill patients</x:v>
      </x:c>
      <x:c r="F194" s="25" t="str">
        <x:v>biological exposure, violence, workload</x:v>
      </x:c>
      <x:c r="G194" s="25" t="str">
        <x:v>Continuous each shift</x:v>
      </x:c>
      <x:c r="H194" s="35" t="n">
        <x:v>11</x:v>
      </x:c>
      <x:c r="I194" s="27" t="str">
        <x:v>ASM-2026-065</x:v>
      </x:c>
      <x:c r="J194" s="27" t="str">
        <x:v>STEP-2026-065-01</x:v>
      </x:c>
    </x:row>
    <x:row r="195">
      <x:c r="A195" s="28" t="str">
        <x:v>Ward 7</x:v>
      </x:c>
      <x:c r="B195" s="37" t="n">
        <x:v>46163</x:v>
      </x:c>
      <x:c r="C195" s="26" t="str">
        <x:v>RAH01-2026-065</x:v>
      </x:c>
      <x:c r="D195" s="35" t="n">
        <x:v>2</x:v>
      </x:c>
      <x:c r="E195" s="25" t="str">
        <x:v>Ward 7: Administer medication and manage invasive devices</x:v>
      </x:c>
      <x:c r="F195" s="25" t="str">
        <x:v>sharps, infection, chemical disinfectants</x:v>
      </x:c>
      <x:c r="G195" s="25" t="str">
        <x:v>4–6 hours/shift</x:v>
      </x:c>
      <x:c r="H195" s="35" t="n">
        <x:v>14</x:v>
      </x:c>
      <x:c r="I195" s="27" t="str">
        <x:v>ASM-2026-065</x:v>
      </x:c>
      <x:c r="J195" s="27" t="str">
        <x:v>STEP-2026-065-02</x:v>
      </x:c>
    </x:row>
    <x:row r="196">
      <x:c r="A196" s="28" t="str">
        <x:v>Ward 7</x:v>
      </x:c>
      <x:c r="B196" s="37" t="n">
        <x:v>46163</x:v>
      </x:c>
      <x:c r="C196" s="26" t="str">
        <x:v>RAH01-2026-065</x:v>
      </x:c>
      <x:c r="D196" s="35" t="n">
        <x:v>3</x:v>
      </x:c>
      <x:c r="E196" s="25" t="str">
        <x:v>Ward 7: Turn, lift, and transfer dependent patients</x:v>
      </x:c>
      <x:c r="F196" s="25" t="str">
        <x:v>manual handling, awkward posture</x:v>
      </x:c>
      <x:c r="G196" s="25" t="str">
        <x:v>8–15 times/shift</x:v>
      </x:c>
      <x:c r="H196" s="35" t="n">
        <x:v>17</x:v>
      </x:c>
      <x:c r="I196" s="27" t="str">
        <x:v>ASM-2026-065</x:v>
      </x:c>
      <x:c r="J196" s="27" t="str">
        <x:v>STEP-2026-065-03</x:v>
      </x:c>
    </x:row>
    <x:row r="197">
      <x:c r="A197" s="28" t="str">
        <x:v>Ward 8</x:v>
      </x:c>
      <x:c r="B197" s="37" t="n">
        <x:v>46197</x:v>
      </x:c>
      <x:c r="C197" s="26" t="str">
        <x:v>RAH01-2026-066</x:v>
      </x:c>
      <x:c r="D197" s="35" t="n">
        <x:v>1</x:v>
      </x:c>
      <x:c r="E197" s="25" t="str">
        <x:v>Ward 8: Receive and assess critically ill patients</x:v>
      </x:c>
      <x:c r="F197" s="25" t="str">
        <x:v>biological exposure, violence, workload</x:v>
      </x:c>
      <x:c r="G197" s="25" t="str">
        <x:v>Continuous each shift</x:v>
      </x:c>
      <x:c r="H197" s="35" t="n">
        <x:v>5</x:v>
      </x:c>
      <x:c r="I197" s="27" t="str">
        <x:v>ASM-2026-066</x:v>
      </x:c>
      <x:c r="J197" s="27" t="str">
        <x:v>STEP-2026-066-01</x:v>
      </x:c>
    </x:row>
    <x:row r="198">
      <x:c r="A198" s="28" t="str">
        <x:v>Ward 8</x:v>
      </x:c>
      <x:c r="B198" s="37" t="n">
        <x:v>46197</x:v>
      </x:c>
      <x:c r="C198" s="26" t="str">
        <x:v>RAH01-2026-066</x:v>
      </x:c>
      <x:c r="D198" s="35" t="n">
        <x:v>2</x:v>
      </x:c>
      <x:c r="E198" s="25" t="str">
        <x:v>Ward 8: Administer medication and manage invasive devices</x:v>
      </x:c>
      <x:c r="F198" s="25" t="str">
        <x:v>sharps, infection, chemical disinfectants</x:v>
      </x:c>
      <x:c r="G198" s="25" t="str">
        <x:v>4–6 hours/shift</x:v>
      </x:c>
      <x:c r="H198" s="35" t="n">
        <x:v>8</x:v>
      </x:c>
      <x:c r="I198" s="27" t="str">
        <x:v>ASM-2026-066</x:v>
      </x:c>
      <x:c r="J198" s="27" t="str">
        <x:v>STEP-2026-066-02</x:v>
      </x:c>
    </x:row>
    <x:row r="199">
      <x:c r="A199" s="28" t="str">
        <x:v>Ward 8</x:v>
      </x:c>
      <x:c r="B199" s="37" t="n">
        <x:v>46197</x:v>
      </x:c>
      <x:c r="C199" s="26" t="str">
        <x:v>RAH01-2026-066</x:v>
      </x:c>
      <x:c r="D199" s="35" t="n">
        <x:v>3</x:v>
      </x:c>
      <x:c r="E199" s="25" t="str">
        <x:v>Ward 8: Turn, lift, and transfer dependent patients</x:v>
      </x:c>
      <x:c r="F199" s="25" t="str">
        <x:v>manual handling, awkward posture</x:v>
      </x:c>
      <x:c r="G199" s="25" t="str">
        <x:v>8–15 times/shift</x:v>
      </x:c>
      <x:c r="H199" s="35" t="n">
        <x:v>11</x:v>
      </x:c>
      <x:c r="I199" s="27" t="str">
        <x:v>ASM-2026-066</x:v>
      </x:c>
      <x:c r="J199" s="27" t="str">
        <x:v>STEP-2026-066-03</x:v>
      </x:c>
    </x:row>
    <x:row r="200">
      <x:c r="A200" s="28" t="str">
        <x:v>Ward 8</x:v>
      </x:c>
      <x:c r="B200" s="37" t="n">
        <x:v>46197</x:v>
      </x:c>
      <x:c r="C200" s="26" t="str">
        <x:v>RAH01-2026-066</x:v>
      </x:c>
      <x:c r="D200" s="35" t="n">
        <x:v>4</x:v>
      </x:c>
      <x:c r="E200" s="25" t="str">
        <x:v>Ward 8: Respond to alarms and clinical deterioration</x:v>
      </x:c>
      <x:c r="F200" s="25" t="str">
        <x:v>stress, fatigue, electrical equipment</x:v>
      </x:c>
      <x:c r="G200" s="25" t="str">
        <x:v>Intermittent/emergency</x:v>
      </x:c>
      <x:c r="H200" s="35" t="n">
        <x:v>14</x:v>
      </x:c>
      <x:c r="I200" s="27" t="str">
        <x:v>ASM-2026-066</x:v>
      </x:c>
      <x:c r="J200" s="27" t="str">
        <x:v>STEP-2026-066-04</x:v>
      </x:c>
    </x:row>
    <x:row r="201">
      <x:c r="A201" s="28" t="str">
        <x:v>Ward 9</x:v>
      </x:c>
      <x:c r="B201" s="37" t="n">
        <x:v>46024</x:v>
      </x:c>
      <x:c r="C201" s="26" t="str">
        <x:v>RAH01-2026-067</x:v>
      </x:c>
      <x:c r="D201" s="35" t="n">
        <x:v>1</x:v>
      </x:c>
      <x:c r="E201" s="25" t="str">
        <x:v>Ward 9: Assess patients and provide bedside care</x:v>
      </x:c>
      <x:c r="F201" s="25" t="str">
        <x:v>infection, sharps, workload</x:v>
      </x:c>
      <x:c r="G201" s="25" t="str">
        <x:v>Continuous</x:v>
      </x:c>
      <x:c r="H201" s="35" t="n">
        <x:v>2</x:v>
      </x:c>
      <x:c r="I201" s="27" t="str">
        <x:v>ASM-2026-067</x:v>
      </x:c>
      <x:c r="J201" s="27" t="str">
        <x:v>STEP-2026-067-01</x:v>
      </x:c>
    </x:row>
    <x:row r="202">
      <x:c r="A202" s="28" t="str">
        <x:v>Ward 9</x:v>
      </x:c>
      <x:c r="B202" s="37" t="n">
        <x:v>46024</x:v>
      </x:c>
      <x:c r="C202" s="26" t="str">
        <x:v>RAH01-2026-067</x:v>
      </x:c>
      <x:c r="D202" s="35" t="n">
        <x:v>2</x:v>
      </x:c>
      <x:c r="E202" s="25" t="str">
        <x:v>Ward 9: Administer medicines and collect specimens</x:v>
      </x:c>
      <x:c r="F202" s="25" t="str">
        <x:v>sharps, medicines, body fluids</x:v>
      </x:c>
      <x:c r="G202" s="25" t="str">
        <x:v>3–6 rounds/shift</x:v>
      </x:c>
      <x:c r="H202" s="35" t="n">
        <x:v>5</x:v>
      </x:c>
      <x:c r="I202" s="27" t="str">
        <x:v>ASM-2026-067</x:v>
      </x:c>
      <x:c r="J202" s="27" t="str">
        <x:v>STEP-2026-067-02</x:v>
      </x:c>
    </x:row>
    <x:row r="203">
      <x:c r="A203" s="28" t="str">
        <x:v>Ward 9</x:v>
      </x:c>
      <x:c r="B203" s="37" t="n">
        <x:v>46024</x:v>
      </x:c>
      <x:c r="C203" s="26" t="str">
        <x:v>RAH01-2026-067</x:v>
      </x:c>
      <x:c r="D203" s="35" t="n">
        <x:v>3</x:v>
      </x:c>
      <x:c r="E203" s="25" t="str">
        <x:v>Ward 9: Reposition and transfer patients</x:v>
      </x:c>
      <x:c r="F203" s="25" t="str">
        <x:v>manual handling, awkward posture</x:v>
      </x:c>
      <x:c r="G203" s="25" t="str">
        <x:v>6–15 times/shift</x:v>
      </x:c>
      <x:c r="H203" s="35" t="n">
        <x:v>8</x:v>
      </x:c>
      <x:c r="I203" s="27" t="str">
        <x:v>ASM-2026-067</x:v>
      </x:c>
      <x:c r="J203" s="27" t="str">
        <x:v>STEP-2026-067-03</x:v>
      </x:c>
    </x:row>
    <x:row r="204">
      <x:c r="A204" s="28" t="str">
        <x:v>Ward 9</x:v>
      </x:c>
      <x:c r="B204" s="37" t="n">
        <x:v>46024</x:v>
      </x:c>
      <x:c r="C204" s="26" t="str">
        <x:v>RAH01-2026-067</x:v>
      </x:c>
      <x:c r="D204" s="35" t="n">
        <x:v>4</x:v>
      </x:c>
      <x:c r="E204" s="25" t="str">
        <x:v>Ward 9: Document care and coordinate discharge</x:v>
      </x:c>
      <x:c r="F204" s="25" t="str">
        <x:v>screen work, sitting, stress</x:v>
      </x:c>
      <x:c r="G204" s="25" t="str">
        <x:v>1–3 hours/shift</x:v>
      </x:c>
      <x:c r="H204" s="35" t="n">
        <x:v>11</x:v>
      </x:c>
      <x:c r="I204" s="27" t="str">
        <x:v>ASM-2026-067</x:v>
      </x:c>
      <x:c r="J204" s="27" t="str">
        <x:v>STEP-2026-067-04</x:v>
      </x:c>
    </x:row>
    <x:row r="205">
      <x:c r="A205" s="28" t="str">
        <x:v>Women’s Health</x:v>
      </x:c>
      <x:c r="B205" s="37" t="n">
        <x:v>46089</x:v>
      </x:c>
      <x:c r="C205" s="26" t="str">
        <x:v>RAH01-2026-069</x:v>
      </x:c>
      <x:c r="D205" s="35" t="n">
        <x:v>1</x:v>
      </x:c>
      <x:c r="E205" s="25" t="str">
        <x:v>Women’s Health: Register, screen, and assess ambulatory patients</x:v>
      </x:c>
      <x:c r="F205" s="25" t="str">
        <x:v>crowding, infection, prolonged standing</x:v>
      </x:c>
      <x:c r="G205" s="25" t="str">
        <x:v>Continuous</x:v>
      </x:c>
      <x:c r="H205" s="35" t="n">
        <x:v>20</x:v>
      </x:c>
      <x:c r="I205" s="27" t="str">
        <x:v>ASM-2026-069</x:v>
      </x:c>
      <x:c r="J205" s="27" t="str">
        <x:v>STEP-2026-069-01</x:v>
      </x:c>
    </x:row>
    <x:row r="206">
      <x:c r="A206" s="28" t="str">
        <x:v>Women’s Health</x:v>
      </x:c>
      <x:c r="B206" s="37" t="n">
        <x:v>46089</x:v>
      </x:c>
      <x:c r="C206" s="26" t="str">
        <x:v>RAH01-2026-069</x:v>
      </x:c>
      <x:c r="D206" s="35" t="n">
        <x:v>2</x:v>
      </x:c>
      <x:c r="E206" s="25" t="str">
        <x:v>Women’s Health: Perform examination or minor treatment</x:v>
      </x:c>
      <x:c r="F206" s="25" t="str">
        <x:v>sharps, close patient contact</x:v>
      </x:c>
      <x:c r="G206" s="25" t="str">
        <x:v>10–40 cases/shift</x:v>
      </x:c>
      <x:c r="H206" s="35" t="n">
        <x:v>23</x:v>
      </x:c>
      <x:c r="I206" s="27" t="str">
        <x:v>ASM-2026-069</x:v>
      </x:c>
      <x:c r="J206" s="27" t="str">
        <x:v>STEP-2026-069-02</x:v>
      </x:c>
    </x:row>
    <x:row r="207">
      <x:c r="A207" s="28" t="str">
        <x:v>Women’s Health</x:v>
      </x:c>
      <x:c r="B207" s="37" t="n">
        <x:v>46089</x:v>
      </x:c>
      <x:c r="C207" s="26" t="str">
        <x:v>RAH01-2026-069</x:v>
      </x:c>
      <x:c r="D207" s="35" t="n">
        <x:v>3</x:v>
      </x:c>
      <x:c r="E207" s="25" t="str">
        <x:v>Women’s Health: Provide education and coordinate follow-up</x:v>
      </x:c>
      <x:c r="F207" s="25" t="str">
        <x:v>voice strain, screen work, workload</x:v>
      </x:c>
      <x:c r="G207" s="25" t="str">
        <x:v>2–4 hours/shift</x:v>
      </x:c>
      <x:c r="H207" s="35" t="n">
        <x:v>1</x:v>
      </x:c>
      <x:c r="I207" s="27" t="str">
        <x:v>ASM-2026-069</x:v>
      </x:c>
      <x:c r="J207" s="27" t="str">
        <x:v>STEP-2026-069-03</x:v>
      </x:c>
    </x:row>
    <x:row r="208">
      <x:c r="A208" s="28" t="str">
        <x:v>Workplace Safety</x:v>
      </x:c>
      <x:c r="B208" s="37" t="n">
        <x:v>46123</x:v>
      </x:c>
      <x:c r="C208" s="26" t="str">
        <x:v>RAH01-2026-070</x:v>
      </x:c>
      <x:c r="D208" s="35" t="n">
        <x:v>1</x:v>
      </x:c>
      <x:c r="E208" s="25" t="str">
        <x:v>Workplace Safety: Register, screen, and assess ambulatory patients</x:v>
      </x:c>
      <x:c r="F208" s="25" t="str">
        <x:v>crowding, infection, prolonged standing</x:v>
      </x:c>
      <x:c r="G208" s="25" t="str">
        <x:v>Continuous</x:v>
      </x:c>
      <x:c r="H208" s="35" t="n">
        <x:v>7</x:v>
      </x:c>
      <x:c r="I208" s="27" t="str">
        <x:v>ASM-2026-070</x:v>
      </x:c>
      <x:c r="J208" s="27" t="str">
        <x:v>STEP-2026-070-01</x:v>
      </x:c>
    </x:row>
    <x:row r="209">
      <x:c r="A209" s="28" t="str">
        <x:v>Workplace Safety</x:v>
      </x:c>
      <x:c r="B209" s="37" t="n">
        <x:v>46123</x:v>
      </x:c>
      <x:c r="C209" s="26" t="str">
        <x:v>RAH01-2026-070</x:v>
      </x:c>
      <x:c r="D209" s="35" t="n">
        <x:v>2</x:v>
      </x:c>
      <x:c r="E209" s="25" t="str">
        <x:v>Workplace Safety: Perform examination or minor treatment</x:v>
      </x:c>
      <x:c r="F209" s="25" t="str">
        <x:v>sharps, close patient contact</x:v>
      </x:c>
      <x:c r="G209" s="25" t="str">
        <x:v>10–40 cases/shift</x:v>
      </x:c>
      <x:c r="H209" s="35" t="n">
        <x:v>10</x:v>
      </x:c>
      <x:c r="I209" s="27" t="str">
        <x:v>ASM-2026-070</x:v>
      </x:c>
      <x:c r="J209" s="27" t="str">
        <x:v>STEP-2026-070-02</x:v>
      </x:c>
    </x:row>
    <x:row r="210">
      <x:c r="A210" s="28" t="str">
        <x:v>Workplace Safety</x:v>
      </x:c>
      <x:c r="B210" s="37" t="n">
        <x:v>46123</x:v>
      </x:c>
      <x:c r="C210" s="26" t="str">
        <x:v>RAH01-2026-070</x:v>
      </x:c>
      <x:c r="D210" s="35" t="n">
        <x:v>3</x:v>
      </x:c>
      <x:c r="E210" s="25" t="str">
        <x:v>Workplace Safety: Provide education and coordinate follow-up</x:v>
      </x:c>
      <x:c r="F210" s="25" t="str">
        <x:v>voice strain, screen work, workload</x:v>
      </x:c>
      <x:c r="G210" s="25" t="str">
        <x:v>2–4 hours/shift</x:v>
      </x:c>
      <x:c r="H210" s="35" t="n">
        <x:v>13</x:v>
      </x:c>
      <x:c r="I210" s="27" t="str">
        <x:v>ASM-2026-070</x:v>
      </x:c>
      <x:c r="J210" s="27" t="str">
        <x:v>STEP-2026-070-03</x:v>
      </x:c>
    </x:row>
  </x:sheetData>
  <x:mergeCells>
    <x:mergeCell ref="A1:J1"/>
    <x:mergeCell ref="A2:J2"/>
  </x:mergeCells>
  <x:dataValidations count="2">
    <x:dataValidation type="whole" operator="greaterThanOrEqual" sqref="D4:D1048576">
      <x:formula1>1</x:formula1>
    </x:dataValidation>
    <x:dataValidation type="whole" operator="greaterThanOrEqual" sqref="H4:H1048576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716497173445b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2" hidden="0" customWidth="1"/>
    <x:col min="2" max="2" width="16" hidden="0" customWidth="1"/>
    <x:col min="3" max="3" width="19" hidden="0" customWidth="1"/>
    <x:col min="4" max="4" width="12" hidden="0" customWidth="1"/>
    <x:col min="5" max="5" width="28" hidden="0" customWidth="1"/>
    <x:col min="6" max="6" width="38" hidden="0" customWidth="1"/>
    <x:col min="7" max="7" width="18" hidden="0" customWidth="1"/>
    <x:col min="8" max="8" width="18" hidden="0" customWidth="1"/>
    <x:col min="9" max="9" width="16" hidden="0" customWidth="1"/>
    <x:col min="10" max="10" width="16" hidden="0" customWidth="1"/>
    <x:col min="11" max="11" width="15" hidden="0" customWidth="1"/>
    <x:col min="12" max="12" width="15" hidden="0" customWidth="1"/>
    <x:col min="13" max="13" width="42" hidden="0" customWidth="1"/>
    <x:col min="14" max="14" width="42" hidden="0" customWidth="1"/>
    <x:col min="15" max="15" width="17" hidden="0" customWidth="1"/>
    <x:col min="16" max="16" width="23" hidden="0" customWidth="1"/>
    <x:col min="17" max="17" width="36" hidden="0" customWidth="1"/>
    <x:col min="18" max="18" width="32" hidden="0" customWidth="1"/>
    <x:col min="19" max="19" width="14" hidden="0" customWidth="1"/>
    <x:col min="20" max="20" width="20" hidden="0" customWidth="1"/>
    <x:col min="21" max="21" width="24" hidden="0" customWidth="1"/>
  </x:cols>
  <x:sheetData>
    <x:row r="1" ht="28" customHeight="1">
      <x:c r="A1" s="3" t="str">
        <x:v>RAH.01 Hazard evaluations / การประเมินสิ่งคุกคามสุขภาพ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2" customHeight="1">
      <x:c r="A2" s="7" t="str">
        <x:v>Repeatable HTML Section 4 rows. Standard and custom hazards display readable English names; machine fields remain at right.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3" ht="34" customHeight="1">
      <x:c r="A3" s="20" t="str">
        <x:v>department_name</x:v>
      </x:c>
      <x:c r="B3" s="21" t="str">
        <x:v>assessment_date</x:v>
      </x:c>
      <x:c r="C3" s="21" t="str">
        <x:v>report_number</x:v>
      </x:c>
      <x:c r="D3" s="21" t="str">
        <x:v>hazard_order</x:v>
      </x:c>
      <x:c r="E3" s="21" t="str">
        <x:v>category_label_en</x:v>
      </x:c>
      <x:c r="F3" s="21" t="str">
        <x:v>hazard_label_en</x:v>
      </x:c>
      <x:c r="G3" s="21" t="str">
        <x:v>exposed_staff_count</x:v>
      </x:c>
      <x:c r="H3" s="21" t="str">
        <x:v>exposed_client_count</x:v>
      </x:c>
      <x:c r="I3" s="21" t="str">
        <x:v>exposure_score_a</x:v>
      </x:c>
      <x:c r="J3" s="21" t="str">
        <x:v>severity_score_b</x:v>
      </x:c>
      <x:c r="K3" s="21" t="str">
        <x:v>risk_score_c</x:v>
      </x:c>
      <x:c r="L3" s="21" t="str">
        <x:v>risk_level</x:v>
      </x:c>
      <x:c r="M3" s="21" t="str">
        <x:v>existing_controls</x:v>
      </x:c>
      <x:c r="N3" s="21" t="str">
        <x:v>recommendation</x:v>
      </x:c>
      <x:c r="O3" s="21" t="str">
        <x:v>has_attachment</x:v>
      </x:c>
      <x:c r="P3" s="21" t="str">
        <x:v>category_code</x:v>
      </x:c>
      <x:c r="Q3" s="21" t="str">
        <x:v>hazard_key</x:v>
      </x:c>
      <x:c r="R3" s="21" t="str">
        <x:v>custom_title</x:v>
      </x:c>
      <x:c r="S3" s="21" t="str">
        <x:v>has_risk</x:v>
      </x:c>
      <x:c r="T3" s="21" t="str">
        <x:v>assessment_id</x:v>
      </x:c>
      <x:c r="U3" s="22" t="str">
        <x:v>hazard_evaluation_id</x:v>
      </x:c>
    </x:row>
    <x:row r="4">
      <x:c r="A4" s="28" t="str">
        <x:v>Accident &amp; Emergency</x:v>
      </x:c>
      <x:c r="B4" s="37" t="n">
        <x:v>46026</x:v>
      </x:c>
      <x:c r="C4" s="26" t="str">
        <x:v>RAH01-2026-001</x:v>
      </x:c>
      <x:c r="D4" s="36" t="n">
        <x:v>1</x:v>
      </x:c>
      <x:c r="E4" s="26" t="str">
        <x:v>Biological Hazards</x:v>
      </x:c>
      <x:c r="F4" s="26" t="str">
        <x:v>Viruses</x:v>
      </x:c>
      <x:c r="G4" s="35" t="n">
        <x:v>3</x:v>
      </x:c>
      <x:c r="H4" s="35" t="n">
        <x:v>5</x:v>
      </x:c>
      <x:c r="I4" s="35" t="n">
        <x:v>3</x:v>
      </x:c>
      <x:c r="J4" s="35" t="n">
        <x:v>2</x:v>
      </x:c>
      <x:c r="K4" s="36" t="n">
        <x:f>IF(AND(S4=TRUE,ISNUMBER(I4),I4=INT(I4),I4&gt;=1,I4&lt;=3,ISNUMBER(J4),J4=INT(J4),J4&gt;=1,J4&lt;=3),I4*J4,"")</x:f>
        <x:v>6</x:v>
      </x:c>
      <x:c r="L4" s="26" t="str">
        <x:f>IF(K4="","",IF(K4&lt;=2,"LOW",IF(K4&lt;=4,"MEDIUM","HIGH")))</x:f>
        <x:v>HIGH</x:v>
      </x:c>
      <x:c r="M4" s="25" t="str">
        <x:v>Standard precautions, hand hygiene, vaccination, cleaning, and appropriate PPE are implemented.</x:v>
      </x:c>
      <x:c r="N4" s="25" t="str">
        <x:v>Audit compliance, investigate exposure incidents, and reinforce source-control and PPE practice.</x:v>
      </x:c>
      <x:c r="O4" s="30" t="b">
        <x:v>0</x:v>
      </x:c>
      <x:c r="P4" s="27" t="str">
        <x:v>BIOLOGICAL</x:v>
      </x:c>
      <x:c r="Q4" s="27" t="str">
        <x:v>viruses</x:v>
      </x:c>
      <x:c r="R4" s="27" t="str"/>
      <x:c r="S4" s="31" t="b">
        <x:v>1</x:v>
      </x:c>
      <x:c r="T4" s="27" t="str">
        <x:v>ASM-2026-001</x:v>
      </x:c>
      <x:c r="U4" s="27" t="str">
        <x:v>HZ-2026-001-01</x:v>
      </x:c>
    </x:row>
    <x:row r="5">
      <x:c r="A5" s="28" t="str">
        <x:v>Accident &amp; Emergency</x:v>
      </x:c>
      <x:c r="B5" s="37" t="n">
        <x:v>46026</x:v>
      </x:c>
      <x:c r="C5" s="26" t="str">
        <x:v>RAH01-2026-001</x:v>
      </x:c>
      <x:c r="D5" s="36" t="n">
        <x:v>2</x:v>
      </x:c>
      <x:c r="E5" s="26" t="str">
        <x:v>Biological Hazards</x:v>
      </x:c>
      <x:c r="F5" s="26" t="str">
        <x:v>Bacteria</x:v>
      </x:c>
      <x:c r="G5" s="35" t="n">
        <x:v>6</x:v>
      </x:c>
      <x:c r="H5" s="35" t="n">
        <x:v>12</x:v>
      </x:c>
      <x:c r="I5" s="35" t="n">
        <x:v>2</x:v>
      </x:c>
      <x:c r="J5" s="35" t="n">
        <x:v>3</x:v>
      </x:c>
      <x:c r="K5" s="36" t="n">
        <x:f>IF(AND(S5=TRUE,ISNUMBER(I5),I5=INT(I5),I5&gt;=1,I5&lt;=3,ISNUMBER(J5),J5=INT(J5),J5&gt;=1,J5&lt;=3),I5*J5,"")</x:f>
        <x:v>6</x:v>
      </x:c>
      <x:c r="L5" s="26" t="str">
        <x:f>IF(K5="","",IF(K5&lt;=2,"LOW",IF(K5&lt;=4,"MEDIUM","HIGH")))</x:f>
        <x:v>HIGH</x:v>
      </x:c>
      <x:c r="M5" s="25" t="str">
        <x:v>Standard precautions, hand hygiene, vaccination, cleaning, and appropriate PPE are implemented.</x:v>
      </x:c>
      <x:c r="N5" s="25" t="str">
        <x:v>Audit compliance, investigate exposure incidents, and reinforce source-control and PPE practice.</x:v>
      </x:c>
      <x:c r="O5" s="30" t="b">
        <x:v>0</x:v>
      </x:c>
      <x:c r="P5" s="27" t="str">
        <x:v>BIOLOGICAL</x:v>
      </x:c>
      <x:c r="Q5" s="27" t="str">
        <x:v>bacteria</x:v>
      </x:c>
      <x:c r="R5" s="27" t="str"/>
      <x:c r="S5" s="31" t="b">
        <x:v>1</x:v>
      </x:c>
      <x:c r="T5" s="27" t="str">
        <x:v>ASM-2026-001</x:v>
      </x:c>
      <x:c r="U5" s="27" t="str">
        <x:v>HZ-2026-001-02</x:v>
      </x:c>
    </x:row>
    <x:row r="6">
      <x:c r="A6" s="28" t="str">
        <x:v>Accident &amp; Emergency</x:v>
      </x:c>
      <x:c r="B6" s="37" t="n">
        <x:v>46026</x:v>
      </x:c>
      <x:c r="C6" s="26" t="str">
        <x:v>RAH01-2026-001</x:v>
      </x:c>
      <x:c r="D6" s="36" t="n">
        <x:v>3</x:v>
      </x:c>
      <x:c r="E6" s="26" t="str">
        <x:v>Safety and Accident Hazards</x:v>
      </x:c>
      <x:c r="F6" s="26" t="str">
        <x:v>Sharps / Needlestick</x:v>
      </x:c>
      <x:c r="G6" s="35" t="n">
        <x:v>9</x:v>
      </x:c>
      <x:c r="H6" s="35" t="n">
        <x:v>19</x:v>
      </x:c>
      <x:c r="I6" s="35" t="n">
        <x:v>3</x:v>
      </x:c>
      <x:c r="J6" s="35" t="n">
        <x:v>3</x:v>
      </x:c>
      <x:c r="K6" s="36" t="n">
        <x:f>IF(AND(S6=TRUE,ISNUMBER(I6),I6=INT(I6),I6&gt;=1,I6&lt;=3,ISNUMBER(J6),J6=INT(J6),J6&gt;=1,J6&lt;=3),I6*J6,"")</x:f>
        <x:v>9</x:v>
      </x:c>
      <x:c r="L6" s="26" t="str">
        <x:f>IF(K6="","",IF(K6&lt;=2,"LOW",IF(K6&lt;=4,"MEDIUM","HIGH")))</x:f>
        <x:v>HIGH</x:v>
      </x:c>
      <x:c r="M6" s="25" t="str">
        <x:v>Safe-work procedures, inspection, housekeeping, guards, and incident reporting are implemented.</x:v>
      </x:c>
      <x:c r="N6" s="25" t="str">
        <x:v>Correct the unsafe condition, document ownership, and verify effectiveness through a follow-up inspection.</x:v>
      </x:c>
      <x:c r="O6" s="30" t="b">
        <x:v>1</x:v>
      </x:c>
      <x:c r="P6" s="27" t="str">
        <x:v>SAFETY_ACCIDENT</x:v>
      </x:c>
      <x:c r="Q6" s="27" t="str">
        <x:v>sharps</x:v>
      </x:c>
      <x:c r="R6" s="27" t="str"/>
      <x:c r="S6" s="31" t="b">
        <x:v>1</x:v>
      </x:c>
      <x:c r="T6" s="27" t="str">
        <x:v>ASM-2026-001</x:v>
      </x:c>
      <x:c r="U6" s="27" t="str">
        <x:v>HZ-2026-001-03</x:v>
      </x:c>
    </x:row>
    <x:row r="7">
      <x:c r="A7" s="28" t="str">
        <x:v>Accident &amp; Emergency</x:v>
      </x:c>
      <x:c r="B7" s="37" t="n">
        <x:v>46026</x:v>
      </x:c>
      <x:c r="C7" s="26" t="str">
        <x:v>RAH01-2026-001</x:v>
      </x:c>
      <x:c r="D7" s="36" t="n">
        <x:v>4</x:v>
      </x:c>
      <x:c r="E7" s="26" t="str">
        <x:v>Ergonomic Hazards</x:v>
      </x:c>
      <x:c r="F7" s="26" t="str">
        <x:v>Heavy Lifting / Patient Transfer</x:v>
      </x:c>
      <x:c r="G7" s="35" t="n">
        <x:v>12</x:v>
      </x:c>
      <x:c r="H7" s="35" t="n">
        <x:v>26</x:v>
      </x:c>
      <x:c r="I7" s="35" t="n">
        <x:v>3</x:v>
      </x:c>
      <x:c r="J7" s="35" t="n">
        <x:v>2</x:v>
      </x:c>
      <x:c r="K7" s="36" t="n">
        <x:f>IF(AND(S7=TRUE,ISNUMBER(I7),I7=INT(I7),I7&gt;=1,I7&lt;=3,ISNUMBER(J7),J7=INT(J7),J7&gt;=1,J7&lt;=3),I7*J7,"")</x:f>
        <x:v>6</x:v>
      </x:c>
      <x:c r="L7" s="26" t="str">
        <x:f>IF(K7="","",IF(K7&lt;=2,"LOW",IF(K7&lt;=4,"MEDIUM","HIGH")))</x:f>
        <x:v>HIGH</x:v>
      </x:c>
      <x:c r="M7" s="25" t="str">
        <x:v>Task rotation, adjustable equipment, team lifting, and safe-patient-handling guidance are used.</x:v>
      </x:c>
      <x:c r="N7" s="25" t="str">
        <x:v>Complete an ergonomic task assessment and implement equipment or workflow changes to reduce force and repetition.</x:v>
      </x:c>
      <x:c r="O7" s="30" t="b">
        <x:v>0</x:v>
      </x:c>
      <x:c r="P7" s="27" t="str">
        <x:v>ERGONOMIC</x:v>
      </x:c>
      <x:c r="Q7" s="27" t="str">
        <x:v>heavy_lifting_patient_transfer</x:v>
      </x:c>
      <x:c r="R7" s="27" t="str"/>
      <x:c r="S7" s="31" t="b">
        <x:v>1</x:v>
      </x:c>
      <x:c r="T7" s="27" t="str">
        <x:v>ASM-2026-001</x:v>
      </x:c>
      <x:c r="U7" s="27" t="str">
        <x:v>HZ-2026-001-04</x:v>
      </x:c>
    </x:row>
    <x:row r="8">
      <x:c r="A8" s="28" t="str">
        <x:v>Accident &amp; Emergency</x:v>
      </x:c>
      <x:c r="B8" s="37" t="n">
        <x:v>46026</x:v>
      </x:c>
      <x:c r="C8" s="26" t="str">
        <x:v>RAH01-2026-001</x:v>
      </x:c>
      <x:c r="D8" s="36" t="n">
        <x:v>5</x:v>
      </x:c>
      <x:c r="E8" s="26" t="str">
        <x:v>Psychosocial Hazards</x:v>
      </x:c>
      <x:c r="F8" s="26" t="str">
        <x:v>Work Stress</x:v>
      </x:c>
      <x:c r="G8" s="35" t="n">
        <x:v>2</x:v>
      </x:c>
      <x:c r="H8" s="35" t="n">
        <x:v>2</x:v>
      </x:c>
      <x:c r="I8" s="35" t="n">
        <x:v>2</x:v>
      </x:c>
      <x:c r="J8" s="35" t="n">
        <x:v>3</x:v>
      </x:c>
      <x:c r="K8" s="36" t="n">
        <x:f>IF(AND(S8=TRUE,ISNUMBER(I8),I8=INT(I8),I8&gt;=1,I8&lt;=3,ISNUMBER(J8),J8=INT(J8),J8&gt;=1,J8&lt;=3),I8*J8,"")</x:f>
        <x:v>6</x:v>
      </x:c>
      <x:c r="L8" s="26" t="str">
        <x:f>IF(K8="","",IF(K8&lt;=2,"LOW",IF(K8&lt;=4,"MEDIUM","HIGH")))</x:f>
        <x:v>HIGH</x:v>
      </x:c>
      <x:c r="M8" s="25" t="str">
        <x:v>Shift planning, escalation pathways, security support, breaks, and supervisor check-ins are available.</x:v>
      </x:c>
      <x:c r="N8" s="25" t="str">
        <x:v>Review staffing, breaks, escalation support, and violence-prevention controls with the department manager.</x:v>
      </x:c>
      <x:c r="O8" s="30" t="b">
        <x:v>0</x:v>
      </x:c>
      <x:c r="P8" s="27" t="str">
        <x:v>PSYCHOSOCIAL</x:v>
      </x:c>
      <x:c r="Q8" s="27" t="str">
        <x:v>work_stress</x:v>
      </x:c>
      <x:c r="R8" s="27" t="str"/>
      <x:c r="S8" s="31" t="b">
        <x:v>1</x:v>
      </x:c>
      <x:c r="T8" s="27" t="str">
        <x:v>ASM-2026-001</x:v>
      </x:c>
      <x:c r="U8" s="27" t="str">
        <x:v>HZ-2026-001-05</x:v>
      </x:c>
    </x:row>
    <x:row r="9">
      <x:c r="A9" s="28" t="str">
        <x:v>Accident &amp; Emergency</x:v>
      </x:c>
      <x:c r="B9" s="37" t="n">
        <x:v>46026</x:v>
      </x:c>
      <x:c r="C9" s="26" t="str">
        <x:v>RAH01-2026-001</x:v>
      </x:c>
      <x:c r="D9" s="36" t="n">
        <x:v>6</x:v>
      </x:c>
      <x:c r="E9" s="26" t="str">
        <x:v>Psychosocial Hazards</x:v>
      </x:c>
      <x:c r="F9" s="26" t="str">
        <x:v>Insufficient Rest</x:v>
      </x:c>
      <x:c r="G9" s="35" t="n">
        <x:v>5</x:v>
      </x:c>
      <x:c r="H9" s="35" t="n">
        <x:v>9</x:v>
      </x:c>
      <x:c r="I9" s="35" t="n">
        <x:v>3</x:v>
      </x:c>
      <x:c r="J9" s="35" t="n">
        <x:v>3</x:v>
      </x:c>
      <x:c r="K9" s="36" t="n">
        <x:f>IF(AND(S9=TRUE,ISNUMBER(I9),I9=INT(I9),I9&gt;=1,I9&lt;=3,ISNUMBER(J9),J9=INT(J9),J9&gt;=1,J9&lt;=3),I9*J9,"")</x:f>
        <x:v>9</x:v>
      </x:c>
      <x:c r="L9" s="26" t="str">
        <x:f>IF(K9="","",IF(K9&lt;=2,"LOW",IF(K9&lt;=4,"MEDIUM","HIGH")))</x:f>
        <x:v>HIGH</x:v>
      </x:c>
      <x:c r="M9" s="25" t="str">
        <x:v>Shift planning, escalation pathways, security support, breaks, and supervisor check-ins are available.</x:v>
      </x:c>
      <x:c r="N9" s="25" t="str">
        <x:v>Review staffing, breaks, escalation support, and violence-prevention controls with the department manager.</x:v>
      </x:c>
      <x:c r="O9" s="30" t="b">
        <x:v>1</x:v>
      </x:c>
      <x:c r="P9" s="27" t="str">
        <x:v>PSYCHOSOCIAL</x:v>
      </x:c>
      <x:c r="Q9" s="27" t="str">
        <x:v>insufficient_rest</x:v>
      </x:c>
      <x:c r="R9" s="27" t="str"/>
      <x:c r="S9" s="31" t="b">
        <x:v>1</x:v>
      </x:c>
      <x:c r="T9" s="27" t="str">
        <x:v>ASM-2026-001</x:v>
      </x:c>
      <x:c r="U9" s="27" t="str">
        <x:v>HZ-2026-001-06</x:v>
      </x:c>
    </x:row>
    <x:row r="10">
      <x:c r="A10" s="28" t="str">
        <x:v>Accident &amp; Emergency</x:v>
      </x:c>
      <x:c r="B10" s="37" t="n">
        <x:v>46026</x:v>
      </x:c>
      <x:c r="C10" s="26" t="str">
        <x:v>RAH01-2026-001</x:v>
      </x:c>
      <x:c r="D10" s="36" t="n">
        <x:v>7</x:v>
      </x:c>
      <x:c r="E10" s="26" t="str">
        <x:v>Fire and Disaster Hazards</x:v>
      </x:c>
      <x:c r="F10" s="26" t="str">
        <x:v>Electrical Equipment</x:v>
      </x:c>
      <x:c r="G10" s="35" t="n">
        <x:v>8</x:v>
      </x:c>
      <x:c r="H10" s="35" t="n">
        <x:v>16</x:v>
      </x:c>
      <x:c r="I10" s="35" t="n">
        <x:v>3</x:v>
      </x:c>
      <x:c r="J10" s="35" t="n">
        <x:v>2</x:v>
      </x:c>
      <x:c r="K10" s="36" t="n">
        <x:f>IF(AND(S10=TRUE,ISNUMBER(I10),I10=INT(I10),I10&gt;=1,I10&lt;=3,ISNUMBER(J10),J10=INT(J10),J10&gt;=1,J10&lt;=3),I10*J10,"")</x:f>
        <x:v>6</x:v>
      </x:c>
      <x:c r="L10" s="26" t="str">
        <x:f>IF(K10="","",IF(K10&lt;=2,"LOW",IF(K10&lt;=4,"MEDIUM","HIGH")))</x:f>
        <x:v>HIGH</x:v>
      </x:c>
      <x:c r="M10" s="25" t="str">
        <x:v>Electrical inspection, isolation procedures, alarms, extinguishers, and emergency response plans are maintained.</x:v>
      </x:c>
      <x:c r="N10" s="25" t="str">
        <x:v>Complete an engineering inspection and emergency-readiness check before the next scheduled review.</x:v>
      </x:c>
      <x:c r="O10" s="30" t="b">
        <x:v>0</x:v>
      </x:c>
      <x:c r="P10" s="27" t="str">
        <x:v>FIRE_DISASTER</x:v>
      </x:c>
      <x:c r="Q10" s="27" t="str">
        <x:v>electrical_equipment</x:v>
      </x:c>
      <x:c r="R10" s="27" t="str"/>
      <x:c r="S10" s="31" t="b">
        <x:v>1</x:v>
      </x:c>
      <x:c r="T10" s="27" t="str">
        <x:v>ASM-2026-001</x:v>
      </x:c>
      <x:c r="U10" s="27" t="str">
        <x:v>HZ-2026-001-07</x:v>
      </x:c>
    </x:row>
    <x:row r="11">
      <x:c r="A11" s="28" t="str">
        <x:v>Accident &amp; Emergency</x:v>
      </x:c>
      <x:c r="B11" s="37" t="n">
        <x:v>46026</x:v>
      </x:c>
      <x:c r="C11" s="26" t="str">
        <x:v>RAH01-2026-001</x:v>
      </x:c>
      <x:c r="D11" s="36" t="n">
        <x:v>8</x:v>
      </x:c>
      <x:c r="E11" s="26" t="str">
        <x:v>Safety and Accident Hazards</x:v>
      </x:c>
      <x:c r="F11" s="26" t="str">
        <x:v>Pathway Obstruction</x:v>
      </x:c>
      <x:c r="G11" s="35" t="n">
        <x:v>11</x:v>
      </x:c>
      <x:c r="H11" s="35" t="n">
        <x:v>23</x:v>
      </x:c>
      <x:c r="I11" s="35" t="n">
        <x:v>2</x:v>
      </x:c>
      <x:c r="J11" s="35" t="n">
        <x:v>3</x:v>
      </x:c>
      <x:c r="K11" s="36" t="n">
        <x:f>IF(AND(S11=TRUE,ISNUMBER(I11),I11=INT(I11),I11&gt;=1,I11&lt;=3,ISNUMBER(J11),J11=INT(J11),J11&gt;=1,J11&lt;=3),I11*J11,"")</x:f>
        <x:v>6</x:v>
      </x:c>
      <x:c r="L11" s="26" t="str">
        <x:f>IF(K11="","",IF(K11&lt;=2,"LOW",IF(K11&lt;=4,"MEDIUM","HIGH")))</x:f>
        <x:v>HIGH</x:v>
      </x:c>
      <x:c r="M11" s="25" t="str">
        <x:v>Safe-work procedures, inspection, housekeeping, guards, and incident reporting are implemented.</x:v>
      </x:c>
      <x:c r="N11" s="25" t="str">
        <x:v>Correct the unsafe condition, document ownership, and verify effectiveness through a follow-up inspection.</x:v>
      </x:c>
      <x:c r="O11" s="30" t="b">
        <x:v>0</x:v>
      </x:c>
      <x:c r="P11" s="27" t="str">
        <x:v>SAFETY_ACCIDENT</x:v>
      </x:c>
      <x:c r="Q11" s="27" t="str">
        <x:v>pathway_obstruction</x:v>
      </x:c>
      <x:c r="R11" s="27" t="str"/>
      <x:c r="S11" s="31" t="b">
        <x:v>1</x:v>
      </x:c>
      <x:c r="T11" s="27" t="str">
        <x:v>ASM-2026-001</x:v>
      </x:c>
      <x:c r="U11" s="27" t="str">
        <x:v>HZ-2026-001-08</x:v>
      </x:c>
    </x:row>
    <x:row r="12">
      <x:c r="A12" s="28" t="str">
        <x:v>Anaesthesia</x:v>
      </x:c>
      <x:c r="B12" s="37" t="n">
        <x:v>46060</x:v>
      </x:c>
      <x:c r="C12" s="26" t="str">
        <x:v>RAH01-2026-002</x:v>
      </x:c>
      <x:c r="D12" s="36" t="n">
        <x:v>1</x:v>
      </x:c>
      <x:c r="E12" s="26" t="str">
        <x:v>Biological Hazards</x:v>
      </x:c>
      <x:c r="F12" s="26" t="str">
        <x:v>Viruses</x:v>
      </x:c>
      <x:c r="G12" s="35" t="n">
        <x:v>5</x:v>
      </x:c>
      <x:c r="H12" s="35" t="n">
        <x:v>10</x:v>
      </x:c>
      <x:c r="I12" s="35" t="n">
        <x:v>3</x:v>
      </x:c>
      <x:c r="J12" s="35" t="n">
        <x:v>3</x:v>
      </x:c>
      <x:c r="K12" s="36" t="n">
        <x:f>IF(AND(S12=TRUE,ISNUMBER(I12),I12=INT(I12),I12&gt;=1,I12&lt;=3,ISNUMBER(J12),J12=INT(J12),J12&gt;=1,J12&lt;=3),I12*J12,"")</x:f>
        <x:v>9</x:v>
      </x:c>
      <x:c r="L12" s="26" t="str">
        <x:f>IF(K12="","",IF(K12&lt;=2,"LOW",IF(K12&lt;=4,"MEDIUM","HIGH")))</x:f>
        <x:v>HIGH</x:v>
      </x:c>
      <x:c r="M12" s="25" t="str">
        <x:v>Standard precautions, hand hygiene, vaccination, cleaning, and appropriate PPE are implemented.</x:v>
      </x:c>
      <x:c r="N12" s="25" t="str">
        <x:v>Audit compliance, investigate exposure incidents, and reinforce source-control and PPE practice.</x:v>
      </x:c>
      <x:c r="O12" s="30" t="b">
        <x:v>0</x:v>
      </x:c>
      <x:c r="P12" s="27" t="str">
        <x:v>BIOLOGICAL</x:v>
      </x:c>
      <x:c r="Q12" s="27" t="str">
        <x:v>viruses</x:v>
      </x:c>
      <x:c r="R12" s="27" t="str"/>
      <x:c r="S12" s="31" t="b">
        <x:v>1</x:v>
      </x:c>
      <x:c r="T12" s="27" t="str">
        <x:v>ASM-2026-002</x:v>
      </x:c>
      <x:c r="U12" s="27" t="str">
        <x:v>HZ-2026-002-01</x:v>
      </x:c>
    </x:row>
    <x:row r="13">
      <x:c r="A13" s="28" t="str">
        <x:v>Anaesthesia</x:v>
      </x:c>
      <x:c r="B13" s="37" t="n">
        <x:v>46060</x:v>
      </x:c>
      <x:c r="C13" s="26" t="str">
        <x:v>RAH01-2026-002</x:v>
      </x:c>
      <x:c r="D13" s="36" t="n">
        <x:v>2</x:v>
      </x:c>
      <x:c r="E13" s="26" t="str">
        <x:v>Biological Hazards</x:v>
      </x:c>
      <x:c r="F13" s="26" t="str">
        <x:v>Bacteria</x:v>
      </x:c>
      <x:c r="G13" s="35" t="n">
        <x:v>8</x:v>
      </x:c>
      <x:c r="H13" s="35" t="n">
        <x:v>17</x:v>
      </x:c>
      <x:c r="I13" s="35" t="n">
        <x:v>3</x:v>
      </x:c>
      <x:c r="J13" s="35" t="n">
        <x:v>2</x:v>
      </x:c>
      <x:c r="K13" s="36" t="n">
        <x:f>IF(AND(S13=TRUE,ISNUMBER(I13),I13=INT(I13),I13&gt;=1,I13&lt;=3,ISNUMBER(J13),J13=INT(J13),J13&gt;=1,J13&lt;=3),I13*J13,"")</x:f>
        <x:v>6</x:v>
      </x:c>
      <x:c r="L13" s="26" t="str">
        <x:f>IF(K13="","",IF(K13&lt;=2,"LOW",IF(K13&lt;=4,"MEDIUM","HIGH")))</x:f>
        <x:v>HIGH</x:v>
      </x:c>
      <x:c r="M13" s="25" t="str">
        <x:v>Standard precautions, hand hygiene, vaccination, cleaning, and appropriate PPE are implemented.</x:v>
      </x:c>
      <x:c r="N13" s="25" t="str">
        <x:v>Audit compliance, investigate exposure incidents, and reinforce source-control and PPE practice.</x:v>
      </x:c>
      <x:c r="O13" s="30" t="b">
        <x:v>1</x:v>
      </x:c>
      <x:c r="P13" s="27" t="str">
        <x:v>BIOLOGICAL</x:v>
      </x:c>
      <x:c r="Q13" s="27" t="str">
        <x:v>bacteria</x:v>
      </x:c>
      <x:c r="R13" s="27" t="str"/>
      <x:c r="S13" s="31" t="b">
        <x:v>1</x:v>
      </x:c>
      <x:c r="T13" s="27" t="str">
        <x:v>ASM-2026-002</x:v>
      </x:c>
      <x:c r="U13" s="27" t="str">
        <x:v>HZ-2026-002-02</x:v>
      </x:c>
    </x:row>
    <x:row r="14">
      <x:c r="A14" s="28" t="str">
        <x:v>Anaesthesia</x:v>
      </x:c>
      <x:c r="B14" s="37" t="n">
        <x:v>46060</x:v>
      </x:c>
      <x:c r="C14" s="26" t="str">
        <x:v>RAH01-2026-002</x:v>
      </x:c>
      <x:c r="D14" s="36" t="n">
        <x:v>3</x:v>
      </x:c>
      <x:c r="E14" s="26" t="str">
        <x:v>Safety and Accident Hazards</x:v>
      </x:c>
      <x:c r="F14" s="26" t="str">
        <x:v>Sharps / Needlestick</x:v>
      </x:c>
      <x:c r="G14" s="35" t="n">
        <x:v>11</x:v>
      </x:c>
      <x:c r="H14" s="35" t="n">
        <x:v>24</x:v>
      </x:c>
      <x:c r="I14" s="35" t="n">
        <x:v>2</x:v>
      </x:c>
      <x:c r="J14" s="35" t="n">
        <x:v>3</x:v>
      </x:c>
      <x:c r="K14" s="36" t="n">
        <x:f>IF(AND(S14=TRUE,ISNUMBER(I14),I14=INT(I14),I14&gt;=1,I14&lt;=3,ISNUMBER(J14),J14=INT(J14),J14&gt;=1,J14&lt;=3),I14*J14,"")</x:f>
        <x:v>6</x:v>
      </x:c>
      <x:c r="L14" s="26" t="str">
        <x:f>IF(K14="","",IF(K14&lt;=2,"LOW",IF(K14&lt;=4,"MEDIUM","HIGH")))</x:f>
        <x:v>HIGH</x:v>
      </x:c>
      <x:c r="M14" s="25" t="str">
        <x:v>Safe-work procedures, inspection, housekeeping, guards, and incident reporting are implemented.</x:v>
      </x:c>
      <x:c r="N14" s="25" t="str">
        <x:v>Correct the unsafe condition, document ownership, and verify effectiveness through a follow-up inspection.</x:v>
      </x:c>
      <x:c r="O14" s="30" t="b">
        <x:v>0</x:v>
      </x:c>
      <x:c r="P14" s="27" t="str">
        <x:v>SAFETY_ACCIDENT</x:v>
      </x:c>
      <x:c r="Q14" s="27" t="str">
        <x:v>sharps</x:v>
      </x:c>
      <x:c r="R14" s="27" t="str"/>
      <x:c r="S14" s="31" t="b">
        <x:v>1</x:v>
      </x:c>
      <x:c r="T14" s="27" t="str">
        <x:v>ASM-2026-002</x:v>
      </x:c>
      <x:c r="U14" s="27" t="str">
        <x:v>HZ-2026-002-03</x:v>
      </x:c>
    </x:row>
    <x:row r="15">
      <x:c r="A15" s="28" t="str">
        <x:v>Anaesthesia</x:v>
      </x:c>
      <x:c r="B15" s="37" t="n">
        <x:v>46060</x:v>
      </x:c>
      <x:c r="C15" s="26" t="str">
        <x:v>RAH01-2026-002</x:v>
      </x:c>
      <x:c r="D15" s="36" t="n">
        <x:v>4</x:v>
      </x:c>
      <x:c r="E15" s="26" t="str">
        <x:v>Ergonomic Hazards</x:v>
      </x:c>
      <x:c r="F15" s="26" t="str">
        <x:v>Heavy Lifting / Patient Transfer</x:v>
      </x:c>
      <x:c r="G15" s="35" t="n">
        <x:v>14</x:v>
      </x:c>
      <x:c r="H15" s="35" t="n">
        <x:v>0</x:v>
      </x:c>
      <x:c r="I15" s="35" t="n">
        <x:v>3</x:v>
      </x:c>
      <x:c r="J15" s="35" t="n">
        <x:v>3</x:v>
      </x:c>
      <x:c r="K15" s="36" t="n">
        <x:f>IF(AND(S15=TRUE,ISNUMBER(I15),I15=INT(I15),I15&gt;=1,I15&lt;=3,ISNUMBER(J15),J15=INT(J15),J15&gt;=1,J15&lt;=3),I15*J15,"")</x:f>
        <x:v>9</x:v>
      </x:c>
      <x:c r="L15" s="26" t="str">
        <x:f>IF(K15="","",IF(K15&lt;=2,"LOW",IF(K15&lt;=4,"MEDIUM","HIGH")))</x:f>
        <x:v>HIGH</x:v>
      </x:c>
      <x:c r="M15" s="25" t="str">
        <x:v>Task rotation, adjustable equipment, team lifting, and safe-patient-handling guidance are used.</x:v>
      </x:c>
      <x:c r="N15" s="25" t="str">
        <x:v>Complete an ergonomic task assessment and implement equipment or workflow changes to reduce force and repetition.</x:v>
      </x:c>
      <x:c r="O15" s="30" t="b">
        <x:v>0</x:v>
      </x:c>
      <x:c r="P15" s="27" t="str">
        <x:v>ERGONOMIC</x:v>
      </x:c>
      <x:c r="Q15" s="27" t="str">
        <x:v>heavy_lifting_patient_transfer</x:v>
      </x:c>
      <x:c r="R15" s="27" t="str"/>
      <x:c r="S15" s="31" t="b">
        <x:v>1</x:v>
      </x:c>
      <x:c r="T15" s="27" t="str">
        <x:v>ASM-2026-002</x:v>
      </x:c>
      <x:c r="U15" s="27" t="str">
        <x:v>HZ-2026-002-04</x:v>
      </x:c>
    </x:row>
    <x:row r="16">
      <x:c r="A16" s="28" t="str">
        <x:v>Anaesthesia</x:v>
      </x:c>
      <x:c r="B16" s="37" t="n">
        <x:v>46060</x:v>
      </x:c>
      <x:c r="C16" s="26" t="str">
        <x:v>RAH01-2026-002</x:v>
      </x:c>
      <x:c r="D16" s="36" t="n">
        <x:v>5</x:v>
      </x:c>
      <x:c r="E16" s="26" t="str">
        <x:v>Psychosocial Hazards</x:v>
      </x:c>
      <x:c r="F16" s="26" t="str">
        <x:v>Work Stress</x:v>
      </x:c>
      <x:c r="G16" s="35" t="n">
        <x:v>17</x:v>
      </x:c>
      <x:c r="H16" s="35" t="n">
        <x:v>7</x:v>
      </x:c>
      <x:c r="I16" s="35" t="n">
        <x:v>3</x:v>
      </x:c>
      <x:c r="J16" s="35" t="n">
        <x:v>2</x:v>
      </x:c>
      <x:c r="K16" s="36" t="n">
        <x:f>IF(AND(S16=TRUE,ISNUMBER(I16),I16=INT(I16),I16&gt;=1,I16&lt;=3,ISNUMBER(J16),J16=INT(J16),J16&gt;=1,J16&lt;=3),I16*J16,"")</x:f>
        <x:v>6</x:v>
      </x:c>
      <x:c r="L16" s="26" t="str">
        <x:f>IF(K16="","",IF(K16&lt;=2,"LOW",IF(K16&lt;=4,"MEDIUM","HIGH")))</x:f>
        <x:v>HIGH</x:v>
      </x:c>
      <x:c r="M16" s="25" t="str">
        <x:v>Shift planning, escalation pathways, security support, breaks, and supervisor check-ins are available.</x:v>
      </x:c>
      <x:c r="N16" s="25" t="str">
        <x:v>Review staffing, breaks, escalation support, and violence-prevention controls with the department manager.</x:v>
      </x:c>
      <x:c r="O16" s="30" t="b">
        <x:v>1</x:v>
      </x:c>
      <x:c r="P16" s="27" t="str">
        <x:v>PSYCHOSOCIAL</x:v>
      </x:c>
      <x:c r="Q16" s="27" t="str">
        <x:v>work_stress</x:v>
      </x:c>
      <x:c r="R16" s="27" t="str"/>
      <x:c r="S16" s="31" t="b">
        <x:v>1</x:v>
      </x:c>
      <x:c r="T16" s="27" t="str">
        <x:v>ASM-2026-002</x:v>
      </x:c>
      <x:c r="U16" s="27" t="str">
        <x:v>HZ-2026-002-05</x:v>
      </x:c>
    </x:row>
    <x:row r="17">
      <x:c r="A17" s="28" t="str">
        <x:v>Anaesthesia</x:v>
      </x:c>
      <x:c r="B17" s="37" t="n">
        <x:v>46060</x:v>
      </x:c>
      <x:c r="C17" s="26" t="str">
        <x:v>RAH01-2026-002</x:v>
      </x:c>
      <x:c r="D17" s="36" t="n">
        <x:v>6</x:v>
      </x:c>
      <x:c r="E17" s="26" t="str">
        <x:v>Psychosocial Hazards</x:v>
      </x:c>
      <x:c r="F17" s="26" t="str">
        <x:v>Insufficient Rest</x:v>
      </x:c>
      <x:c r="G17" s="35" t="n">
        <x:v>20</x:v>
      </x:c>
      <x:c r="H17" s="35" t="n">
        <x:v>14</x:v>
      </x:c>
      <x:c r="I17" s="35" t="n">
        <x:v>2</x:v>
      </x:c>
      <x:c r="J17" s="35" t="n">
        <x:v>3</x:v>
      </x:c>
      <x:c r="K17" s="36" t="n">
        <x:f>IF(AND(S17=TRUE,ISNUMBER(I17),I17=INT(I17),I17&gt;=1,I17&lt;=3,ISNUMBER(J17),J17=INT(J17),J17&gt;=1,J17&lt;=3),I17*J17,"")</x:f>
        <x:v>6</x:v>
      </x:c>
      <x:c r="L17" s="26" t="str">
        <x:f>IF(K17="","",IF(K17&lt;=2,"LOW",IF(K17&lt;=4,"MEDIUM","HIGH")))</x:f>
        <x:v>HIGH</x:v>
      </x:c>
      <x:c r="M17" s="25" t="str">
        <x:v>Shift planning, escalation pathways, security support, breaks, and supervisor check-ins are available.</x:v>
      </x:c>
      <x:c r="N17" s="25" t="str">
        <x:v>Review staffing, breaks, escalation support, and violence-prevention controls with the department manager.</x:v>
      </x:c>
      <x:c r="O17" s="30" t="b">
        <x:v>0</x:v>
      </x:c>
      <x:c r="P17" s="27" t="str">
        <x:v>PSYCHOSOCIAL</x:v>
      </x:c>
      <x:c r="Q17" s="27" t="str">
        <x:v>insufficient_rest</x:v>
      </x:c>
      <x:c r="R17" s="27" t="str"/>
      <x:c r="S17" s="31" t="b">
        <x:v>1</x:v>
      </x:c>
      <x:c r="T17" s="27" t="str">
        <x:v>ASM-2026-002</x:v>
      </x:c>
      <x:c r="U17" s="27" t="str">
        <x:v>HZ-2026-002-06</x:v>
      </x:c>
    </x:row>
    <x:row r="18">
      <x:c r="A18" s="28" t="str">
        <x:v>Anaesthesia</x:v>
      </x:c>
      <x:c r="B18" s="37" t="n">
        <x:v>46060</x:v>
      </x:c>
      <x:c r="C18" s="26" t="str">
        <x:v>RAH01-2026-002</x:v>
      </x:c>
      <x:c r="D18" s="36" t="n">
        <x:v>7</x:v>
      </x:c>
      <x:c r="E18" s="26" t="str">
        <x:v>Fire and Disaster Hazards</x:v>
      </x:c>
      <x:c r="F18" s="26" t="str">
        <x:v>Electrical Equipment</x:v>
      </x:c>
      <x:c r="G18" s="35" t="n">
        <x:v>3</x:v>
      </x:c>
      <x:c r="H18" s="35" t="n">
        <x:v>21</x:v>
      </x:c>
      <x:c r="I18" s="35" t="n">
        <x:v>3</x:v>
      </x:c>
      <x:c r="J18" s="35" t="n">
        <x:v>3</x:v>
      </x:c>
      <x:c r="K18" s="36" t="n">
        <x:f>IF(AND(S18=TRUE,ISNUMBER(I18),I18=INT(I18),I18&gt;=1,I18&lt;=3,ISNUMBER(J18),J18=INT(J18),J18&gt;=1,J18&lt;=3),I18*J18,"")</x:f>
        <x:v>9</x:v>
      </x:c>
      <x:c r="L18" s="26" t="str">
        <x:f>IF(K18="","",IF(K18&lt;=2,"LOW",IF(K18&lt;=4,"MEDIUM","HIGH")))</x:f>
        <x:v>HIGH</x:v>
      </x:c>
      <x:c r="M18" s="25" t="str">
        <x:v>Electrical inspection, isolation procedures, alarms, extinguishers, and emergency response plans are maintained.</x:v>
      </x:c>
      <x:c r="N18" s="25" t="str">
        <x:v>Complete an engineering inspection and emergency-readiness check before the next scheduled review.</x:v>
      </x:c>
      <x:c r="O18" s="30" t="b">
        <x:v>0</x:v>
      </x:c>
      <x:c r="P18" s="27" t="str">
        <x:v>FIRE_DISASTER</x:v>
      </x:c>
      <x:c r="Q18" s="27" t="str">
        <x:v>electrical_equipment</x:v>
      </x:c>
      <x:c r="R18" s="27" t="str"/>
      <x:c r="S18" s="31" t="b">
        <x:v>1</x:v>
      </x:c>
      <x:c r="T18" s="27" t="str">
        <x:v>ASM-2026-002</x:v>
      </x:c>
      <x:c r="U18" s="27" t="str">
        <x:v>HZ-2026-002-07</x:v>
      </x:c>
    </x:row>
    <x:row r="19">
      <x:c r="A19" s="28" t="str">
        <x:v>Anaesthesia</x:v>
      </x:c>
      <x:c r="B19" s="37" t="n">
        <x:v>46060</x:v>
      </x:c>
      <x:c r="C19" s="26" t="str">
        <x:v>RAH01-2026-002</x:v>
      </x:c>
      <x:c r="D19" s="36" t="n">
        <x:v>8</x:v>
      </x:c>
      <x:c r="E19" s="26" t="str">
        <x:v>Physical Hazards</x:v>
      </x:c>
      <x:c r="F19" s="26" t="str">
        <x:v>Lighting</x:v>
      </x:c>
      <x:c r="G19" s="35" t="n">
        <x:v>6</x:v>
      </x:c>
      <x:c r="H19" s="35" t="n">
        <x:v>28</x:v>
      </x:c>
      <x:c r="I19" s="35" t="n">
        <x:v>3</x:v>
      </x:c>
      <x:c r="J19" s="35" t="n">
        <x:v>2</x:v>
      </x:c>
      <x:c r="K19" s="36" t="n">
        <x:f>IF(AND(S19=TRUE,ISNUMBER(I19),I19=INT(I19),I19&gt;=1,I19&lt;=3,ISNUMBER(J19),J19=INT(J19),J19&gt;=1,J19&lt;=3),I19*J19,"")</x:f>
        <x:v>6</x:v>
      </x:c>
      <x:c r="L19" s="26" t="str">
        <x:f>IF(K19="","",IF(K19&lt;=2,"LOW",IF(K19&lt;=4,"MEDIUM","HIGH")))</x:f>
        <x:v>HIGH</x:v>
      </x:c>
      <x:c r="M19" s="25" t="str">
        <x:v>Engineering controls, preventive maintenance, posted limits, and periodic exposure monitoring are in place.</x:v>
      </x:c>
      <x:c r="N19" s="25" t="str">
        <x:v>Measure exposure against the hospital standard and close any engineering-control gap within 90 days.</x:v>
      </x:c>
      <x:c r="O19" s="30" t="b">
        <x:v>1</x:v>
      </x:c>
      <x:c r="P19" s="27" t="str">
        <x:v>PHYSICAL</x:v>
      </x:c>
      <x:c r="Q19" s="27" t="str">
        <x:v>lighting</x:v>
      </x:c>
      <x:c r="R19" s="27" t="str"/>
      <x:c r="S19" s="31" t="b">
        <x:v>1</x:v>
      </x:c>
      <x:c r="T19" s="27" t="str">
        <x:v>ASM-2026-002</x:v>
      </x:c>
      <x:c r="U19" s="27" t="str">
        <x:v>HZ-2026-002-08</x:v>
      </x:c>
    </x:row>
    <x:row r="20">
      <x:c r="A20" s="28" t="str">
        <x:v>Cardiology</x:v>
      </x:c>
      <x:c r="B20" s="37" t="n">
        <x:v>46091</x:v>
      </x:c>
      <x:c r="C20" s="26" t="str">
        <x:v>RAH01-2026-003</x:v>
      </x:c>
      <x:c r="D20" s="36" t="n">
        <x:v>1</x:v>
      </x:c>
      <x:c r="E20" s="26" t="str">
        <x:v>Biological Hazards</x:v>
      </x:c>
      <x:c r="F20" s="26" t="str">
        <x:v>Viruses</x:v>
      </x:c>
      <x:c r="G20" s="35" t="n">
        <x:v>7</x:v>
      </x:c>
      <x:c r="H20" s="35" t="n">
        <x:v>15</x:v>
      </x:c>
      <x:c r="I20" s="35" t="n">
        <x:v>2</x:v>
      </x:c>
      <x:c r="J20" s="35" t="n">
        <x:v>3</x:v>
      </x:c>
      <x:c r="K20" s="36" t="n">
        <x:f>IF(AND(S20=TRUE,ISNUMBER(I20),I20=INT(I20),I20&gt;=1,I20&lt;=3,ISNUMBER(J20),J20=INT(J20),J20&gt;=1,J20&lt;=3),I20*J20,"")</x:f>
        <x:v>6</x:v>
      </x:c>
      <x:c r="L20" s="26" t="str">
        <x:f>IF(K20="","",IF(K20&lt;=2,"LOW",IF(K20&lt;=4,"MEDIUM","HIGH")))</x:f>
        <x:v>HIGH</x:v>
      </x:c>
      <x:c r="M20" s="25" t="str">
        <x:v>Standard precautions, hand hygiene, vaccination, cleaning, and appropriate PPE are implemented.</x:v>
      </x:c>
      <x:c r="N20" s="25" t="str">
        <x:v>Audit compliance, investigate exposure incidents, and reinforce source-control and PPE practice.</x:v>
      </x:c>
      <x:c r="O20" s="30" t="b">
        <x:v>1</x:v>
      </x:c>
      <x:c r="P20" s="27" t="str">
        <x:v>BIOLOGICAL</x:v>
      </x:c>
      <x:c r="Q20" s="27" t="str">
        <x:v>viruses</x:v>
      </x:c>
      <x:c r="R20" s="27" t="str"/>
      <x:c r="S20" s="31" t="b">
        <x:v>1</x:v>
      </x:c>
      <x:c r="T20" s="27" t="str">
        <x:v>ASM-2026-003</x:v>
      </x:c>
      <x:c r="U20" s="27" t="str">
        <x:v>HZ-2026-003-01</x:v>
      </x:c>
    </x:row>
    <x:row r="21">
      <x:c r="A21" s="28" t="str">
        <x:v>Cardiology</x:v>
      </x:c>
      <x:c r="B21" s="37" t="n">
        <x:v>46091</x:v>
      </x:c>
      <x:c r="C21" s="26" t="str">
        <x:v>RAH01-2026-003</x:v>
      </x:c>
      <x:c r="D21" s="36" t="n">
        <x:v>2</x:v>
      </x:c>
      <x:c r="E21" s="26" t="str">
        <x:v>Safety and Accident Hazards</x:v>
      </x:c>
      <x:c r="F21" s="26" t="str">
        <x:v>Sharps / Needlestick</x:v>
      </x:c>
      <x:c r="G21" s="35" t="n">
        <x:v>10</x:v>
      </x:c>
      <x:c r="H21" s="35" t="n">
        <x:v>22</x:v>
      </x:c>
      <x:c r="I21" s="35" t="n">
        <x:v>3</x:v>
      </x:c>
      <x:c r="J21" s="35" t="n">
        <x:v>3</x:v>
      </x:c>
      <x:c r="K21" s="36" t="n">
        <x:f>IF(AND(S21=TRUE,ISNUMBER(I21),I21=INT(I21),I21&gt;=1,I21&lt;=3,ISNUMBER(J21),J21=INT(J21),J21&gt;=1,J21&lt;=3),I21*J21,"")</x:f>
        <x:v>9</x:v>
      </x:c>
      <x:c r="L21" s="26" t="str">
        <x:f>IF(K21="","",IF(K21&lt;=2,"LOW",IF(K21&lt;=4,"MEDIUM","HIGH")))</x:f>
        <x:v>HIGH</x:v>
      </x:c>
      <x:c r="M21" s="25" t="str">
        <x:v>Safe-work procedures, inspection, housekeeping, guards, and incident reporting are implemented.</x:v>
      </x:c>
      <x:c r="N21" s="25" t="str">
        <x:v>Correct the unsafe condition, document ownership, and verify effectiveness through a follow-up inspection.</x:v>
      </x:c>
      <x:c r="O21" s="30" t="b">
        <x:v>0</x:v>
      </x:c>
      <x:c r="P21" s="27" t="str">
        <x:v>SAFETY_ACCIDENT</x:v>
      </x:c>
      <x:c r="Q21" s="27" t="str">
        <x:v>sharps</x:v>
      </x:c>
      <x:c r="R21" s="27" t="str"/>
      <x:c r="S21" s="31" t="b">
        <x:v>1</x:v>
      </x:c>
      <x:c r="T21" s="27" t="str">
        <x:v>ASM-2026-003</x:v>
      </x:c>
      <x:c r="U21" s="27" t="str">
        <x:v>HZ-2026-003-02</x:v>
      </x:c>
    </x:row>
    <x:row r="22">
      <x:c r="A22" s="28" t="str">
        <x:v>Cardiology</x:v>
      </x:c>
      <x:c r="B22" s="37" t="n">
        <x:v>46091</x:v>
      </x:c>
      <x:c r="C22" s="26" t="str">
        <x:v>RAH01-2026-003</x:v>
      </x:c>
      <x:c r="D22" s="36" t="n">
        <x:v>3</x:v>
      </x:c>
      <x:c r="E22" s="26" t="str">
        <x:v>Psychosocial Hazards</x:v>
      </x:c>
      <x:c r="F22" s="26" t="str">
        <x:v>Violence from Patients or Relatives</x:v>
      </x:c>
      <x:c r="G22" s="35" t="n">
        <x:v>13</x:v>
      </x:c>
      <x:c r="H22" s="35" t="n">
        <x:v>29</x:v>
      </x:c>
      <x:c r="I22" s="35" t="n">
        <x:v>3</x:v>
      </x:c>
      <x:c r="J22" s="35" t="n">
        <x:v>2</x:v>
      </x:c>
      <x:c r="K22" s="36" t="n">
        <x:f>IF(AND(S22=TRUE,ISNUMBER(I22),I22=INT(I22),I22&gt;=1,I22&lt;=3,ISNUMBER(J22),J22=INT(J22),J22&gt;=1,J22&lt;=3),I22*J22,"")</x:f>
        <x:v>6</x:v>
      </x:c>
      <x:c r="L22" s="26" t="str">
        <x:f>IF(K22="","",IF(K22&lt;=2,"LOW",IF(K22&lt;=4,"MEDIUM","HIGH")))</x:f>
        <x:v>HIGH</x:v>
      </x:c>
      <x:c r="M22" s="25" t="str">
        <x:v>Shift planning, escalation pathways, security support, breaks, and supervisor check-ins are available.</x:v>
      </x:c>
      <x:c r="N22" s="25" t="str">
        <x:v>Review staffing, breaks, escalation support, and violence-prevention controls with the department manager.</x:v>
      </x:c>
      <x:c r="O22" s="30" t="b">
        <x:v>0</x:v>
      </x:c>
      <x:c r="P22" s="27" t="str">
        <x:v>PSYCHOSOCIAL</x:v>
      </x:c>
      <x:c r="Q22" s="27" t="str">
        <x:v>patient_relative_violence</x:v>
      </x:c>
      <x:c r="R22" s="27" t="str"/>
      <x:c r="S22" s="31" t="b">
        <x:v>1</x:v>
      </x:c>
      <x:c r="T22" s="27" t="str">
        <x:v>ASM-2026-003</x:v>
      </x:c>
      <x:c r="U22" s="27" t="str">
        <x:v>HZ-2026-003-03</x:v>
      </x:c>
    </x:row>
    <x:row r="23">
      <x:c r="A23" s="28" t="str">
        <x:v>Cardiology</x:v>
      </x:c>
      <x:c r="B23" s="37" t="n">
        <x:v>46091</x:v>
      </x:c>
      <x:c r="C23" s="26" t="str">
        <x:v>RAH01-2026-003</x:v>
      </x:c>
      <x:c r="D23" s="36" t="n">
        <x:v>4</x:v>
      </x:c>
      <x:c r="E23" s="26" t="str">
        <x:v>Ergonomic Hazards</x:v>
      </x:c>
      <x:c r="F23" s="26" t="str">
        <x:v>Heavy Lifting / Patient Transfer</x:v>
      </x:c>
      <x:c r="G23" s="35" t="n">
        <x:v>16</x:v>
      </x:c>
      <x:c r="H23" s="35" t="n">
        <x:v>5</x:v>
      </x:c>
      <x:c r="I23" s="35" t="n">
        <x:v>2</x:v>
      </x:c>
      <x:c r="J23" s="35" t="n">
        <x:v>3</x:v>
      </x:c>
      <x:c r="K23" s="36" t="n">
        <x:f>IF(AND(S23=TRUE,ISNUMBER(I23),I23=INT(I23),I23&gt;=1,I23&lt;=3,ISNUMBER(J23),J23=INT(J23),J23&gt;=1,J23&lt;=3),I23*J23,"")</x:f>
        <x:v>6</x:v>
      </x:c>
      <x:c r="L23" s="26" t="str">
        <x:f>IF(K23="","",IF(K23&lt;=2,"LOW",IF(K23&lt;=4,"MEDIUM","HIGH")))</x:f>
        <x:v>HIGH</x:v>
      </x:c>
      <x:c r="M23" s="25" t="str">
        <x:v>Task rotation, adjustable equipment, team lifting, and safe-patient-handling guidance are used.</x:v>
      </x:c>
      <x:c r="N23" s="25" t="str">
        <x:v>Complete an ergonomic task assessment and implement equipment or workflow changes to reduce force and repetition.</x:v>
      </x:c>
      <x:c r="O23" s="30" t="b">
        <x:v>1</x:v>
      </x:c>
      <x:c r="P23" s="27" t="str">
        <x:v>ERGONOMIC</x:v>
      </x:c>
      <x:c r="Q23" s="27" t="str">
        <x:v>heavy_lifting_patient_transfer</x:v>
      </x:c>
      <x:c r="R23" s="27" t="str"/>
      <x:c r="S23" s="31" t="b">
        <x:v>1</x:v>
      </x:c>
      <x:c r="T23" s="27" t="str">
        <x:v>ASM-2026-003</x:v>
      </x:c>
      <x:c r="U23" s="27" t="str">
        <x:v>HZ-2026-003-04</x:v>
      </x:c>
    </x:row>
    <x:row r="24">
      <x:c r="A24" s="28" t="str">
        <x:v>Cardiology</x:v>
      </x:c>
      <x:c r="B24" s="37" t="n">
        <x:v>46091</x:v>
      </x:c>
      <x:c r="C24" s="26" t="str">
        <x:v>RAH01-2026-003</x:v>
      </x:c>
      <x:c r="D24" s="36" t="n">
        <x:v>5</x:v>
      </x:c>
      <x:c r="E24" s="26" t="str">
        <x:v>Safety and Accident Hazards</x:v>
      </x:c>
      <x:c r="F24" s="26" t="str">
        <x:v>Slippery Surface</x:v>
      </x:c>
      <x:c r="G24" s="35" t="n">
        <x:v>19</x:v>
      </x:c>
      <x:c r="H24" s="35" t="n">
        <x:v>12</x:v>
      </x:c>
      <x:c r="I24" s="35" t="n">
        <x:v>3</x:v>
      </x:c>
      <x:c r="J24" s="35" t="n">
        <x:v>3</x:v>
      </x:c>
      <x:c r="K24" s="36" t="n">
        <x:f>IF(AND(S24=TRUE,ISNUMBER(I24),I24=INT(I24),I24&gt;=1,I24&lt;=3,ISNUMBER(J24),J24=INT(J24),J24&gt;=1,J24&lt;=3),I24*J24,"")</x:f>
        <x:v>9</x:v>
      </x:c>
      <x:c r="L24" s="26" t="str">
        <x:f>IF(K24="","",IF(K24&lt;=2,"LOW",IF(K24&lt;=4,"MEDIUM","HIGH")))</x:f>
        <x:v>HIGH</x:v>
      </x:c>
      <x:c r="M24" s="25" t="str">
        <x:v>Safe-work procedures, inspection, housekeeping, guards, and incident reporting are implemented.</x:v>
      </x:c>
      <x:c r="N24" s="25" t="str">
        <x:v>Correct the unsafe condition, document ownership, and verify effectiveness through a follow-up inspection.</x:v>
      </x:c>
      <x:c r="O24" s="30" t="b">
        <x:v>0</x:v>
      </x:c>
      <x:c r="P24" s="27" t="str">
        <x:v>SAFETY_ACCIDENT</x:v>
      </x:c>
      <x:c r="Q24" s="27" t="str">
        <x:v>slippery_surface</x:v>
      </x:c>
      <x:c r="R24" s="27" t="str"/>
      <x:c r="S24" s="31" t="b">
        <x:v>1</x:v>
      </x:c>
      <x:c r="T24" s="27" t="str">
        <x:v>ASM-2026-003</x:v>
      </x:c>
      <x:c r="U24" s="27" t="str">
        <x:v>HZ-2026-003-05</x:v>
      </x:c>
    </x:row>
    <x:row r="25">
      <x:c r="A25" s="28" t="str">
        <x:v>Cardiology</x:v>
      </x:c>
      <x:c r="B25" s="37" t="n">
        <x:v>46091</x:v>
      </x:c>
      <x:c r="C25" s="26" t="str">
        <x:v>RAH01-2026-003</x:v>
      </x:c>
      <x:c r="D25" s="36" t="n">
        <x:v>6</x:v>
      </x:c>
      <x:c r="E25" s="26" t="str">
        <x:v>Psychosocial Hazards</x:v>
      </x:c>
      <x:c r="F25" s="26" t="str">
        <x:v>Work Stress</x:v>
      </x:c>
      <x:c r="G25" s="35" t="n">
        <x:v>22</x:v>
      </x:c>
      <x:c r="H25" s="35" t="n">
        <x:v>19</x:v>
      </x:c>
      <x:c r="I25" s="35" t="n">
        <x:v>3</x:v>
      </x:c>
      <x:c r="J25" s="35" t="n">
        <x:v>2</x:v>
      </x:c>
      <x:c r="K25" s="36" t="n">
        <x:f>IF(AND(S25=TRUE,ISNUMBER(I25),I25=INT(I25),I25&gt;=1,I25&lt;=3,ISNUMBER(J25),J25=INT(J25),J25&gt;=1,J25&lt;=3),I25*J25,"")</x:f>
        <x:v>6</x:v>
      </x:c>
      <x:c r="L25" s="26" t="str">
        <x:f>IF(K25="","",IF(K25&lt;=2,"LOW",IF(K25&lt;=4,"MEDIUM","HIGH")))</x:f>
        <x:v>HIGH</x:v>
      </x:c>
      <x:c r="M25" s="25" t="str">
        <x:v>Shift planning, escalation pathways, security support, breaks, and supervisor check-ins are available.</x:v>
      </x:c>
      <x:c r="N25" s="25" t="str">
        <x:v>Review staffing, breaks, escalation support, and violence-prevention controls with the department manager.</x:v>
      </x:c>
      <x:c r="O25" s="30" t="b">
        <x:v>0</x:v>
      </x:c>
      <x:c r="P25" s="27" t="str">
        <x:v>PSYCHOSOCIAL</x:v>
      </x:c>
      <x:c r="Q25" s="27" t="str">
        <x:v>work_stress</x:v>
      </x:c>
      <x:c r="R25" s="27" t="str"/>
      <x:c r="S25" s="31" t="b">
        <x:v>1</x:v>
      </x:c>
      <x:c r="T25" s="27" t="str">
        <x:v>ASM-2026-003</x:v>
      </x:c>
      <x:c r="U25" s="27" t="str">
        <x:v>HZ-2026-003-06</x:v>
      </x:c>
    </x:row>
    <x:row r="26">
      <x:c r="A26" s="28" t="str">
        <x:v>Cardiology</x:v>
      </x:c>
      <x:c r="B26" s="37" t="n">
        <x:v>46091</x:v>
      </x:c>
      <x:c r="C26" s="26" t="str">
        <x:v>RAH01-2026-003</x:v>
      </x:c>
      <x:c r="D26" s="36" t="n">
        <x:v>7</x:v>
      </x:c>
      <x:c r="E26" s="26" t="str">
        <x:v>Psychosocial Hazards</x:v>
      </x:c>
      <x:c r="F26" s="26" t="str">
        <x:v>Insufficient Rest</x:v>
      </x:c>
      <x:c r="G26" s="35" t="n">
        <x:v>25</x:v>
      </x:c>
      <x:c r="H26" s="35" t="n">
        <x:v>26</x:v>
      </x:c>
      <x:c r="I26" s="35" t="n">
        <x:v>2</x:v>
      </x:c>
      <x:c r="J26" s="35" t="n">
        <x:v>3</x:v>
      </x:c>
      <x:c r="K26" s="36" t="n">
        <x:f>IF(AND(S26=TRUE,ISNUMBER(I26),I26=INT(I26),I26&gt;=1,I26&lt;=3,ISNUMBER(J26),J26=INT(J26),J26&gt;=1,J26&lt;=3),I26*J26,"")</x:f>
        <x:v>6</x:v>
      </x:c>
      <x:c r="L26" s="26" t="str">
        <x:f>IF(K26="","",IF(K26&lt;=2,"LOW",IF(K26&lt;=4,"MEDIUM","HIGH")))</x:f>
        <x:v>HIGH</x:v>
      </x:c>
      <x:c r="M26" s="25" t="str">
        <x:v>Shift planning, escalation pathways, security support, breaks, and supervisor check-ins are available.</x:v>
      </x:c>
      <x:c r="N26" s="25" t="str">
        <x:v>Review staffing, breaks, escalation support, and violence-prevention controls with the department manager.</x:v>
      </x:c>
      <x:c r="O26" s="30" t="b">
        <x:v>1</x:v>
      </x:c>
      <x:c r="P26" s="27" t="str">
        <x:v>PSYCHOSOCIAL</x:v>
      </x:c>
      <x:c r="Q26" s="27" t="str">
        <x:v>insufficient_rest</x:v>
      </x:c>
      <x:c r="R26" s="27" t="str"/>
      <x:c r="S26" s="31" t="b">
        <x:v>1</x:v>
      </x:c>
      <x:c r="T26" s="27" t="str">
        <x:v>ASM-2026-003</x:v>
      </x:c>
      <x:c r="U26" s="27" t="str">
        <x:v>HZ-2026-003-07</x:v>
      </x:c>
    </x:row>
    <x:row r="27">
      <x:c r="A27" s="28" t="str">
        <x:v>Cardiothoracic Surgery</x:v>
      </x:c>
      <x:c r="B27" s="37" t="n">
        <x:v>46125</x:v>
      </x:c>
      <x:c r="C27" s="26" t="str">
        <x:v>RAH01-2026-004</x:v>
      </x:c>
      <x:c r="D27" s="36" t="n">
        <x:v>1</x:v>
      </x:c>
      <x:c r="E27" s="26" t="str">
        <x:v>Safety and Accident Hazards</x:v>
      </x:c>
      <x:c r="F27" s="26" t="str">
        <x:v>Sharps / Needlestick</x:v>
      </x:c>
      <x:c r="G27" s="35" t="n">
        <x:v>9</x:v>
      </x:c>
      <x:c r="H27" s="35" t="n">
        <x:v>20</x:v>
      </x:c>
      <x:c r="I27" s="35" t="n">
        <x:v>3</x:v>
      </x:c>
      <x:c r="J27" s="35" t="n">
        <x:v>2</x:v>
      </x:c>
      <x:c r="K27" s="36" t="n">
        <x:f>IF(AND(S27=TRUE,ISNUMBER(I27),I27=INT(I27),I27&gt;=1,I27&lt;=3,ISNUMBER(J27),J27=INT(J27),J27&gt;=1,J27&lt;=3),I27*J27,"")</x:f>
        <x:v>6</x:v>
      </x:c>
      <x:c r="L27" s="26" t="str">
        <x:f>IF(K27="","",IF(K27&lt;=2,"LOW",IF(K27&lt;=4,"MEDIUM","HIGH")))</x:f>
        <x:v>HIGH</x:v>
      </x:c>
      <x:c r="M27" s="25" t="str">
        <x:v>Safe-work procedures, inspection, housekeeping, guards, and incident reporting are implemented.</x:v>
      </x:c>
      <x:c r="N27" s="25" t="str">
        <x:v>Correct the unsafe condition, document ownership, and verify effectiveness through a follow-up inspection.</x:v>
      </x:c>
      <x:c r="O27" s="30" t="b">
        <x:v>0</x:v>
      </x:c>
      <x:c r="P27" s="27" t="str">
        <x:v>SAFETY_ACCIDENT</x:v>
      </x:c>
      <x:c r="Q27" s="27" t="str">
        <x:v>sharps</x:v>
      </x:c>
      <x:c r="R27" s="27" t="str"/>
      <x:c r="S27" s="31" t="b">
        <x:v>1</x:v>
      </x:c>
      <x:c r="T27" s="27" t="str">
        <x:v>ASM-2026-004</x:v>
      </x:c>
      <x:c r="U27" s="27" t="str">
        <x:v>HZ-2026-004-01</x:v>
      </x:c>
    </x:row>
    <x:row r="28">
      <x:c r="A28" s="28" t="str">
        <x:v>Cardiothoracic Surgery</x:v>
      </x:c>
      <x:c r="B28" s="37" t="n">
        <x:v>46125</x:v>
      </x:c>
      <x:c r="C28" s="26" t="str">
        <x:v>RAH01-2026-004</x:v>
      </x:c>
      <x:c r="D28" s="36" t="n">
        <x:v>2</x:v>
      </x:c>
      <x:c r="E28" s="26" t="str">
        <x:v>Biological Hazards</x:v>
      </x:c>
      <x:c r="F28" s="26" t="str">
        <x:v>Bacteria</x:v>
      </x:c>
      <x:c r="G28" s="35" t="n">
        <x:v>12</x:v>
      </x:c>
      <x:c r="H28" s="35" t="n">
        <x:v>27</x:v>
      </x:c>
      <x:c r="I28" s="35" t="n">
        <x:v>2</x:v>
      </x:c>
      <x:c r="J28" s="35" t="n">
        <x:v>3</x:v>
      </x:c>
      <x:c r="K28" s="36" t="n">
        <x:f>IF(AND(S28=TRUE,ISNUMBER(I28),I28=INT(I28),I28&gt;=1,I28&lt;=3,ISNUMBER(J28),J28=INT(J28),J28&gt;=1,J28&lt;=3),I28*J28,"")</x:f>
        <x:v>6</x:v>
      </x:c>
      <x:c r="L28" s="26" t="str">
        <x:f>IF(K28="","",IF(K28&lt;=2,"LOW",IF(K28&lt;=4,"MEDIUM","HIGH")))</x:f>
        <x:v>HIGH</x:v>
      </x:c>
      <x:c r="M28" s="25" t="str">
        <x:v>Standard precautions, hand hygiene, vaccination, cleaning, and appropriate PPE are implemented.</x:v>
      </x:c>
      <x:c r="N28" s="25" t="str">
        <x:v>Audit compliance, investigate exposure incidents, and reinforce source-control and PPE practice.</x:v>
      </x:c>
      <x:c r="O28" s="30" t="b">
        <x:v>0</x:v>
      </x:c>
      <x:c r="P28" s="27" t="str">
        <x:v>BIOLOGICAL</x:v>
      </x:c>
      <x:c r="Q28" s="27" t="str">
        <x:v>bacteria</x:v>
      </x:c>
      <x:c r="R28" s="27" t="str"/>
      <x:c r="S28" s="31" t="b">
        <x:v>1</x:v>
      </x:c>
      <x:c r="T28" s="27" t="str">
        <x:v>ASM-2026-004</x:v>
      </x:c>
      <x:c r="U28" s="27" t="str">
        <x:v>HZ-2026-004-02</x:v>
      </x:c>
    </x:row>
    <x:row r="29">
      <x:c r="A29" s="28" t="str">
        <x:v>Cardiothoracic Surgery</x:v>
      </x:c>
      <x:c r="B29" s="37" t="n">
        <x:v>46125</x:v>
      </x:c>
      <x:c r="C29" s="26" t="str">
        <x:v>RAH01-2026-004</x:v>
      </x:c>
      <x:c r="D29" s="36" t="n">
        <x:v>3</x:v>
      </x:c>
      <x:c r="E29" s="26" t="str">
        <x:v>Biological Hazards</x:v>
      </x:c>
      <x:c r="F29" s="26" t="str">
        <x:v>Viruses</x:v>
      </x:c>
      <x:c r="G29" s="35" t="n">
        <x:v>15</x:v>
      </x:c>
      <x:c r="H29" s="35" t="n">
        <x:v>3</x:v>
      </x:c>
      <x:c r="I29" s="35" t="n">
        <x:v>3</x:v>
      </x:c>
      <x:c r="J29" s="35" t="n">
        <x:v>3</x:v>
      </x:c>
      <x:c r="K29" s="36" t="n">
        <x:f>IF(AND(S29=TRUE,ISNUMBER(I29),I29=INT(I29),I29&gt;=1,I29&lt;=3,ISNUMBER(J29),J29=INT(J29),J29&gt;=1,J29&lt;=3),I29*J29,"")</x:f>
        <x:v>9</x:v>
      </x:c>
      <x:c r="L29" s="26" t="str">
        <x:f>IF(K29="","",IF(K29&lt;=2,"LOW",IF(K29&lt;=4,"MEDIUM","HIGH")))</x:f>
        <x:v>HIGH</x:v>
      </x:c>
      <x:c r="M29" s="25" t="str">
        <x:v>Standard precautions, hand hygiene, vaccination, cleaning, and appropriate PPE are implemented.</x:v>
      </x:c>
      <x:c r="N29" s="25" t="str">
        <x:v>Audit compliance, investigate exposure incidents, and reinforce source-control and PPE practice.</x:v>
      </x:c>
      <x:c r="O29" s="30" t="b">
        <x:v>1</x:v>
      </x:c>
      <x:c r="P29" s="27" t="str">
        <x:v>BIOLOGICAL</x:v>
      </x:c>
      <x:c r="Q29" s="27" t="str">
        <x:v>viruses</x:v>
      </x:c>
      <x:c r="R29" s="27" t="str"/>
      <x:c r="S29" s="31" t="b">
        <x:v>1</x:v>
      </x:c>
      <x:c r="T29" s="27" t="str">
        <x:v>ASM-2026-004</x:v>
      </x:c>
      <x:c r="U29" s="27" t="str">
        <x:v>HZ-2026-004-03</x:v>
      </x:c>
    </x:row>
    <x:row r="30">
      <x:c r="A30" s="28" t="str">
        <x:v>Cardiothoracic Surgery</x:v>
      </x:c>
      <x:c r="B30" s="37" t="n">
        <x:v>46125</x:v>
      </x:c>
      <x:c r="C30" s="26" t="str">
        <x:v>RAH01-2026-004</x:v>
      </x:c>
      <x:c r="D30" s="36" t="n">
        <x:v>4</x:v>
      </x:c>
      <x:c r="E30" s="26" t="str">
        <x:v>Chemical Hazards</x:v>
      </x:c>
      <x:c r="F30" s="26" t="str">
        <x:v>Sterilization / Disinfection Chemicals</x:v>
      </x:c>
      <x:c r="G30" s="35" t="n">
        <x:v>18</x:v>
      </x:c>
      <x:c r="H30" s="35" t="n">
        <x:v>10</x:v>
      </x:c>
      <x:c r="I30" s="35" t="n">
        <x:v>3</x:v>
      </x:c>
      <x:c r="J30" s="35" t="n">
        <x:v>2</x:v>
      </x:c>
      <x:c r="K30" s="36" t="n">
        <x:f>IF(AND(S30=TRUE,ISNUMBER(I30),I30=INT(I30),I30&gt;=1,I30&lt;=3,ISNUMBER(J30),J30=INT(J30),J30&gt;=1,J30&lt;=3),I30*J30,"")</x:f>
        <x:v>6</x:v>
      </x:c>
      <x:c r="L30" s="26" t="str">
        <x:f>IF(K30="","",IF(K30&lt;=2,"LOW",IF(K30&lt;=4,"MEDIUM","HIGH")))</x:f>
        <x:v>HIGH</x:v>
      </x:c>
      <x:c r="M30" s="25" t="str">
        <x:v>Safety data, labeled containers, local procedures, ventilation, and chemical-resistant PPE are available.</x:v>
      </x:c>
      <x:c r="N30" s="25" t="str">
        <x:v>Review substitution, ventilation, storage, spill response, and staff competency for this chemical task.</x:v>
      </x:c>
      <x:c r="O30" s="30" t="b">
        <x:v>0</x:v>
      </x:c>
      <x:c r="P30" s="27" t="str">
        <x:v>CHEMICAL</x:v>
      </x:c>
      <x:c r="Q30" s="27" t="str">
        <x:v>sterilization_disinfection_chemicals</x:v>
      </x:c>
      <x:c r="R30" s="27" t="str"/>
      <x:c r="S30" s="31" t="b">
        <x:v>1</x:v>
      </x:c>
      <x:c r="T30" s="27" t="str">
        <x:v>ASM-2026-004</x:v>
      </x:c>
      <x:c r="U30" s="27" t="str">
        <x:v>HZ-2026-004-04</x:v>
      </x:c>
    </x:row>
    <x:row r="31">
      <x:c r="A31" s="28" t="str">
        <x:v>Cardiothoracic Surgery</x:v>
      </x:c>
      <x:c r="B31" s="37" t="n">
        <x:v>46125</x:v>
      </x:c>
      <x:c r="C31" s="26" t="str">
        <x:v>RAH01-2026-004</x:v>
      </x:c>
      <x:c r="D31" s="36" t="n">
        <x:v>5</x:v>
      </x:c>
      <x:c r="E31" s="26" t="str">
        <x:v>Ergonomic Hazards</x:v>
      </x:c>
      <x:c r="F31" s="26" t="str">
        <x:v>Unnatural Posture or Movement</x:v>
      </x:c>
      <x:c r="G31" s="35" t="n">
        <x:v>21</x:v>
      </x:c>
      <x:c r="H31" s="35" t="n">
        <x:v>17</x:v>
      </x:c>
      <x:c r="I31" s="35" t="n">
        <x:v>2</x:v>
      </x:c>
      <x:c r="J31" s="35" t="n">
        <x:v>3</x:v>
      </x:c>
      <x:c r="K31" s="36" t="n">
        <x:f>IF(AND(S31=TRUE,ISNUMBER(I31),I31=INT(I31),I31&gt;=1,I31&lt;=3,ISNUMBER(J31),J31=INT(J31),J31&gt;=1,J31&lt;=3),I31*J31,"")</x:f>
        <x:v>6</x:v>
      </x:c>
      <x:c r="L31" s="26" t="str">
        <x:f>IF(K31="","",IF(K31&lt;=2,"LOW",IF(K31&lt;=4,"MEDIUM","HIGH")))</x:f>
        <x:v>HIGH</x:v>
      </x:c>
      <x:c r="M31" s="25" t="str">
        <x:v>Task rotation, adjustable equipment, team lifting, and safe-patient-handling guidance are used.</x:v>
      </x:c>
      <x:c r="N31" s="25" t="str">
        <x:v>Complete an ergonomic task assessment and implement equipment or workflow changes to reduce force and repetition.</x:v>
      </x:c>
      <x:c r="O31" s="30" t="b">
        <x:v>0</x:v>
      </x:c>
      <x:c r="P31" s="27" t="str">
        <x:v>ERGONOMIC</x:v>
      </x:c>
      <x:c r="Q31" s="27" t="str">
        <x:v>unnatural_posture</x:v>
      </x:c>
      <x:c r="R31" s="27" t="str"/>
      <x:c r="S31" s="31" t="b">
        <x:v>1</x:v>
      </x:c>
      <x:c r="T31" s="27" t="str">
        <x:v>ASM-2026-004</x:v>
      </x:c>
      <x:c r="U31" s="27" t="str">
        <x:v>HZ-2026-004-05</x:v>
      </x:c>
    </x:row>
    <x:row r="32">
      <x:c r="A32" s="28" t="str">
        <x:v>Cardiothoracic Surgery</x:v>
      </x:c>
      <x:c r="B32" s="37" t="n">
        <x:v>46125</x:v>
      </x:c>
      <x:c r="C32" s="26" t="str">
        <x:v>RAH01-2026-004</x:v>
      </x:c>
      <x:c r="D32" s="36" t="n">
        <x:v>6</x:v>
      </x:c>
      <x:c r="E32" s="26" t="str">
        <x:v>Ergonomic Hazards</x:v>
      </x:c>
      <x:c r="F32" s="26" t="str">
        <x:v>Prolonged Standing or Sitting</x:v>
      </x:c>
      <x:c r="G32" s="35" t="n">
        <x:v>24</x:v>
      </x:c>
      <x:c r="H32" s="35" t="n">
        <x:v>24</x:v>
      </x:c>
      <x:c r="I32" s="35" t="n">
        <x:v>3</x:v>
      </x:c>
      <x:c r="J32" s="35" t="n">
        <x:v>3</x:v>
      </x:c>
      <x:c r="K32" s="36" t="n">
        <x:f>IF(AND(S32=TRUE,ISNUMBER(I32),I32=INT(I32),I32&gt;=1,I32&lt;=3,ISNUMBER(J32),J32=INT(J32),J32&gt;=1,J32&lt;=3),I32*J32,"")</x:f>
        <x:v>9</x:v>
      </x:c>
      <x:c r="L32" s="26" t="str">
        <x:f>IF(K32="","",IF(K32&lt;=2,"LOW",IF(K32&lt;=4,"MEDIUM","HIGH")))</x:f>
        <x:v>HIGH</x:v>
      </x:c>
      <x:c r="M32" s="25" t="str">
        <x:v>Task rotation, adjustable equipment, team lifting, and safe-patient-handling guidance are used.</x:v>
      </x:c>
      <x:c r="N32" s="25" t="str">
        <x:v>Complete an ergonomic task assessment and implement equipment or workflow changes to reduce force and repetition.</x:v>
      </x:c>
      <x:c r="O32" s="30" t="b">
        <x:v>1</x:v>
      </x:c>
      <x:c r="P32" s="27" t="str">
        <x:v>ERGONOMIC</x:v>
      </x:c>
      <x:c r="Q32" s="27" t="str">
        <x:v>prolonged_standing_sitting</x:v>
      </x:c>
      <x:c r="R32" s="27" t="str"/>
      <x:c r="S32" s="31" t="b">
        <x:v>1</x:v>
      </x:c>
      <x:c r="T32" s="27" t="str">
        <x:v>ASM-2026-004</x:v>
      </x:c>
      <x:c r="U32" s="27" t="str">
        <x:v>HZ-2026-004-06</x:v>
      </x:c>
    </x:row>
    <x:row r="33">
      <x:c r="A33" s="28" t="str">
        <x:v>Cardiothoracic Surgery</x:v>
      </x:c>
      <x:c r="B33" s="37" t="n">
        <x:v>46125</x:v>
      </x:c>
      <x:c r="C33" s="26" t="str">
        <x:v>RAH01-2026-004</x:v>
      </x:c>
      <x:c r="D33" s="36" t="n">
        <x:v>7</x:v>
      </x:c>
      <x:c r="E33" s="26" t="str">
        <x:v>Fire and Disaster Hazards</x:v>
      </x:c>
      <x:c r="F33" s="26" t="str">
        <x:v>Electrical Equipment</x:v>
      </x:c>
      <x:c r="G33" s="35" t="n">
        <x:v>27</x:v>
      </x:c>
      <x:c r="H33" s="35" t="n">
        <x:v>0</x:v>
      </x:c>
      <x:c r="I33" s="35" t="n">
        <x:v>3</x:v>
      </x:c>
      <x:c r="J33" s="35" t="n">
        <x:v>2</x:v>
      </x:c>
      <x:c r="K33" s="36" t="n">
        <x:f>IF(AND(S33=TRUE,ISNUMBER(I33),I33=INT(I33),I33&gt;=1,I33&lt;=3,ISNUMBER(J33),J33=INT(J33),J33&gt;=1,J33&lt;=3),I33*J33,"")</x:f>
        <x:v>6</x:v>
      </x:c>
      <x:c r="L33" s="26" t="str">
        <x:f>IF(K33="","",IF(K33&lt;=2,"LOW",IF(K33&lt;=4,"MEDIUM","HIGH")))</x:f>
        <x:v>HIGH</x:v>
      </x:c>
      <x:c r="M33" s="25" t="str">
        <x:v>Electrical inspection, isolation procedures, alarms, extinguishers, and emergency response plans are maintained.</x:v>
      </x:c>
      <x:c r="N33" s="25" t="str">
        <x:v>Complete an engineering inspection and emergency-readiness check before the next scheduled review.</x:v>
      </x:c>
      <x:c r="O33" s="30" t="b">
        <x:v>0</x:v>
      </x:c>
      <x:c r="P33" s="27" t="str">
        <x:v>FIRE_DISASTER</x:v>
      </x:c>
      <x:c r="Q33" s="27" t="str">
        <x:v>electrical_equipment</x:v>
      </x:c>
      <x:c r="R33" s="27" t="str"/>
      <x:c r="S33" s="31" t="b">
        <x:v>1</x:v>
      </x:c>
      <x:c r="T33" s="27" t="str">
        <x:v>ASM-2026-004</x:v>
      </x:c>
      <x:c r="U33" s="27" t="str">
        <x:v>HZ-2026-004-07</x:v>
      </x:c>
    </x:row>
    <x:row r="34">
      <x:c r="A34" s="28" t="str">
        <x:v>Cardiothoracic Surgery</x:v>
      </x:c>
      <x:c r="B34" s="37" t="n">
        <x:v>46125</x:v>
      </x:c>
      <x:c r="C34" s="26" t="str">
        <x:v>RAH01-2026-004</x:v>
      </x:c>
      <x:c r="D34" s="36" t="n">
        <x:v>8</x:v>
      </x:c>
      <x:c r="E34" s="26" t="str">
        <x:v>Indoor Air Quality Hazards</x:v>
      </x:c>
      <x:c r="F34" s="26" t="str">
        <x:v>Dust</x:v>
      </x:c>
      <x:c r="G34" s="35" t="n">
        <x:v>30</x:v>
      </x:c>
      <x:c r="H34" s="35" t="n">
        <x:v>7</x:v>
      </x:c>
      <x:c r="I34" s="35" t="n">
        <x:v>2</x:v>
      </x:c>
      <x:c r="J34" s="35" t="n">
        <x:v>3</x:v>
      </x:c>
      <x:c r="K34" s="36" t="n">
        <x:f>IF(AND(S34=TRUE,ISNUMBER(I34),I34=INT(I34),I34&gt;=1,I34&lt;=3,ISNUMBER(J34),J34=INT(J34),J34&gt;=1,J34&lt;=3),I34*J34,"")</x:f>
        <x:v>6</x:v>
      </x:c>
      <x:c r="L34" s="26" t="str">
        <x:f>IF(K34="","",IF(K34&lt;=2,"LOW",IF(K34&lt;=4,"MEDIUM","HIGH")))</x:f>
        <x:v>HIGH</x:v>
      </x:c>
      <x:c r="M34" s="25" t="str">
        <x:v>Ventilation, cleaning, occupancy management, and environmental inspection are performed.</x:v>
      </x:c>
      <x:c r="N34" s="25" t="str">
        <x:v>Inspect ventilation and moisture sources, then document corrective action and environmental recheck.</x:v>
      </x:c>
      <x:c r="O34" s="30" t="b">
        <x:v>0</x:v>
      </x:c>
      <x:c r="P34" s="27" t="str">
        <x:v>INDOOR_AIR_QUALITY</x:v>
      </x:c>
      <x:c r="Q34" s="27" t="str">
        <x:v>dust</x:v>
      </x:c>
      <x:c r="R34" s="27" t="str"/>
      <x:c r="S34" s="31" t="b">
        <x:v>1</x:v>
      </x:c>
      <x:c r="T34" s="27" t="str">
        <x:v>ASM-2026-004</x:v>
      </x:c>
      <x:c r="U34" s="27" t="str">
        <x:v>HZ-2026-004-08</x:v>
      </x:c>
    </x:row>
    <x:row r="35">
      <x:c r="A35" s="28" t="str">
        <x:v>Central Sterile Supply</x:v>
      </x:c>
      <x:c r="B35" s="37" t="n">
        <x:v>46158</x:v>
      </x:c>
      <x:c r="C35" s="26" t="str">
        <x:v>RAH01-2026-005</x:v>
      </x:c>
      <x:c r="D35" s="36" t="n">
        <x:v>1</x:v>
      </x:c>
      <x:c r="E35" s="26" t="str">
        <x:v>Biological Hazards</x:v>
      </x:c>
      <x:c r="F35" s="26" t="str">
        <x:v>Bacteria</x:v>
      </x:c>
      <x:c r="G35" s="35" t="n">
        <x:v>11</x:v>
      </x:c>
      <x:c r="H35" s="35" t="n">
        <x:v>25</x:v>
      </x:c>
      <x:c r="I35" s="35" t="n">
        <x:v>3</x:v>
      </x:c>
      <x:c r="J35" s="35" t="n">
        <x:v>3</x:v>
      </x:c>
      <x:c r="K35" s="36" t="n">
        <x:f>IF(AND(S35=TRUE,ISNUMBER(I35),I35=INT(I35),I35&gt;=1,I35&lt;=3,ISNUMBER(J35),J35=INT(J35),J35&gt;=1,J35&lt;=3),I35*J35,"")</x:f>
        <x:v>9</x:v>
      </x:c>
      <x:c r="L35" s="26" t="str">
        <x:f>IF(K35="","",IF(K35&lt;=2,"LOW",IF(K35&lt;=4,"MEDIUM","HIGH")))</x:f>
        <x:v>HIGH</x:v>
      </x:c>
      <x:c r="M35" s="25" t="str">
        <x:v>Standard precautions, hand hygiene, vaccination, cleaning, and appropriate PPE are implemented.</x:v>
      </x:c>
      <x:c r="N35" s="25" t="str">
        <x:v>Audit compliance, investigate exposure incidents, and reinforce source-control and PPE practice.</x:v>
      </x:c>
      <x:c r="O35" s="30" t="b">
        <x:v>0</x:v>
      </x:c>
      <x:c r="P35" s="27" t="str">
        <x:v>BIOLOGICAL</x:v>
      </x:c>
      <x:c r="Q35" s="27" t="str">
        <x:v>bacteria</x:v>
      </x:c>
      <x:c r="R35" s="27" t="str"/>
      <x:c r="S35" s="31" t="b">
        <x:v>1</x:v>
      </x:c>
      <x:c r="T35" s="27" t="str">
        <x:v>ASM-2026-005</x:v>
      </x:c>
      <x:c r="U35" s="27" t="str">
        <x:v>HZ-2026-005-01</x:v>
      </x:c>
    </x:row>
    <x:row r="36">
      <x:c r="A36" s="28" t="str">
        <x:v>Central Sterile Supply</x:v>
      </x:c>
      <x:c r="B36" s="37" t="n">
        <x:v>46158</x:v>
      </x:c>
      <x:c r="C36" s="26" t="str">
        <x:v>RAH01-2026-005</x:v>
      </x:c>
      <x:c r="D36" s="36" t="n">
        <x:v>2</x:v>
      </x:c>
      <x:c r="E36" s="26" t="str">
        <x:v>Biological Hazards</x:v>
      </x:c>
      <x:c r="F36" s="26" t="str">
        <x:v>Viruses</x:v>
      </x:c>
      <x:c r="G36" s="35" t="n">
        <x:v>14</x:v>
      </x:c>
      <x:c r="H36" s="35" t="n">
        <x:v>1</x:v>
      </x:c>
      <x:c r="I36" s="35" t="n">
        <x:v>3</x:v>
      </x:c>
      <x:c r="J36" s="35" t="n">
        <x:v>2</x:v>
      </x:c>
      <x:c r="K36" s="36" t="n">
        <x:f>IF(AND(S36=TRUE,ISNUMBER(I36),I36=INT(I36),I36&gt;=1,I36&lt;=3,ISNUMBER(J36),J36=INT(J36),J36&gt;=1,J36&lt;=3),I36*J36,"")</x:f>
        <x:v>6</x:v>
      </x:c>
      <x:c r="L36" s="26" t="str">
        <x:f>IF(K36="","",IF(K36&lt;=2,"LOW",IF(K36&lt;=4,"MEDIUM","HIGH")))</x:f>
        <x:v>HIGH</x:v>
      </x:c>
      <x:c r="M36" s="25" t="str">
        <x:v>Standard precautions, hand hygiene, vaccination, cleaning, and appropriate PPE are implemented.</x:v>
      </x:c>
      <x:c r="N36" s="25" t="str">
        <x:v>Audit compliance, investigate exposure incidents, and reinforce source-control and PPE practice.</x:v>
      </x:c>
      <x:c r="O36" s="30" t="b">
        <x:v>1</x:v>
      </x:c>
      <x:c r="P36" s="27" t="str">
        <x:v>BIOLOGICAL</x:v>
      </x:c>
      <x:c r="Q36" s="27" t="str">
        <x:v>viruses</x:v>
      </x:c>
      <x:c r="R36" s="27" t="str"/>
      <x:c r="S36" s="31" t="b">
        <x:v>1</x:v>
      </x:c>
      <x:c r="T36" s="27" t="str">
        <x:v>ASM-2026-005</x:v>
      </x:c>
      <x:c r="U36" s="27" t="str">
        <x:v>HZ-2026-005-02</x:v>
      </x:c>
    </x:row>
    <x:row r="37">
      <x:c r="A37" s="28" t="str">
        <x:v>Central Sterile Supply</x:v>
      </x:c>
      <x:c r="B37" s="37" t="n">
        <x:v>46158</x:v>
      </x:c>
      <x:c r="C37" s="26" t="str">
        <x:v>RAH01-2026-005</x:v>
      </x:c>
      <x:c r="D37" s="36" t="n">
        <x:v>3</x:v>
      </x:c>
      <x:c r="E37" s="26" t="str">
        <x:v>Safety and Accident Hazards</x:v>
      </x:c>
      <x:c r="F37" s="26" t="str">
        <x:v>Sharps / Needlestick</x:v>
      </x:c>
      <x:c r="G37" s="35" t="n">
        <x:v>17</x:v>
      </x:c>
      <x:c r="H37" s="35" t="n">
        <x:v>8</x:v>
      </x:c>
      <x:c r="I37" s="35" t="n">
        <x:v>2</x:v>
      </x:c>
      <x:c r="J37" s="35" t="n">
        <x:v>3</x:v>
      </x:c>
      <x:c r="K37" s="36" t="n">
        <x:f>IF(AND(S37=TRUE,ISNUMBER(I37),I37=INT(I37),I37&gt;=1,I37&lt;=3,ISNUMBER(J37),J37=INT(J37),J37&gt;=1,J37&lt;=3),I37*J37,"")</x:f>
        <x:v>6</x:v>
      </x:c>
      <x:c r="L37" s="26" t="str">
        <x:f>IF(K37="","",IF(K37&lt;=2,"LOW",IF(K37&lt;=4,"MEDIUM","HIGH")))</x:f>
        <x:v>HIGH</x:v>
      </x:c>
      <x:c r="M37" s="25" t="str">
        <x:v>Safe-work procedures, inspection, housekeeping, guards, and incident reporting are implemented.</x:v>
      </x:c>
      <x:c r="N37" s="25" t="str">
        <x:v>Correct the unsafe condition, document ownership, and verify effectiveness through a follow-up inspection.</x:v>
      </x:c>
      <x:c r="O37" s="30" t="b">
        <x:v>0</x:v>
      </x:c>
      <x:c r="P37" s="27" t="str">
        <x:v>SAFETY_ACCIDENT</x:v>
      </x:c>
      <x:c r="Q37" s="27" t="str">
        <x:v>sharps</x:v>
      </x:c>
      <x:c r="R37" s="27" t="str"/>
      <x:c r="S37" s="31" t="b">
        <x:v>1</x:v>
      </x:c>
      <x:c r="T37" s="27" t="str">
        <x:v>ASM-2026-005</x:v>
      </x:c>
      <x:c r="U37" s="27" t="str">
        <x:v>HZ-2026-005-03</x:v>
      </x:c>
    </x:row>
    <x:row r="38">
      <x:c r="A38" s="28" t="str">
        <x:v>Central Sterile Supply</x:v>
      </x:c>
      <x:c r="B38" s="37" t="n">
        <x:v>46158</x:v>
      </x:c>
      <x:c r="C38" s="26" t="str">
        <x:v>RAH01-2026-005</x:v>
      </x:c>
      <x:c r="D38" s="36" t="n">
        <x:v>4</x:v>
      </x:c>
      <x:c r="E38" s="26" t="str">
        <x:v>Chemical Hazards</x:v>
      </x:c>
      <x:c r="F38" s="26" t="str">
        <x:v>Sterilization / Disinfection Chemicals</x:v>
      </x:c>
      <x:c r="G38" s="35" t="n">
        <x:v>20</x:v>
      </x:c>
      <x:c r="H38" s="35" t="n">
        <x:v>15</x:v>
      </x:c>
      <x:c r="I38" s="35" t="n">
        <x:v>3</x:v>
      </x:c>
      <x:c r="J38" s="35" t="n">
        <x:v>3</x:v>
      </x:c>
      <x:c r="K38" s="36" t="n">
        <x:f>IF(AND(S38=TRUE,ISNUMBER(I38),I38=INT(I38),I38&gt;=1,I38&lt;=3,ISNUMBER(J38),J38=INT(J38),J38&gt;=1,J38&lt;=3),I38*J38,"")</x:f>
        <x:v>9</x:v>
      </x:c>
      <x:c r="L38" s="26" t="str">
        <x:f>IF(K38="","",IF(K38&lt;=2,"LOW",IF(K38&lt;=4,"MEDIUM","HIGH")))</x:f>
        <x:v>HIGH</x:v>
      </x:c>
      <x:c r="M38" s="25" t="str">
        <x:v>Safety data, labeled containers, local procedures, ventilation, and chemical-resistant PPE are available.</x:v>
      </x:c>
      <x:c r="N38" s="25" t="str">
        <x:v>Review substitution, ventilation, storage, spill response, and staff competency for this chemical task.</x:v>
      </x:c>
      <x:c r="O38" s="30" t="b">
        <x:v>0</x:v>
      </x:c>
      <x:c r="P38" s="27" t="str">
        <x:v>CHEMICAL</x:v>
      </x:c>
      <x:c r="Q38" s="27" t="str">
        <x:v>sterilization_disinfection_chemicals</x:v>
      </x:c>
      <x:c r="R38" s="27" t="str"/>
      <x:c r="S38" s="31" t="b">
        <x:v>1</x:v>
      </x:c>
      <x:c r="T38" s="27" t="str">
        <x:v>ASM-2026-005</x:v>
      </x:c>
      <x:c r="U38" s="27" t="str">
        <x:v>HZ-2026-005-04</x:v>
      </x:c>
    </x:row>
    <x:row r="39">
      <x:c r="A39" s="28" t="str">
        <x:v>Central Sterile Supply</x:v>
      </x:c>
      <x:c r="B39" s="37" t="n">
        <x:v>46158</x:v>
      </x:c>
      <x:c r="C39" s="26" t="str">
        <x:v>RAH01-2026-005</x:v>
      </x:c>
      <x:c r="D39" s="36" t="n">
        <x:v>5</x:v>
      </x:c>
      <x:c r="E39" s="26" t="str">
        <x:v>Ergonomic Hazards</x:v>
      </x:c>
      <x:c r="F39" s="26" t="str">
        <x:v>Repetitive Tasks</x:v>
      </x:c>
      <x:c r="G39" s="35" t="n">
        <x:v>23</x:v>
      </x:c>
      <x:c r="H39" s="35" t="n">
        <x:v>22</x:v>
      </x:c>
      <x:c r="I39" s="35" t="n">
        <x:v>3</x:v>
      </x:c>
      <x:c r="J39" s="35" t="n">
        <x:v>2</x:v>
      </x:c>
      <x:c r="K39" s="36" t="n">
        <x:f>IF(AND(S39=TRUE,ISNUMBER(I39),I39=INT(I39),I39&gt;=1,I39&lt;=3,ISNUMBER(J39),J39=INT(J39),J39&gt;=1,J39&lt;=3),I39*J39,"")</x:f>
        <x:v>6</x:v>
      </x:c>
      <x:c r="L39" s="26" t="str">
        <x:f>IF(K39="","",IF(K39&lt;=2,"LOW",IF(K39&lt;=4,"MEDIUM","HIGH")))</x:f>
        <x:v>HIGH</x:v>
      </x:c>
      <x:c r="M39" s="25" t="str">
        <x:v>Task rotation, adjustable equipment, team lifting, and safe-patient-handling guidance are used.</x:v>
      </x:c>
      <x:c r="N39" s="25" t="str">
        <x:v>Complete an ergonomic task assessment and implement equipment or workflow changes to reduce force and repetition.</x:v>
      </x:c>
      <x:c r="O39" s="30" t="b">
        <x:v>1</x:v>
      </x:c>
      <x:c r="P39" s="27" t="str">
        <x:v>ERGONOMIC</x:v>
      </x:c>
      <x:c r="Q39" s="27" t="str">
        <x:v>repetitive_tasks</x:v>
      </x:c>
      <x:c r="R39" s="27" t="str"/>
      <x:c r="S39" s="31" t="b">
        <x:v>1</x:v>
      </x:c>
      <x:c r="T39" s="27" t="str">
        <x:v>ASM-2026-005</x:v>
      </x:c>
      <x:c r="U39" s="27" t="str">
        <x:v>HZ-2026-005-05</x:v>
      </x:c>
    </x:row>
    <x:row r="40">
      <x:c r="A40" s="28" t="str">
        <x:v>Central Sterile Supply</x:v>
      </x:c>
      <x:c r="B40" s="37" t="n">
        <x:v>46158</x:v>
      </x:c>
      <x:c r="C40" s="26" t="str">
        <x:v>RAH01-2026-005</x:v>
      </x:c>
      <x:c r="D40" s="36" t="n">
        <x:v>6</x:v>
      </x:c>
      <x:c r="E40" s="26" t="str">
        <x:v>Indoor Air Quality Hazards</x:v>
      </x:c>
      <x:c r="F40" s="26" t="str">
        <x:v>Pungent Chemical Odor</x:v>
      </x:c>
      <x:c r="G40" s="35" t="n">
        <x:v>26</x:v>
      </x:c>
      <x:c r="H40" s="35" t="n">
        <x:v>29</x:v>
      </x:c>
      <x:c r="I40" s="35" t="n">
        <x:v>2</x:v>
      </x:c>
      <x:c r="J40" s="35" t="n">
        <x:v>3</x:v>
      </x:c>
      <x:c r="K40" s="36" t="n">
        <x:f>IF(AND(S40=TRUE,ISNUMBER(I40),I40=INT(I40),I40&gt;=1,I40&lt;=3,ISNUMBER(J40),J40=INT(J40),J40&gt;=1,J40&lt;=3),I40*J40,"")</x:f>
        <x:v>6</x:v>
      </x:c>
      <x:c r="L40" s="26" t="str">
        <x:f>IF(K40="","",IF(K40&lt;=2,"LOW",IF(K40&lt;=4,"MEDIUM","HIGH")))</x:f>
        <x:v>HIGH</x:v>
      </x:c>
      <x:c r="M40" s="25" t="str">
        <x:v>Ventilation, cleaning, occupancy management, and environmental inspection are performed.</x:v>
      </x:c>
      <x:c r="N40" s="25" t="str">
        <x:v>Inspect ventilation and moisture sources, then document corrective action and environmental recheck.</x:v>
      </x:c>
      <x:c r="O40" s="30" t="b">
        <x:v>0</x:v>
      </x:c>
      <x:c r="P40" s="27" t="str">
        <x:v>INDOOR_AIR_QUALITY</x:v>
      </x:c>
      <x:c r="Q40" s="27" t="str">
        <x:v>chemical_odor</x:v>
      </x:c>
      <x:c r="R40" s="27" t="str"/>
      <x:c r="S40" s="31" t="b">
        <x:v>1</x:v>
      </x:c>
      <x:c r="T40" s="27" t="str">
        <x:v>ASM-2026-005</x:v>
      </x:c>
      <x:c r="U40" s="27" t="str">
        <x:v>HZ-2026-005-06</x:v>
      </x:c>
    </x:row>
    <x:row r="41">
      <x:c r="A41" s="28" t="str">
        <x:v>Central Sterile Supply</x:v>
      </x:c>
      <x:c r="B41" s="37" t="n">
        <x:v>46158</x:v>
      </x:c>
      <x:c r="C41" s="26" t="str">
        <x:v>RAH01-2026-005</x:v>
      </x:c>
      <x:c r="D41" s="36" t="n">
        <x:v>7</x:v>
      </x:c>
      <x:c r="E41" s="26" t="str">
        <x:v>Fire and Disaster Hazards</x:v>
      </x:c>
      <x:c r="F41" s="26" t="str">
        <x:v>Electrical Equipment</x:v>
      </x:c>
      <x:c r="G41" s="35" t="n">
        <x:v>29</x:v>
      </x:c>
      <x:c r="H41" s="35" t="n">
        <x:v>5</x:v>
      </x:c>
      <x:c r="I41" s="35" t="n">
        <x:v>3</x:v>
      </x:c>
      <x:c r="J41" s="35" t="n">
        <x:v>3</x:v>
      </x:c>
      <x:c r="K41" s="36" t="n">
        <x:f>IF(AND(S41=TRUE,ISNUMBER(I41),I41=INT(I41),I41&gt;=1,I41&lt;=3,ISNUMBER(J41),J41=INT(J41),J41&gt;=1,J41&lt;=3),I41*J41,"")</x:f>
        <x:v>9</x:v>
      </x:c>
      <x:c r="L41" s="26" t="str">
        <x:f>IF(K41="","",IF(K41&lt;=2,"LOW",IF(K41&lt;=4,"MEDIUM","HIGH")))</x:f>
        <x:v>HIGH</x:v>
      </x:c>
      <x:c r="M41" s="25" t="str">
        <x:v>Electrical inspection, isolation procedures, alarms, extinguishers, and emergency response plans are maintained.</x:v>
      </x:c>
      <x:c r="N41" s="25" t="str">
        <x:v>Complete an engineering inspection and emergency-readiness check before the next scheduled review.</x:v>
      </x:c>
      <x:c r="O41" s="30" t="b">
        <x:v>0</x:v>
      </x:c>
      <x:c r="P41" s="27" t="str">
        <x:v>FIRE_DISASTER</x:v>
      </x:c>
      <x:c r="Q41" s="27" t="str">
        <x:v>electrical_equipment</x:v>
      </x:c>
      <x:c r="R41" s="27" t="str"/>
      <x:c r="S41" s="31" t="b">
        <x:v>1</x:v>
      </x:c>
      <x:c r="T41" s="27" t="str">
        <x:v>ASM-2026-005</x:v>
      </x:c>
      <x:c r="U41" s="27" t="str">
        <x:v>HZ-2026-005-07</x:v>
      </x:c>
    </x:row>
    <x:row r="42">
      <x:c r="A42" s="28" t="str">
        <x:v>Child Development</x:v>
      </x:c>
      <x:c r="B42" s="37" t="n">
        <x:v>46192</x:v>
      </x:c>
      <x:c r="C42" s="26" t="str">
        <x:v>RAH01-2026-006</x:v>
      </x:c>
      <x:c r="D42" s="36" t="n">
        <x:v>1</x:v>
      </x:c>
      <x:c r="E42" s="26" t="str">
        <x:v>Physical Hazards</x:v>
      </x:c>
      <x:c r="F42" s="26" t="str">
        <x:v>Radiation</x:v>
      </x:c>
      <x:c r="G42" s="35" t="n">
        <x:v>13</x:v>
      </x:c>
      <x:c r="H42" s="35" t="n">
        <x:v>30</x:v>
      </x:c>
      <x:c r="I42" s="35" t="n">
        <x:v>2</x:v>
      </x:c>
      <x:c r="J42" s="35" t="n">
        <x:v>3</x:v>
      </x:c>
      <x:c r="K42" s="36" t="n">
        <x:f>IF(AND(S42=TRUE,ISNUMBER(I42),I42=INT(I42),I42&gt;=1,I42&lt;=3,ISNUMBER(J42),J42=INT(J42),J42&gt;=1,J42&lt;=3),I42*J42,"")</x:f>
        <x:v>6</x:v>
      </x:c>
      <x:c r="L42" s="26" t="str">
        <x:f>IF(K42="","",IF(K42&lt;=2,"LOW",IF(K42&lt;=4,"MEDIUM","HIGH")))</x:f>
        <x:v>HIGH</x:v>
      </x:c>
      <x:c r="M42" s="25" t="str">
        <x:v>Engineering controls, preventive maintenance, posted limits, and periodic exposure monitoring are in place.</x:v>
      </x:c>
      <x:c r="N42" s="25" t="str">
        <x:v>Measure exposure against the hospital standard and close any engineering-control gap within 90 days.</x:v>
      </x:c>
      <x:c r="O42" s="30" t="b">
        <x:v>1</x:v>
      </x:c>
      <x:c r="P42" s="27" t="str">
        <x:v>PHYSICAL</x:v>
      </x:c>
      <x:c r="Q42" s="27" t="str">
        <x:v>radiation</x:v>
      </x:c>
      <x:c r="R42" s="27" t="str"/>
      <x:c r="S42" s="31" t="b">
        <x:v>1</x:v>
      </x:c>
      <x:c r="T42" s="27" t="str">
        <x:v>ASM-2026-006</x:v>
      </x:c>
      <x:c r="U42" s="27" t="str">
        <x:v>HZ-2026-006-01</x:v>
      </x:c>
    </x:row>
    <x:row r="43">
      <x:c r="A43" s="28" t="str">
        <x:v>Child Development</x:v>
      </x:c>
      <x:c r="B43" s="37" t="n">
        <x:v>46192</x:v>
      </x:c>
      <x:c r="C43" s="26" t="str">
        <x:v>RAH01-2026-006</x:v>
      </x:c>
      <x:c r="D43" s="36" t="n">
        <x:v>2</x:v>
      </x:c>
      <x:c r="E43" s="26" t="str">
        <x:v>Ergonomic Hazards</x:v>
      </x:c>
      <x:c r="F43" s="26" t="str">
        <x:v>Heavy Lifting / Patient Transfer</x:v>
      </x:c>
      <x:c r="G43" s="35" t="n">
        <x:v>16</x:v>
      </x:c>
      <x:c r="H43" s="35" t="n">
        <x:v>6</x:v>
      </x:c>
      <x:c r="I43" s="35" t="n">
        <x:v>3</x:v>
      </x:c>
      <x:c r="J43" s="35" t="n">
        <x:v>3</x:v>
      </x:c>
      <x:c r="K43" s="36" t="n">
        <x:f>IF(AND(S43=TRUE,ISNUMBER(I43),I43=INT(I43),I43&gt;=1,I43&lt;=3,ISNUMBER(J43),J43=INT(J43),J43&gt;=1,J43&lt;=3),I43*J43,"")</x:f>
        <x:v>9</x:v>
      </x:c>
      <x:c r="L43" s="26" t="str">
        <x:f>IF(K43="","",IF(K43&lt;=2,"LOW",IF(K43&lt;=4,"MEDIUM","HIGH")))</x:f>
        <x:v>HIGH</x:v>
      </x:c>
      <x:c r="M43" s="25" t="str">
        <x:v>Task rotation, adjustable equipment, team lifting, and safe-patient-handling guidance are used.</x:v>
      </x:c>
      <x:c r="N43" s="25" t="str">
        <x:v>Complete an ergonomic task assessment and implement equipment or workflow changes to reduce force and repetition.</x:v>
      </x:c>
      <x:c r="O43" s="30" t="b">
        <x:v>0</x:v>
      </x:c>
      <x:c r="P43" s="27" t="str">
        <x:v>ERGONOMIC</x:v>
      </x:c>
      <x:c r="Q43" s="27" t="str">
        <x:v>heavy_lifting_patient_transfer</x:v>
      </x:c>
      <x:c r="R43" s="27" t="str"/>
      <x:c r="S43" s="31" t="b">
        <x:v>1</x:v>
      </x:c>
      <x:c r="T43" s="27" t="str">
        <x:v>ASM-2026-006</x:v>
      </x:c>
      <x:c r="U43" s="27" t="str">
        <x:v>HZ-2026-006-02</x:v>
      </x:c>
    </x:row>
    <x:row r="44">
      <x:c r="A44" s="28" t="str">
        <x:v>Child Development</x:v>
      </x:c>
      <x:c r="B44" s="37" t="n">
        <x:v>46192</x:v>
      </x:c>
      <x:c r="C44" s="26" t="str">
        <x:v>RAH01-2026-006</x:v>
      </x:c>
      <x:c r="D44" s="36" t="n">
        <x:v>3</x:v>
      </x:c>
      <x:c r="E44" s="26" t="str">
        <x:v>Ergonomic Hazards</x:v>
      </x:c>
      <x:c r="F44" s="26" t="str">
        <x:v>Unnatural Posture or Movement</x:v>
      </x:c>
      <x:c r="G44" s="35" t="n">
        <x:v>19</x:v>
      </x:c>
      <x:c r="H44" s="35" t="n">
        <x:v>13</x:v>
      </x:c>
      <x:c r="I44" s="35" t="n">
        <x:v>3</x:v>
      </x:c>
      <x:c r="J44" s="35" t="n">
        <x:v>2</x:v>
      </x:c>
      <x:c r="K44" s="36" t="n">
        <x:f>IF(AND(S44=TRUE,ISNUMBER(I44),I44=INT(I44),I44&gt;=1,I44&lt;=3,ISNUMBER(J44),J44=INT(J44),J44&gt;=1,J44&lt;=3),I44*J44,"")</x:f>
        <x:v>6</x:v>
      </x:c>
      <x:c r="L44" s="26" t="str">
        <x:f>IF(K44="","",IF(K44&lt;=2,"LOW",IF(K44&lt;=4,"MEDIUM","HIGH")))</x:f>
        <x:v>HIGH</x:v>
      </x:c>
      <x:c r="M44" s="25" t="str">
        <x:v>Task rotation, adjustable equipment, team lifting, and safe-patient-handling guidance are used.</x:v>
      </x:c>
      <x:c r="N44" s="25" t="str">
        <x:v>Complete an ergonomic task assessment and implement equipment or workflow changes to reduce force and repetition.</x:v>
      </x:c>
      <x:c r="O44" s="30" t="b">
        <x:v>0</x:v>
      </x:c>
      <x:c r="P44" s="27" t="str">
        <x:v>ERGONOMIC</x:v>
      </x:c>
      <x:c r="Q44" s="27" t="str">
        <x:v>unnatural_posture</x:v>
      </x:c>
      <x:c r="R44" s="27" t="str"/>
      <x:c r="S44" s="31" t="b">
        <x:v>1</x:v>
      </x:c>
      <x:c r="T44" s="27" t="str">
        <x:v>ASM-2026-006</x:v>
      </x:c>
      <x:c r="U44" s="27" t="str">
        <x:v>HZ-2026-006-03</x:v>
      </x:c>
    </x:row>
    <x:row r="45">
      <x:c r="A45" s="28" t="str">
        <x:v>Child Development</x:v>
      </x:c>
      <x:c r="B45" s="37" t="n">
        <x:v>46192</x:v>
      </x:c>
      <x:c r="C45" s="26" t="str">
        <x:v>RAH01-2026-006</x:v>
      </x:c>
      <x:c r="D45" s="36" t="n">
        <x:v>4</x:v>
      </x:c>
      <x:c r="E45" s="26" t="str">
        <x:v>Ergonomic Hazards</x:v>
      </x:c>
      <x:c r="F45" s="26" t="str">
        <x:v>Prolonged Standing or Sitting</x:v>
      </x:c>
      <x:c r="G45" s="35" t="n">
        <x:v>22</x:v>
      </x:c>
      <x:c r="H45" s="35" t="n">
        <x:v>20</x:v>
      </x:c>
      <x:c r="I45" s="35" t="n">
        <x:v>2</x:v>
      </x:c>
      <x:c r="J45" s="35" t="n">
        <x:v>3</x:v>
      </x:c>
      <x:c r="K45" s="36" t="n">
        <x:f>IF(AND(S45=TRUE,ISNUMBER(I45),I45=INT(I45),I45&gt;=1,I45&lt;=3,ISNUMBER(J45),J45=INT(J45),J45&gt;=1,J45&lt;=3),I45*J45,"")</x:f>
        <x:v>6</x:v>
      </x:c>
      <x:c r="L45" s="26" t="str">
        <x:f>IF(K45="","",IF(K45&lt;=2,"LOW",IF(K45&lt;=4,"MEDIUM","HIGH")))</x:f>
        <x:v>HIGH</x:v>
      </x:c>
      <x:c r="M45" s="25" t="str">
        <x:v>Task rotation, adjustable equipment, team lifting, and safe-patient-handling guidance are used.</x:v>
      </x:c>
      <x:c r="N45" s="25" t="str">
        <x:v>Complete an ergonomic task assessment and implement equipment or workflow changes to reduce force and repetition.</x:v>
      </x:c>
      <x:c r="O45" s="30" t="b">
        <x:v>1</x:v>
      </x:c>
      <x:c r="P45" s="27" t="str">
        <x:v>ERGONOMIC</x:v>
      </x:c>
      <x:c r="Q45" s="27" t="str">
        <x:v>prolonged_standing_sitting</x:v>
      </x:c>
      <x:c r="R45" s="27" t="str"/>
      <x:c r="S45" s="31" t="b">
        <x:v>1</x:v>
      </x:c>
      <x:c r="T45" s="27" t="str">
        <x:v>ASM-2026-006</x:v>
      </x:c>
      <x:c r="U45" s="27" t="str">
        <x:v>HZ-2026-006-04</x:v>
      </x:c>
    </x:row>
    <x:row r="46">
      <x:c r="A46" s="28" t="str">
        <x:v>Child Development</x:v>
      </x:c>
      <x:c r="B46" s="37" t="n">
        <x:v>46192</x:v>
      </x:c>
      <x:c r="C46" s="26" t="str">
        <x:v>RAH01-2026-006</x:v>
      </x:c>
      <x:c r="D46" s="36" t="n">
        <x:v>5</x:v>
      </x:c>
      <x:c r="E46" s="26" t="str">
        <x:v>Safety and Accident Hazards</x:v>
      </x:c>
      <x:c r="F46" s="26" t="str">
        <x:v>Sharps / Needlestick</x:v>
      </x:c>
      <x:c r="G46" s="35" t="n">
        <x:v>25</x:v>
      </x:c>
      <x:c r="H46" s="35" t="n">
        <x:v>27</x:v>
      </x:c>
      <x:c r="I46" s="35" t="n">
        <x:v>3</x:v>
      </x:c>
      <x:c r="J46" s="35" t="n">
        <x:v>3</x:v>
      </x:c>
      <x:c r="K46" s="36" t="n">
        <x:f>IF(AND(S46=TRUE,ISNUMBER(I46),I46=INT(I46),I46&gt;=1,I46&lt;=3,ISNUMBER(J46),J46=INT(J46),J46&gt;=1,J46&lt;=3),I46*J46,"")</x:f>
        <x:v>9</x:v>
      </x:c>
      <x:c r="L46" s="26" t="str">
        <x:f>IF(K46="","",IF(K46&lt;=2,"LOW",IF(K46&lt;=4,"MEDIUM","HIGH")))</x:f>
        <x:v>HIGH</x:v>
      </x:c>
      <x:c r="M46" s="25" t="str">
        <x:v>Safe-work procedures, inspection, housekeeping, guards, and incident reporting are implemented.</x:v>
      </x:c>
      <x:c r="N46" s="25" t="str">
        <x:v>Correct the unsafe condition, document ownership, and verify effectiveness through a follow-up inspection.</x:v>
      </x:c>
      <x:c r="O46" s="30" t="b">
        <x:v>0</x:v>
      </x:c>
      <x:c r="P46" s="27" t="str">
        <x:v>SAFETY_ACCIDENT</x:v>
      </x:c>
      <x:c r="Q46" s="27" t="str">
        <x:v>sharps</x:v>
      </x:c>
      <x:c r="R46" s="27" t="str"/>
      <x:c r="S46" s="31" t="b">
        <x:v>1</x:v>
      </x:c>
      <x:c r="T46" s="27" t="str">
        <x:v>ASM-2026-006</x:v>
      </x:c>
      <x:c r="U46" s="27" t="str">
        <x:v>HZ-2026-006-05</x:v>
      </x:c>
    </x:row>
    <x:row r="47">
      <x:c r="A47" s="28" t="str">
        <x:v>Child Development</x:v>
      </x:c>
      <x:c r="B47" s="37" t="n">
        <x:v>46192</x:v>
      </x:c>
      <x:c r="C47" s="26" t="str">
        <x:v>RAH01-2026-006</x:v>
      </x:c>
      <x:c r="D47" s="36" t="n">
        <x:v>6</x:v>
      </x:c>
      <x:c r="E47" s="26" t="str">
        <x:v>Physical Hazards</x:v>
      </x:c>
      <x:c r="F47" s="26" t="str">
        <x:v>Lighting</x:v>
      </x:c>
      <x:c r="G47" s="35" t="n">
        <x:v>28</x:v>
      </x:c>
      <x:c r="H47" s="35" t="n">
        <x:v>3</x:v>
      </x:c>
      <x:c r="I47" s="35" t="n">
        <x:v>3</x:v>
      </x:c>
      <x:c r="J47" s="35" t="n">
        <x:v>2</x:v>
      </x:c>
      <x:c r="K47" s="36" t="n">
        <x:f>IF(AND(S47=TRUE,ISNUMBER(I47),I47=INT(I47),I47&gt;=1,I47&lt;=3,ISNUMBER(J47),J47=INT(J47),J47&gt;=1,J47&lt;=3),I47*J47,"")</x:f>
        <x:v>6</x:v>
      </x:c>
      <x:c r="L47" s="26" t="str">
        <x:f>IF(K47="","",IF(K47&lt;=2,"LOW",IF(K47&lt;=4,"MEDIUM","HIGH")))</x:f>
        <x:v>HIGH</x:v>
      </x:c>
      <x:c r="M47" s="25" t="str">
        <x:v>Engineering controls, preventive maintenance, posted limits, and periodic exposure monitoring are in place.</x:v>
      </x:c>
      <x:c r="N47" s="25" t="str">
        <x:v>Measure exposure against the hospital standard and close any engineering-control gap within 90 days.</x:v>
      </x:c>
      <x:c r="O47" s="30" t="b">
        <x:v>0</x:v>
      </x:c>
      <x:c r="P47" s="27" t="str">
        <x:v>PHYSICAL</x:v>
      </x:c>
      <x:c r="Q47" s="27" t="str">
        <x:v>lighting</x:v>
      </x:c>
      <x:c r="R47" s="27" t="str"/>
      <x:c r="S47" s="31" t="b">
        <x:v>1</x:v>
      </x:c>
      <x:c r="T47" s="27" t="str">
        <x:v>ASM-2026-006</x:v>
      </x:c>
      <x:c r="U47" s="27" t="str">
        <x:v>HZ-2026-006-06</x:v>
      </x:c>
    </x:row>
    <x:row r="48">
      <x:c r="A48" s="28" t="str">
        <x:v>Child Development</x:v>
      </x:c>
      <x:c r="B48" s="37" t="n">
        <x:v>46192</x:v>
      </x:c>
      <x:c r="C48" s="26" t="str">
        <x:v>RAH01-2026-006</x:v>
      </x:c>
      <x:c r="D48" s="36" t="n">
        <x:v>7</x:v>
      </x:c>
      <x:c r="E48" s="26" t="str">
        <x:v>Psychosocial Hazards</x:v>
      </x:c>
      <x:c r="F48" s="26" t="str">
        <x:v>Work Stress</x:v>
      </x:c>
      <x:c r="G48" s="35" t="n">
        <x:v>31</x:v>
      </x:c>
      <x:c r="H48" s="35" t="n">
        <x:v>10</x:v>
      </x:c>
      <x:c r="I48" s="35" t="n">
        <x:v>2</x:v>
      </x:c>
      <x:c r="J48" s="35" t="n">
        <x:v>3</x:v>
      </x:c>
      <x:c r="K48" s="36" t="n">
        <x:f>IF(AND(S48=TRUE,ISNUMBER(I48),I48=INT(I48),I48&gt;=1,I48&lt;=3,ISNUMBER(J48),J48=INT(J48),J48&gt;=1,J48&lt;=3),I48*J48,"")</x:f>
        <x:v>6</x:v>
      </x:c>
      <x:c r="L48" s="26" t="str">
        <x:f>IF(K48="","",IF(K48&lt;=2,"LOW",IF(K48&lt;=4,"MEDIUM","HIGH")))</x:f>
        <x:v>HIGH</x:v>
      </x:c>
      <x:c r="M48" s="25" t="str">
        <x:v>Shift planning, escalation pathways, security support, breaks, and supervisor check-ins are available.</x:v>
      </x:c>
      <x:c r="N48" s="25" t="str">
        <x:v>Review staffing, breaks, escalation support, and violence-prevention controls with the department manager.</x:v>
      </x:c>
      <x:c r="O48" s="30" t="b">
        <x:v>1</x:v>
      </x:c>
      <x:c r="P48" s="27" t="str">
        <x:v>PSYCHOSOCIAL</x:v>
      </x:c>
      <x:c r="Q48" s="27" t="str">
        <x:v>work_stress</x:v>
      </x:c>
      <x:c r="R48" s="27" t="str"/>
      <x:c r="S48" s="31" t="b">
        <x:v>1</x:v>
      </x:c>
      <x:c r="T48" s="27" t="str">
        <x:v>ASM-2026-006</x:v>
      </x:c>
      <x:c r="U48" s="27" t="str">
        <x:v>HZ-2026-006-07</x:v>
      </x:c>
    </x:row>
    <x:row r="49">
      <x:c r="A49" s="28" t="str">
        <x:v>Child Development</x:v>
      </x:c>
      <x:c r="B49" s="37" t="n">
        <x:v>46192</x:v>
      </x:c>
      <x:c r="C49" s="26" t="str">
        <x:v>RAH01-2026-006</x:v>
      </x:c>
      <x:c r="D49" s="36" t="n">
        <x:v>8</x:v>
      </x:c>
      <x:c r="E49" s="26" t="str">
        <x:v>Indoor Air Quality Hazards</x:v>
      </x:c>
      <x:c r="F49" s="26" t="str">
        <x:v>Poor Ventilation</x:v>
      </x:c>
      <x:c r="G49" s="35" t="n">
        <x:v>34</x:v>
      </x:c>
      <x:c r="H49" s="35" t="n">
        <x:v>17</x:v>
      </x:c>
      <x:c r="I49" s="35" t="n">
        <x:v>3</x:v>
      </x:c>
      <x:c r="J49" s="35" t="n">
        <x:v>3</x:v>
      </x:c>
      <x:c r="K49" s="36" t="n">
        <x:f>IF(AND(S49=TRUE,ISNUMBER(I49),I49=INT(I49),I49&gt;=1,I49&lt;=3,ISNUMBER(J49),J49=INT(J49),J49&gt;=1,J49&lt;=3),I49*J49,"")</x:f>
        <x:v>9</x:v>
      </x:c>
      <x:c r="L49" s="26" t="str">
        <x:f>IF(K49="","",IF(K49&lt;=2,"LOW",IF(K49&lt;=4,"MEDIUM","HIGH")))</x:f>
        <x:v>HIGH</x:v>
      </x:c>
      <x:c r="M49" s="25" t="str">
        <x:v>Ventilation, cleaning, occupancy management, and environmental inspection are performed.</x:v>
      </x:c>
      <x:c r="N49" s="25" t="str">
        <x:v>Inspect ventilation and moisture sources, then document corrective action and environmental recheck.</x:v>
      </x:c>
      <x:c r="O49" s="30" t="b">
        <x:v>0</x:v>
      </x:c>
      <x:c r="P49" s="27" t="str">
        <x:v>INDOOR_AIR_QUALITY</x:v>
      </x:c>
      <x:c r="Q49" s="27" t="str">
        <x:v>poor_ventilation</x:v>
      </x:c>
      <x:c r="R49" s="27" t="str"/>
      <x:c r="S49" s="31" t="b">
        <x:v>1</x:v>
      </x:c>
      <x:c r="T49" s="27" t="str">
        <x:v>ASM-2026-006</x:v>
      </x:c>
      <x:c r="U49" s="27" t="str">
        <x:v>HZ-2026-006-08</x:v>
      </x:c>
    </x:row>
    <x:row r="50">
      <x:c r="A50" s="28" t="str">
        <x:v>Clinical Nutrition</x:v>
      </x:c>
      <x:c r="B50" s="37" t="n">
        <x:v>46044</x:v>
      </x:c>
      <x:c r="C50" s="26" t="str">
        <x:v>RAH01-2026-007</x:v>
      </x:c>
      <x:c r="D50" s="36" t="n">
        <x:v>1</x:v>
      </x:c>
      <x:c r="E50" s="26" t="str">
        <x:v>Biological Hazards</x:v>
      </x:c>
      <x:c r="F50" s="26" t="str">
        <x:v>Viruses</x:v>
      </x:c>
      <x:c r="G50" s="35" t="n">
        <x:v>15</x:v>
      </x:c>
      <x:c r="H50" s="35" t="n">
        <x:v>4</x:v>
      </x:c>
      <x:c r="I50" s="35" t="n">
        <x:v>2</x:v>
      </x:c>
      <x:c r="J50" s="35" t="n">
        <x:v>2</x:v>
      </x:c>
      <x:c r="K50" s="36" t="n">
        <x:f>IF(AND(S50=TRUE,ISNUMBER(I50),I50=INT(I50),I50&gt;=1,I50&lt;=3,ISNUMBER(J50),J50=INT(J50),J50&gt;=1,J50&lt;=3),I50*J50,"")</x:f>
        <x:v>4</x:v>
      </x:c>
      <x:c r="L50" s="26" t="str">
        <x:f>IF(K50="","",IF(K50&lt;=2,"LOW",IF(K50&lt;=4,"MEDIUM","HIGH")))</x:f>
        <x:v>MEDIUM</x:v>
      </x:c>
      <x:c r="M50" s="25" t="str">
        <x:v>Standard precautions, hand hygiene, vaccination, cleaning, and appropriate PPE are implemented.</x:v>
      </x:c>
      <x:c r="N50" s="25" t="str">
        <x:v>Audit compliance, investigate exposure incidents, and reinforce source-control and PPE practice.</x:v>
      </x:c>
      <x:c r="O50" s="30" t="b">
        <x:v>0</x:v>
      </x:c>
      <x:c r="P50" s="27" t="str">
        <x:v>BIOLOGICAL</x:v>
      </x:c>
      <x:c r="Q50" s="27" t="str">
        <x:v>viruses</x:v>
      </x:c>
      <x:c r="R50" s="27" t="str"/>
      <x:c r="S50" s="31" t="b">
        <x:v>1</x:v>
      </x:c>
      <x:c r="T50" s="27" t="str">
        <x:v>ASM-2026-007</x:v>
      </x:c>
      <x:c r="U50" s="27" t="str">
        <x:v>HZ-2026-007-01</x:v>
      </x:c>
    </x:row>
    <x:row r="51">
      <x:c r="A51" s="28" t="str">
        <x:v>Clinical Nutrition</x:v>
      </x:c>
      <x:c r="B51" s="37" t="n">
        <x:v>46044</x:v>
      </x:c>
      <x:c r="C51" s="26" t="str">
        <x:v>RAH01-2026-007</x:v>
      </x:c>
      <x:c r="D51" s="36" t="n">
        <x:v>2</x:v>
      </x:c>
      <x:c r="E51" s="26" t="str">
        <x:v>Biological Hazards</x:v>
      </x:c>
      <x:c r="F51" s="26" t="str">
        <x:v>Bacteria</x:v>
      </x:c>
      <x:c r="G51" s="35" t="n">
        <x:v>18</x:v>
      </x:c>
      <x:c r="H51" s="35" t="n">
        <x:v>11</x:v>
      </x:c>
      <x:c r="I51" s="35" t="n">
        <x:v>1</x:v>
      </x:c>
      <x:c r="J51" s="35" t="n">
        <x:v>3</x:v>
      </x:c>
      <x:c r="K51" s="36" t="n">
        <x:f>IF(AND(S51=TRUE,ISNUMBER(I51),I51=INT(I51),I51&gt;=1,I51&lt;=3,ISNUMBER(J51),J51=INT(J51),J51&gt;=1,J51&lt;=3),I51*J51,"")</x:f>
        <x:v>3</x:v>
      </x:c>
      <x:c r="L51" s="26" t="str">
        <x:f>IF(K51="","",IF(K51&lt;=2,"LOW",IF(K51&lt;=4,"MEDIUM","HIGH")))</x:f>
        <x:v>MEDIUM</x:v>
      </x:c>
      <x:c r="M51" s="25" t="str">
        <x:v>Standard precautions, hand hygiene, vaccination, cleaning, and appropriate PPE are implemented.</x:v>
      </x:c>
      <x:c r="N51" s="25" t="str">
        <x:v>Audit compliance, investigate exposure incidents, and reinforce source-control and PPE practice.</x:v>
      </x:c>
      <x:c r="O51" s="30" t="b">
        <x:v>0</x:v>
      </x:c>
      <x:c r="P51" s="27" t="str">
        <x:v>BIOLOGICAL</x:v>
      </x:c>
      <x:c r="Q51" s="27" t="str">
        <x:v>bacteria</x:v>
      </x:c>
      <x:c r="R51" s="27" t="str"/>
      <x:c r="S51" s="31" t="b">
        <x:v>1</x:v>
      </x:c>
      <x:c r="T51" s="27" t="str">
        <x:v>ASM-2026-007</x:v>
      </x:c>
      <x:c r="U51" s="27" t="str">
        <x:v>HZ-2026-007-02</x:v>
      </x:c>
    </x:row>
    <x:row r="52">
      <x:c r="A52" s="28" t="str">
        <x:v>Clinical Nutrition</x:v>
      </x:c>
      <x:c r="B52" s="37" t="n">
        <x:v>46044</x:v>
      </x:c>
      <x:c r="C52" s="26" t="str">
        <x:v>RAH01-2026-007</x:v>
      </x:c>
      <x:c r="D52" s="36" t="n">
        <x:v>3</x:v>
      </x:c>
      <x:c r="E52" s="26" t="str">
        <x:v>Safety and Accident Hazards</x:v>
      </x:c>
      <x:c r="F52" s="26" t="str">
        <x:v>Sharps / Needlestick</x:v>
      </x:c>
      <x:c r="G52" s="35" t="n">
        <x:v>21</x:v>
      </x:c>
      <x:c r="H52" s="35" t="n">
        <x:v>18</x:v>
      </x:c>
      <x:c r="I52" s="35" t="n">
        <x:v>3</x:v>
      </x:c>
      <x:c r="J52" s="35" t="n">
        <x:v>1</x:v>
      </x:c>
      <x:c r="K52" s="36" t="n">
        <x:f>IF(AND(S52=TRUE,ISNUMBER(I52),I52=INT(I52),I52&gt;=1,I52&lt;=3,ISNUMBER(J52),J52=INT(J52),J52&gt;=1,J52&lt;=3),I52*J52,"")</x:f>
        <x:v>3</x:v>
      </x:c>
      <x:c r="L52" s="26" t="str">
        <x:f>IF(K52="","",IF(K52&lt;=2,"LOW",IF(K52&lt;=4,"MEDIUM","HIGH")))</x:f>
        <x:v>MEDIUM</x:v>
      </x:c>
      <x:c r="M52" s="25" t="str">
        <x:v>Safe-work procedures, inspection, housekeeping, guards, and incident reporting are implemented.</x:v>
      </x:c>
      <x:c r="N52" s="25" t="str">
        <x:v>Correct the unsafe condition, document ownership, and verify effectiveness through a follow-up inspection.</x:v>
      </x:c>
      <x:c r="O52" s="30" t="b">
        <x:v>0</x:v>
      </x:c>
      <x:c r="P52" s="27" t="str">
        <x:v>SAFETY_ACCIDENT</x:v>
      </x:c>
      <x:c r="Q52" s="27" t="str">
        <x:v>sharps</x:v>
      </x:c>
      <x:c r="R52" s="27" t="str"/>
      <x:c r="S52" s="31" t="b">
        <x:v>1</x:v>
      </x:c>
      <x:c r="T52" s="27" t="str">
        <x:v>ASM-2026-007</x:v>
      </x:c>
      <x:c r="U52" s="27" t="str">
        <x:v>HZ-2026-007-03</x:v>
      </x:c>
    </x:row>
    <x:row r="53">
      <x:c r="A53" s="28" t="str">
        <x:v>Clinical Nutrition</x:v>
      </x:c>
      <x:c r="B53" s="37" t="n">
        <x:v>46044</x:v>
      </x:c>
      <x:c r="C53" s="26" t="str">
        <x:v>RAH01-2026-007</x:v>
      </x:c>
      <x:c r="D53" s="36" t="n">
        <x:v>4</x:v>
      </x:c>
      <x:c r="E53" s="26" t="str">
        <x:v>Ergonomic Hazards</x:v>
      </x:c>
      <x:c r="F53" s="26" t="str">
        <x:v>Heavy Lifting / Patient Transfer</x:v>
      </x:c>
      <x:c r="G53" s="35" t="n">
        <x:v>24</x:v>
      </x:c>
      <x:c r="H53" s="35" t="n">
        <x:v>25</x:v>
      </x:c>
      <x:c r="I53" s="35" t="n">
        <x:v>2</x:v>
      </x:c>
      <x:c r="J53" s="35" t="n">
        <x:v>2</x:v>
      </x:c>
      <x:c r="K53" s="36" t="n">
        <x:f>IF(AND(S53=TRUE,ISNUMBER(I53),I53=INT(I53),I53&gt;=1,I53&lt;=3,ISNUMBER(J53),J53=INT(J53),J53&gt;=1,J53&lt;=3),I53*J53,"")</x:f>
        <x:v>4</x:v>
      </x:c>
      <x:c r="L53" s="26" t="str">
        <x:f>IF(K53="","",IF(K53&lt;=2,"LOW",IF(K53&lt;=4,"MEDIUM","HIGH")))</x:f>
        <x:v>MEDIUM</x:v>
      </x:c>
      <x:c r="M53" s="25" t="str">
        <x:v>Task rotation, adjustable equipment, team lifting, and safe-patient-handling guidance are used.</x:v>
      </x:c>
      <x:c r="N53" s="25" t="str">
        <x:v>Complete an ergonomic task assessment and implement equipment or workflow changes to reduce force and repetition.</x:v>
      </x:c>
      <x:c r="O53" s="30" t="b">
        <x:v>0</x:v>
      </x:c>
      <x:c r="P53" s="27" t="str">
        <x:v>ERGONOMIC</x:v>
      </x:c>
      <x:c r="Q53" s="27" t="str">
        <x:v>heavy_lifting_patient_transfer</x:v>
      </x:c>
      <x:c r="R53" s="27" t="str"/>
      <x:c r="S53" s="31" t="b">
        <x:v>1</x:v>
      </x:c>
      <x:c r="T53" s="27" t="str">
        <x:v>ASM-2026-007</x:v>
      </x:c>
      <x:c r="U53" s="27" t="str">
        <x:v>HZ-2026-007-04</x:v>
      </x:c>
    </x:row>
    <x:row r="54">
      <x:c r="A54" s="28" t="str">
        <x:v>Clinical Nutrition</x:v>
      </x:c>
      <x:c r="B54" s="37" t="n">
        <x:v>46044</x:v>
      </x:c>
      <x:c r="C54" s="26" t="str">
        <x:v>RAH01-2026-007</x:v>
      </x:c>
      <x:c r="D54" s="36" t="n">
        <x:v>5</x:v>
      </x:c>
      <x:c r="E54" s="26" t="str">
        <x:v>Ergonomic Hazards</x:v>
      </x:c>
      <x:c r="F54" s="26" t="str">
        <x:v>Unnatural Posture or Movement</x:v>
      </x:c>
      <x:c r="G54" s="35" t="n">
        <x:v>27</x:v>
      </x:c>
      <x:c r="H54" s="35" t="n">
        <x:v>1</x:v>
      </x:c>
      <x:c r="I54" s="35" t="n">
        <x:v>1</x:v>
      </x:c>
      <x:c r="J54" s="35" t="n">
        <x:v>3</x:v>
      </x:c>
      <x:c r="K54" s="36" t="n">
        <x:f>IF(AND(S54=TRUE,ISNUMBER(I54),I54=INT(I54),I54&gt;=1,I54&lt;=3,ISNUMBER(J54),J54=INT(J54),J54&gt;=1,J54&lt;=3),I54*J54,"")</x:f>
        <x:v>3</x:v>
      </x:c>
      <x:c r="L54" s="26" t="str">
        <x:f>IF(K54="","",IF(K54&lt;=2,"LOW",IF(K54&lt;=4,"MEDIUM","HIGH")))</x:f>
        <x:v>MEDIUM</x:v>
      </x:c>
      <x:c r="M54" s="25" t="str">
        <x:v>Task rotation, adjustable equipment, team lifting, and safe-patient-handling guidance are used.</x:v>
      </x:c>
      <x:c r="N54" s="25" t="str">
        <x:v>Complete an ergonomic task assessment and implement equipment or workflow changes to reduce force and repetition.</x:v>
      </x:c>
      <x:c r="O54" s="30" t="b">
        <x:v>0</x:v>
      </x:c>
      <x:c r="P54" s="27" t="str">
        <x:v>ERGONOMIC</x:v>
      </x:c>
      <x:c r="Q54" s="27" t="str">
        <x:v>unnatural_posture</x:v>
      </x:c>
      <x:c r="R54" s="27" t="str"/>
      <x:c r="S54" s="31" t="b">
        <x:v>1</x:v>
      </x:c>
      <x:c r="T54" s="27" t="str">
        <x:v>ASM-2026-007</x:v>
      </x:c>
      <x:c r="U54" s="27" t="str">
        <x:v>HZ-2026-007-05</x:v>
      </x:c>
    </x:row>
    <x:row r="55">
      <x:c r="A55" s="28" t="str">
        <x:v>Clinical Nutrition</x:v>
      </x:c>
      <x:c r="B55" s="37" t="n">
        <x:v>46044</x:v>
      </x:c>
      <x:c r="C55" s="26" t="str">
        <x:v>RAH01-2026-007</x:v>
      </x:c>
      <x:c r="D55" s="36" t="n">
        <x:v>6</x:v>
      </x:c>
      <x:c r="E55" s="26" t="str">
        <x:v>Psychosocial Hazards</x:v>
      </x:c>
      <x:c r="F55" s="26" t="str">
        <x:v>Work Stress</x:v>
      </x:c>
      <x:c r="G55" s="35" t="n">
        <x:v>30</x:v>
      </x:c>
      <x:c r="H55" s="35" t="n">
        <x:v>8</x:v>
      </x:c>
      <x:c r="I55" s="35" t="n">
        <x:v>3</x:v>
      </x:c>
      <x:c r="J55" s="35" t="n">
        <x:v>1</x:v>
      </x:c>
      <x:c r="K55" s="36" t="n">
        <x:f>IF(AND(S55=TRUE,ISNUMBER(I55),I55=INT(I55),I55&gt;=1,I55&lt;=3,ISNUMBER(J55),J55=INT(J55),J55&gt;=1,J55&lt;=3),I55*J55,"")</x:f>
        <x:v>3</x:v>
      </x:c>
      <x:c r="L55" s="26" t="str">
        <x:f>IF(K55="","",IF(K55&lt;=2,"LOW",IF(K55&lt;=4,"MEDIUM","HIGH")))</x:f>
        <x:v>MEDIUM</x:v>
      </x:c>
      <x:c r="M55" s="25" t="str">
        <x:v>Shift planning, escalation pathways, security support, breaks, and supervisor check-ins are available.</x:v>
      </x:c>
      <x:c r="N55" s="25" t="str">
        <x:v>Review staffing, breaks, escalation support, and violence-prevention controls with the department manager.</x:v>
      </x:c>
      <x:c r="O55" s="30" t="b">
        <x:v>0</x:v>
      </x:c>
      <x:c r="P55" s="27" t="str">
        <x:v>PSYCHOSOCIAL</x:v>
      </x:c>
      <x:c r="Q55" s="27" t="str">
        <x:v>work_stress</x:v>
      </x:c>
      <x:c r="R55" s="27" t="str"/>
      <x:c r="S55" s="31" t="b">
        <x:v>1</x:v>
      </x:c>
      <x:c r="T55" s="27" t="str">
        <x:v>ASM-2026-007</x:v>
      </x:c>
      <x:c r="U55" s="27" t="str">
        <x:v>HZ-2026-007-06</x:v>
      </x:c>
    </x:row>
    <x:row r="56">
      <x:c r="A56" s="28" t="str">
        <x:v>Clinical Nutrition</x:v>
      </x:c>
      <x:c r="B56" s="37" t="n">
        <x:v>46044</x:v>
      </x:c>
      <x:c r="C56" s="26" t="str">
        <x:v>RAH01-2026-007</x:v>
      </x:c>
      <x:c r="D56" s="36" t="n">
        <x:v>7</x:v>
      </x:c>
      <x:c r="E56" s="26" t="str">
        <x:v>Safety and Accident Hazards</x:v>
      </x:c>
      <x:c r="F56" s="26" t="str">
        <x:v>Pathway Obstruction</x:v>
      </x:c>
      <x:c r="G56" s="35" t="n">
        <x:v>33</x:v>
      </x:c>
      <x:c r="H56" s="35" t="n">
        <x:v>15</x:v>
      </x:c>
      <x:c r="I56" s="35" t="n">
        <x:v>2</x:v>
      </x:c>
      <x:c r="J56" s="35" t="n">
        <x:v>2</x:v>
      </x:c>
      <x:c r="K56" s="36" t="n">
        <x:f>IF(AND(S56=TRUE,ISNUMBER(I56),I56=INT(I56),I56&gt;=1,I56&lt;=3,ISNUMBER(J56),J56=INT(J56),J56&gt;=1,J56&lt;=3),I56*J56,"")</x:f>
        <x:v>4</x:v>
      </x:c>
      <x:c r="L56" s="26" t="str">
        <x:f>IF(K56="","",IF(K56&lt;=2,"LOW",IF(K56&lt;=4,"MEDIUM","HIGH")))</x:f>
        <x:v>MEDIUM</x:v>
      </x:c>
      <x:c r="M56" s="25" t="str">
        <x:v>Safe-work procedures, inspection, housekeeping, guards, and incident reporting are implemented.</x:v>
      </x:c>
      <x:c r="N56" s="25" t="str">
        <x:v>Correct the unsafe condition, document ownership, and verify effectiveness through a follow-up inspection.</x:v>
      </x:c>
      <x:c r="O56" s="30" t="b">
        <x:v>0</x:v>
      </x:c>
      <x:c r="P56" s="27" t="str">
        <x:v>SAFETY_ACCIDENT</x:v>
      </x:c>
      <x:c r="Q56" s="27" t="str">
        <x:v>pathway_obstruction</x:v>
      </x:c>
      <x:c r="R56" s="27" t="str"/>
      <x:c r="S56" s="31" t="b">
        <x:v>1</x:v>
      </x:c>
      <x:c r="T56" s="27" t="str">
        <x:v>ASM-2026-007</x:v>
      </x:c>
      <x:c r="U56" s="27" t="str">
        <x:v>HZ-2026-007-07</x:v>
      </x:c>
    </x:row>
    <x:row r="57">
      <x:c r="A57" s="28" t="str">
        <x:v>Dental</x:v>
      </x:c>
      <x:c r="B57" s="37" t="n">
        <x:v>46078</x:v>
      </x:c>
      <x:c r="C57" s="26" t="str">
        <x:v>RAH01-2026-008</x:v>
      </x:c>
      <x:c r="D57" s="36" t="n">
        <x:v>1</x:v>
      </x:c>
      <x:c r="E57" s="26" t="str">
        <x:v>Biological Hazards</x:v>
      </x:c>
      <x:c r="F57" s="26" t="str">
        <x:v>Viruses</x:v>
      </x:c>
      <x:c r="G57" s="35" t="n">
        <x:v>17</x:v>
      </x:c>
      <x:c r="H57" s="35" t="n">
        <x:v>9</x:v>
      </x:c>
      <x:c r="I57" s="35" t="n">
        <x:v>3</x:v>
      </x:c>
      <x:c r="J57" s="35" t="n">
        <x:v>3</x:v>
      </x:c>
      <x:c r="K57" s="36" t="n">
        <x:f>IF(AND(S57=TRUE,ISNUMBER(I57),I57=INT(I57),I57&gt;=1,I57&lt;=3,ISNUMBER(J57),J57=INT(J57),J57&gt;=1,J57&lt;=3),I57*J57,"")</x:f>
        <x:v>9</x:v>
      </x:c>
      <x:c r="L57" s="26" t="str">
        <x:f>IF(K57="","",IF(K57&lt;=2,"LOW",IF(K57&lt;=4,"MEDIUM","HIGH")))</x:f>
        <x:v>HIGH</x:v>
      </x:c>
      <x:c r="M57" s="25" t="str">
        <x:v>Standard precautions, hand hygiene, vaccination, cleaning, and appropriate PPE are implemented.</x:v>
      </x:c>
      <x:c r="N57" s="25" t="str">
        <x:v>Audit compliance, investigate exposure incidents, and reinforce source-control and PPE practice.</x:v>
      </x:c>
      <x:c r="O57" s="30" t="b">
        <x:v>0</x:v>
      </x:c>
      <x:c r="P57" s="27" t="str">
        <x:v>BIOLOGICAL</x:v>
      </x:c>
      <x:c r="Q57" s="27" t="str">
        <x:v>viruses</x:v>
      </x:c>
      <x:c r="R57" s="27" t="str"/>
      <x:c r="S57" s="31" t="b">
        <x:v>1</x:v>
      </x:c>
      <x:c r="T57" s="27" t="str">
        <x:v>ASM-2026-008</x:v>
      </x:c>
      <x:c r="U57" s="27" t="str">
        <x:v>HZ-2026-008-01</x:v>
      </x:c>
    </x:row>
    <x:row r="58">
      <x:c r="A58" s="28" t="str">
        <x:v>Dental</x:v>
      </x:c>
      <x:c r="B58" s="37" t="n">
        <x:v>46078</x:v>
      </x:c>
      <x:c r="C58" s="26" t="str">
        <x:v>RAH01-2026-008</x:v>
      </x:c>
      <x:c r="D58" s="36" t="n">
        <x:v>2</x:v>
      </x:c>
      <x:c r="E58" s="26" t="str">
        <x:v>Biological Hazards</x:v>
      </x:c>
      <x:c r="F58" s="26" t="str">
        <x:v>Bacteria</x:v>
      </x:c>
      <x:c r="G58" s="35" t="n">
        <x:v>20</x:v>
      </x:c>
      <x:c r="H58" s="35" t="n">
        <x:v>16</x:v>
      </x:c>
      <x:c r="I58" s="35" t="n">
        <x:v>3</x:v>
      </x:c>
      <x:c r="J58" s="35" t="n">
        <x:v>2</x:v>
      </x:c>
      <x:c r="K58" s="36" t="n">
        <x:f>IF(AND(S58=TRUE,ISNUMBER(I58),I58=INT(I58),I58&gt;=1,I58&lt;=3,ISNUMBER(J58),J58=INT(J58),J58&gt;=1,J58&lt;=3),I58*J58,"")</x:f>
        <x:v>6</x:v>
      </x:c>
      <x:c r="L58" s="26" t="str">
        <x:f>IF(K58="","",IF(K58&lt;=2,"LOW",IF(K58&lt;=4,"MEDIUM","HIGH")))</x:f>
        <x:v>HIGH</x:v>
      </x:c>
      <x:c r="M58" s="25" t="str">
        <x:v>Standard precautions, hand hygiene, vaccination, cleaning, and appropriate PPE are implemented.</x:v>
      </x:c>
      <x:c r="N58" s="25" t="str">
        <x:v>Audit compliance, investigate exposure incidents, and reinforce source-control and PPE practice.</x:v>
      </x:c>
      <x:c r="O58" s="30" t="b">
        <x:v>1</x:v>
      </x:c>
      <x:c r="P58" s="27" t="str">
        <x:v>BIOLOGICAL</x:v>
      </x:c>
      <x:c r="Q58" s="27" t="str">
        <x:v>bacteria</x:v>
      </x:c>
      <x:c r="R58" s="27" t="str"/>
      <x:c r="S58" s="31" t="b">
        <x:v>1</x:v>
      </x:c>
      <x:c r="T58" s="27" t="str">
        <x:v>ASM-2026-008</x:v>
      </x:c>
      <x:c r="U58" s="27" t="str">
        <x:v>HZ-2026-008-02</x:v>
      </x:c>
    </x:row>
    <x:row r="59">
      <x:c r="A59" s="28" t="str">
        <x:v>Dental</x:v>
      </x:c>
      <x:c r="B59" s="37" t="n">
        <x:v>46078</x:v>
      </x:c>
      <x:c r="C59" s="26" t="str">
        <x:v>RAH01-2026-008</x:v>
      </x:c>
      <x:c r="D59" s="36" t="n">
        <x:v>3</x:v>
      </x:c>
      <x:c r="E59" s="26" t="str">
        <x:v>Safety and Accident Hazards</x:v>
      </x:c>
      <x:c r="F59" s="26" t="str">
        <x:v>Sharps / Needlestick</x:v>
      </x:c>
      <x:c r="G59" s="35" t="n">
        <x:v>23</x:v>
      </x:c>
      <x:c r="H59" s="35" t="n">
        <x:v>23</x:v>
      </x:c>
      <x:c r="I59" s="35" t="n">
        <x:v>2</x:v>
      </x:c>
      <x:c r="J59" s="35" t="n">
        <x:v>3</x:v>
      </x:c>
      <x:c r="K59" s="36" t="n">
        <x:f>IF(AND(S59=TRUE,ISNUMBER(I59),I59=INT(I59),I59&gt;=1,I59&lt;=3,ISNUMBER(J59),J59=INT(J59),J59&gt;=1,J59&lt;=3),I59*J59,"")</x:f>
        <x:v>6</x:v>
      </x:c>
      <x:c r="L59" s="26" t="str">
        <x:f>IF(K59="","",IF(K59&lt;=2,"LOW",IF(K59&lt;=4,"MEDIUM","HIGH")))</x:f>
        <x:v>HIGH</x:v>
      </x:c>
      <x:c r="M59" s="25" t="str">
        <x:v>Safe-work procedures, inspection, housekeeping, guards, and incident reporting are implemented.</x:v>
      </x:c>
      <x:c r="N59" s="25" t="str">
        <x:v>Correct the unsafe condition, document ownership, and verify effectiveness through a follow-up inspection.</x:v>
      </x:c>
      <x:c r="O59" s="30" t="b">
        <x:v>0</x:v>
      </x:c>
      <x:c r="P59" s="27" t="str">
        <x:v>SAFETY_ACCIDENT</x:v>
      </x:c>
      <x:c r="Q59" s="27" t="str">
        <x:v>sharps</x:v>
      </x:c>
      <x:c r="R59" s="27" t="str"/>
      <x:c r="S59" s="31" t="b">
        <x:v>1</x:v>
      </x:c>
      <x:c r="T59" s="27" t="str">
        <x:v>ASM-2026-008</x:v>
      </x:c>
      <x:c r="U59" s="27" t="str">
        <x:v>HZ-2026-008-03</x:v>
      </x:c>
    </x:row>
    <x:row r="60">
      <x:c r="A60" s="28" t="str">
        <x:v>Dental</x:v>
      </x:c>
      <x:c r="B60" s="37" t="n">
        <x:v>46078</x:v>
      </x:c>
      <x:c r="C60" s="26" t="str">
        <x:v>RAH01-2026-008</x:v>
      </x:c>
      <x:c r="D60" s="36" t="n">
        <x:v>4</x:v>
      </x:c>
      <x:c r="E60" s="26" t="str">
        <x:v>Ergonomic Hazards</x:v>
      </x:c>
      <x:c r="F60" s="26" t="str">
        <x:v>Heavy Lifting / Patient Transfer</x:v>
      </x:c>
      <x:c r="G60" s="35" t="n">
        <x:v>26</x:v>
      </x:c>
      <x:c r="H60" s="35" t="n">
        <x:v>30</x:v>
      </x:c>
      <x:c r="I60" s="35" t="n">
        <x:v>3</x:v>
      </x:c>
      <x:c r="J60" s="35" t="n">
        <x:v>3</x:v>
      </x:c>
      <x:c r="K60" s="36" t="n">
        <x:f>IF(AND(S60=TRUE,ISNUMBER(I60),I60=INT(I60),I60&gt;=1,I60&lt;=3,ISNUMBER(J60),J60=INT(J60),J60&gt;=1,J60&lt;=3),I60*J60,"")</x:f>
        <x:v>9</x:v>
      </x:c>
      <x:c r="L60" s="26" t="str">
        <x:f>IF(K60="","",IF(K60&lt;=2,"LOW",IF(K60&lt;=4,"MEDIUM","HIGH")))</x:f>
        <x:v>HIGH</x:v>
      </x:c>
      <x:c r="M60" s="25" t="str">
        <x:v>Task rotation, adjustable equipment, team lifting, and safe-patient-handling guidance are used.</x:v>
      </x:c>
      <x:c r="N60" s="25" t="str">
        <x:v>Complete an ergonomic task assessment and implement equipment or workflow changes to reduce force and repetition.</x:v>
      </x:c>
      <x:c r="O60" s="30" t="b">
        <x:v>0</x:v>
      </x:c>
      <x:c r="P60" s="27" t="str">
        <x:v>ERGONOMIC</x:v>
      </x:c>
      <x:c r="Q60" s="27" t="str">
        <x:v>heavy_lifting_patient_transfer</x:v>
      </x:c>
      <x:c r="R60" s="27" t="str"/>
      <x:c r="S60" s="31" t="b">
        <x:v>1</x:v>
      </x:c>
      <x:c r="T60" s="27" t="str">
        <x:v>ASM-2026-008</x:v>
      </x:c>
      <x:c r="U60" s="27" t="str">
        <x:v>HZ-2026-008-04</x:v>
      </x:c>
    </x:row>
    <x:row r="61">
      <x:c r="A61" s="28" t="str">
        <x:v>Dental</x:v>
      </x:c>
      <x:c r="B61" s="37" t="n">
        <x:v>46078</x:v>
      </x:c>
      <x:c r="C61" s="26" t="str">
        <x:v>RAH01-2026-008</x:v>
      </x:c>
      <x:c r="D61" s="36" t="n">
        <x:v>5</x:v>
      </x:c>
      <x:c r="E61" s="26" t="str">
        <x:v>Ergonomic Hazards</x:v>
      </x:c>
      <x:c r="F61" s="26" t="str">
        <x:v>Unnatural Posture or Movement</x:v>
      </x:c>
      <x:c r="G61" s="35" t="n">
        <x:v>29</x:v>
      </x:c>
      <x:c r="H61" s="35" t="n">
        <x:v>6</x:v>
      </x:c>
      <x:c r="I61" s="35" t="n">
        <x:v>3</x:v>
      </x:c>
      <x:c r="J61" s="35" t="n">
        <x:v>2</x:v>
      </x:c>
      <x:c r="K61" s="36" t="n">
        <x:f>IF(AND(S61=TRUE,ISNUMBER(I61),I61=INT(I61),I61&gt;=1,I61&lt;=3,ISNUMBER(J61),J61=INT(J61),J61&gt;=1,J61&lt;=3),I61*J61,"")</x:f>
        <x:v>6</x:v>
      </x:c>
      <x:c r="L61" s="26" t="str">
        <x:f>IF(K61="","",IF(K61&lt;=2,"LOW",IF(K61&lt;=4,"MEDIUM","HIGH")))</x:f>
        <x:v>HIGH</x:v>
      </x:c>
      <x:c r="M61" s="25" t="str">
        <x:v>Task rotation, adjustable equipment, team lifting, and safe-patient-handling guidance are used.</x:v>
      </x:c>
      <x:c r="N61" s="25" t="str">
        <x:v>Complete an ergonomic task assessment and implement equipment or workflow changes to reduce force and repetition.</x:v>
      </x:c>
      <x:c r="O61" s="30" t="b">
        <x:v>1</x:v>
      </x:c>
      <x:c r="P61" s="27" t="str">
        <x:v>ERGONOMIC</x:v>
      </x:c>
      <x:c r="Q61" s="27" t="str">
        <x:v>unnatural_posture</x:v>
      </x:c>
      <x:c r="R61" s="27" t="str"/>
      <x:c r="S61" s="31" t="b">
        <x:v>1</x:v>
      </x:c>
      <x:c r="T61" s="27" t="str">
        <x:v>ASM-2026-008</x:v>
      </x:c>
      <x:c r="U61" s="27" t="str">
        <x:v>HZ-2026-008-05</x:v>
      </x:c>
    </x:row>
    <x:row r="62">
      <x:c r="A62" s="28" t="str">
        <x:v>Dental</x:v>
      </x:c>
      <x:c r="B62" s="37" t="n">
        <x:v>46078</x:v>
      </x:c>
      <x:c r="C62" s="26" t="str">
        <x:v>RAH01-2026-008</x:v>
      </x:c>
      <x:c r="D62" s="36" t="n">
        <x:v>6</x:v>
      </x:c>
      <x:c r="E62" s="26" t="str">
        <x:v>Psychosocial Hazards</x:v>
      </x:c>
      <x:c r="F62" s="26" t="str">
        <x:v>Work Stress</x:v>
      </x:c>
      <x:c r="G62" s="35" t="n">
        <x:v>32</x:v>
      </x:c>
      <x:c r="H62" s="35" t="n">
        <x:v>13</x:v>
      </x:c>
      <x:c r="I62" s="35" t="n">
        <x:v>2</x:v>
      </x:c>
      <x:c r="J62" s="35" t="n">
        <x:v>3</x:v>
      </x:c>
      <x:c r="K62" s="36" t="n">
        <x:f>IF(AND(S62=TRUE,ISNUMBER(I62),I62=INT(I62),I62&gt;=1,I62&lt;=3,ISNUMBER(J62),J62=INT(J62),J62&gt;=1,J62&lt;=3),I62*J62,"")</x:f>
        <x:v>6</x:v>
      </x:c>
      <x:c r="L62" s="26" t="str">
        <x:f>IF(K62="","",IF(K62&lt;=2,"LOW",IF(K62&lt;=4,"MEDIUM","HIGH")))</x:f>
        <x:v>HIGH</x:v>
      </x:c>
      <x:c r="M62" s="25" t="str">
        <x:v>Shift planning, escalation pathways, security support, breaks, and supervisor check-ins are available.</x:v>
      </x:c>
      <x:c r="N62" s="25" t="str">
        <x:v>Review staffing, breaks, escalation support, and violence-prevention controls with the department manager.</x:v>
      </x:c>
      <x:c r="O62" s="30" t="b">
        <x:v>0</x:v>
      </x:c>
      <x:c r="P62" s="27" t="str">
        <x:v>PSYCHOSOCIAL</x:v>
      </x:c>
      <x:c r="Q62" s="27" t="str">
        <x:v>work_stress</x:v>
      </x:c>
      <x:c r="R62" s="27" t="str"/>
      <x:c r="S62" s="31" t="b">
        <x:v>1</x:v>
      </x:c>
      <x:c r="T62" s="27" t="str">
        <x:v>ASM-2026-008</x:v>
      </x:c>
      <x:c r="U62" s="27" t="str">
        <x:v>HZ-2026-008-06</x:v>
      </x:c>
    </x:row>
    <x:row r="63">
      <x:c r="A63" s="28" t="str">
        <x:v>Dental</x:v>
      </x:c>
      <x:c r="B63" s="37" t="n">
        <x:v>46078</x:v>
      </x:c>
      <x:c r="C63" s="26" t="str">
        <x:v>RAH01-2026-008</x:v>
      </x:c>
      <x:c r="D63" s="36" t="n">
        <x:v>7</x:v>
      </x:c>
      <x:c r="E63" s="26" t="str">
        <x:v>Physical Hazards</x:v>
      </x:c>
      <x:c r="F63" s="26" t="str">
        <x:v>Lighting</x:v>
      </x:c>
      <x:c r="G63" s="35" t="n">
        <x:v>35</x:v>
      </x:c>
      <x:c r="H63" s="35" t="n">
        <x:v>20</x:v>
      </x:c>
      <x:c r="I63" s="35" t="n">
        <x:v>3</x:v>
      </x:c>
      <x:c r="J63" s="35" t="n">
        <x:v>3</x:v>
      </x:c>
      <x:c r="K63" s="36" t="n">
        <x:f>IF(AND(S63=TRUE,ISNUMBER(I63),I63=INT(I63),I63&gt;=1,I63&lt;=3,ISNUMBER(J63),J63=INT(J63),J63&gt;=1,J63&lt;=3),I63*J63,"")</x:f>
        <x:v>9</x:v>
      </x:c>
      <x:c r="L63" s="26" t="str">
        <x:f>IF(K63="","",IF(K63&lt;=2,"LOW",IF(K63&lt;=4,"MEDIUM","HIGH")))</x:f>
        <x:v>HIGH</x:v>
      </x:c>
      <x:c r="M63" s="25" t="str">
        <x:v>Engineering controls, preventive maintenance, posted limits, and periodic exposure monitoring are in place.</x:v>
      </x:c>
      <x:c r="N63" s="25" t="str">
        <x:v>Measure exposure against the hospital standard and close any engineering-control gap within 90 days.</x:v>
      </x:c>
      <x:c r="O63" s="30" t="b">
        <x:v>0</x:v>
      </x:c>
      <x:c r="P63" s="27" t="str">
        <x:v>PHYSICAL</x:v>
      </x:c>
      <x:c r="Q63" s="27" t="str">
        <x:v>lighting</x:v>
      </x:c>
      <x:c r="R63" s="27" t="str"/>
      <x:c r="S63" s="31" t="b">
        <x:v>1</x:v>
      </x:c>
      <x:c r="T63" s="27" t="str">
        <x:v>ASM-2026-008</x:v>
      </x:c>
      <x:c r="U63" s="27" t="str">
        <x:v>HZ-2026-008-07</x:v>
      </x:c>
    </x:row>
    <x:row r="64">
      <x:c r="A64" s="28" t="str">
        <x:v>Dermatology</x:v>
      </x:c>
      <x:c r="B64" s="37" t="n">
        <x:v>46084</x:v>
      </x:c>
      <x:c r="C64" s="26" t="str">
        <x:v>RAH01-2026-009</x:v>
      </x:c>
      <x:c r="D64" s="36" t="n">
        <x:v>1</x:v>
      </x:c>
      <x:c r="E64" s="26" t="str">
        <x:v>Biological Hazards</x:v>
      </x:c>
      <x:c r="F64" s="26" t="str">
        <x:v>Viruses</x:v>
      </x:c>
      <x:c r="G64" s="35" t="n">
        <x:v>8</x:v>
      </x:c>
      <x:c r="H64" s="35" t="n">
        <x:v>14</x:v>
      </x:c>
      <x:c r="I64" s="35" t="n">
        <x:v>2</x:v>
      </x:c>
      <x:c r="J64" s="35" t="n">
        <x:v>3</x:v>
      </x:c>
      <x:c r="K64" s="36" t="n">
        <x:f>IF(AND(S64=TRUE,ISNUMBER(I64),I64=INT(I64),I64&gt;=1,I64&lt;=3,ISNUMBER(J64),J64=INT(J64),J64&gt;=1,J64&lt;=3),I64*J64,"")</x:f>
        <x:v>6</x:v>
      </x:c>
      <x:c r="L64" s="26" t="str">
        <x:f>IF(K64="","",IF(K64&lt;=2,"LOW",IF(K64&lt;=4,"MEDIUM","HIGH")))</x:f>
        <x:v>HIGH</x:v>
      </x:c>
      <x:c r="M64" s="25" t="str">
        <x:v>Standard precautions, hand hygiene, vaccination, cleaning, and appropriate PPE are implemented.</x:v>
      </x:c>
      <x:c r="N64" s="25" t="str">
        <x:v>Audit compliance, investigate exposure incidents, and reinforce source-control and PPE practice.</x:v>
      </x:c>
      <x:c r="O64" s="30" t="b">
        <x:v>1</x:v>
      </x:c>
      <x:c r="P64" s="27" t="str">
        <x:v>BIOLOGICAL</x:v>
      </x:c>
      <x:c r="Q64" s="27" t="str">
        <x:v>viruses</x:v>
      </x:c>
      <x:c r="R64" s="27" t="str"/>
      <x:c r="S64" s="31" t="b">
        <x:v>1</x:v>
      </x:c>
      <x:c r="T64" s="27" t="str">
        <x:v>ASM-2026-009</x:v>
      </x:c>
      <x:c r="U64" s="27" t="str">
        <x:v>HZ-2026-009-01</x:v>
      </x:c>
    </x:row>
    <x:row r="65">
      <x:c r="A65" s="28" t="str">
        <x:v>Dermatology</x:v>
      </x:c>
      <x:c r="B65" s="37" t="n">
        <x:v>46084</x:v>
      </x:c>
      <x:c r="C65" s="26" t="str">
        <x:v>RAH01-2026-009</x:v>
      </x:c>
      <x:c r="D65" s="36" t="n">
        <x:v>2</x:v>
      </x:c>
      <x:c r="E65" s="26" t="str">
        <x:v>Biological Hazards</x:v>
      </x:c>
      <x:c r="F65" s="26" t="str">
        <x:v>Bacteria</x:v>
      </x:c>
      <x:c r="G65" s="35" t="n">
        <x:v>11</x:v>
      </x:c>
      <x:c r="H65" s="35" t="n">
        <x:v>21</x:v>
      </x:c>
      <x:c r="I65" s="35" t="n">
        <x:v>3</x:v>
      </x:c>
      <x:c r="J65" s="35" t="n">
        <x:v>3</x:v>
      </x:c>
      <x:c r="K65" s="36" t="n">
        <x:f>IF(AND(S65=TRUE,ISNUMBER(I65),I65=INT(I65),I65&gt;=1,I65&lt;=3,ISNUMBER(J65),J65=INT(J65),J65&gt;=1,J65&lt;=3),I65*J65,"")</x:f>
        <x:v>9</x:v>
      </x:c>
      <x:c r="L65" s="26" t="str">
        <x:f>IF(K65="","",IF(K65&lt;=2,"LOW",IF(K65&lt;=4,"MEDIUM","HIGH")))</x:f>
        <x:v>HIGH</x:v>
      </x:c>
      <x:c r="M65" s="25" t="str">
        <x:v>Standard precautions, hand hygiene, vaccination, cleaning, and appropriate PPE are implemented.</x:v>
      </x:c>
      <x:c r="N65" s="25" t="str">
        <x:v>Audit compliance, investigate exposure incidents, and reinforce source-control and PPE practice.</x:v>
      </x:c>
      <x:c r="O65" s="30" t="b">
        <x:v>0</x:v>
      </x:c>
      <x:c r="P65" s="27" t="str">
        <x:v>BIOLOGICAL</x:v>
      </x:c>
      <x:c r="Q65" s="27" t="str">
        <x:v>bacteria</x:v>
      </x:c>
      <x:c r="R65" s="27" t="str"/>
      <x:c r="S65" s="31" t="b">
        <x:v>1</x:v>
      </x:c>
      <x:c r="T65" s="27" t="str">
        <x:v>ASM-2026-009</x:v>
      </x:c>
      <x:c r="U65" s="27" t="str">
        <x:v>HZ-2026-009-02</x:v>
      </x:c>
    </x:row>
    <x:row r="66">
      <x:c r="A66" s="28" t="str">
        <x:v>Dermatology</x:v>
      </x:c>
      <x:c r="B66" s="37" t="n">
        <x:v>46084</x:v>
      </x:c>
      <x:c r="C66" s="26" t="str">
        <x:v>RAH01-2026-009</x:v>
      </x:c>
      <x:c r="D66" s="36" t="n">
        <x:v>3</x:v>
      </x:c>
      <x:c r="E66" s="26" t="str">
        <x:v>Safety and Accident Hazards</x:v>
      </x:c>
      <x:c r="F66" s="26" t="str">
        <x:v>Sharps / Needlestick</x:v>
      </x:c>
      <x:c r="G66" s="35" t="n">
        <x:v>3</x:v>
      </x:c>
      <x:c r="H66" s="35" t="n">
        <x:v>28</x:v>
      </x:c>
      <x:c r="I66" s="35" t="n">
        <x:v>3</x:v>
      </x:c>
      <x:c r="J66" s="35" t="n">
        <x:v>2</x:v>
      </x:c>
      <x:c r="K66" s="36" t="n">
        <x:f>IF(AND(S66=TRUE,ISNUMBER(I66),I66=INT(I66),I66&gt;=1,I66&lt;=3,ISNUMBER(J66),J66=INT(J66),J66&gt;=1,J66&lt;=3),I66*J66,"")</x:f>
        <x:v>6</x:v>
      </x:c>
      <x:c r="L66" s="26" t="str">
        <x:f>IF(K66="","",IF(K66&lt;=2,"LOW",IF(K66&lt;=4,"MEDIUM","HIGH")))</x:f>
        <x:v>HIGH</x:v>
      </x:c>
      <x:c r="M66" s="25" t="str">
        <x:v>Safe-work procedures, inspection, housekeeping, guards, and incident reporting are implemented.</x:v>
      </x:c>
      <x:c r="N66" s="25" t="str">
        <x:v>Correct the unsafe condition, document ownership, and verify effectiveness through a follow-up inspection.</x:v>
      </x:c>
      <x:c r="O66" s="30" t="b">
        <x:v>0</x:v>
      </x:c>
      <x:c r="P66" s="27" t="str">
        <x:v>SAFETY_ACCIDENT</x:v>
      </x:c>
      <x:c r="Q66" s="27" t="str">
        <x:v>sharps</x:v>
      </x:c>
      <x:c r="R66" s="27" t="str"/>
      <x:c r="S66" s="31" t="b">
        <x:v>1</x:v>
      </x:c>
      <x:c r="T66" s="27" t="str">
        <x:v>ASM-2026-009</x:v>
      </x:c>
      <x:c r="U66" s="27" t="str">
        <x:v>HZ-2026-009-03</x:v>
      </x:c>
    </x:row>
    <x:row r="67">
      <x:c r="A67" s="28" t="str">
        <x:v>Dermatology</x:v>
      </x:c>
      <x:c r="B67" s="37" t="n">
        <x:v>46084</x:v>
      </x:c>
      <x:c r="C67" s="26" t="str">
        <x:v>RAH01-2026-009</x:v>
      </x:c>
      <x:c r="D67" s="36" t="n">
        <x:v>4</x:v>
      </x:c>
      <x:c r="E67" s="26" t="str">
        <x:v>Ergonomic Hazards</x:v>
      </x:c>
      <x:c r="F67" s="26" t="str">
        <x:v>Heavy Lifting / Patient Transfer</x:v>
      </x:c>
      <x:c r="G67" s="35" t="n">
        <x:v>6</x:v>
      </x:c>
      <x:c r="H67" s="35" t="n">
        <x:v>4</x:v>
      </x:c>
      <x:c r="I67" s="35" t="n">
        <x:v>2</x:v>
      </x:c>
      <x:c r="J67" s="35" t="n">
        <x:v>3</x:v>
      </x:c>
      <x:c r="K67" s="36" t="n">
        <x:f>IF(AND(S67=TRUE,ISNUMBER(I67),I67=INT(I67),I67&gt;=1,I67&lt;=3,ISNUMBER(J67),J67=INT(J67),J67&gt;=1,J67&lt;=3),I67*J67,"")</x:f>
        <x:v>6</x:v>
      </x:c>
      <x:c r="L67" s="26" t="str">
        <x:f>IF(K67="","",IF(K67&lt;=2,"LOW",IF(K67&lt;=4,"MEDIUM","HIGH")))</x:f>
        <x:v>HIGH</x:v>
      </x:c>
      <x:c r="M67" s="25" t="str">
        <x:v>Task rotation, adjustable equipment, team lifting, and safe-patient-handling guidance are used.</x:v>
      </x:c>
      <x:c r="N67" s="25" t="str">
        <x:v>Complete an ergonomic task assessment and implement equipment or workflow changes to reduce force and repetition.</x:v>
      </x:c>
      <x:c r="O67" s="30" t="b">
        <x:v>1</x:v>
      </x:c>
      <x:c r="P67" s="27" t="str">
        <x:v>ERGONOMIC</x:v>
      </x:c>
      <x:c r="Q67" s="27" t="str">
        <x:v>heavy_lifting_patient_transfer</x:v>
      </x:c>
      <x:c r="R67" s="27" t="str"/>
      <x:c r="S67" s="31" t="b">
        <x:v>1</x:v>
      </x:c>
      <x:c r="T67" s="27" t="str">
        <x:v>ASM-2026-009</x:v>
      </x:c>
      <x:c r="U67" s="27" t="str">
        <x:v>HZ-2026-009-04</x:v>
      </x:c>
    </x:row>
    <x:row r="68">
      <x:c r="A68" s="28" t="str">
        <x:v>Dermatology</x:v>
      </x:c>
      <x:c r="B68" s="37" t="n">
        <x:v>46084</x:v>
      </x:c>
      <x:c r="C68" s="26" t="str">
        <x:v>RAH01-2026-009</x:v>
      </x:c>
      <x:c r="D68" s="36" t="n">
        <x:v>5</x:v>
      </x:c>
      <x:c r="E68" s="26" t="str">
        <x:v>Ergonomic Hazards</x:v>
      </x:c>
      <x:c r="F68" s="26" t="str">
        <x:v>Unnatural Posture or Movement</x:v>
      </x:c>
      <x:c r="G68" s="35" t="n">
        <x:v>9</x:v>
      </x:c>
      <x:c r="H68" s="35" t="n">
        <x:v>11</x:v>
      </x:c>
      <x:c r="I68" s="35" t="n">
        <x:v>3</x:v>
      </x:c>
      <x:c r="J68" s="35" t="n">
        <x:v>3</x:v>
      </x:c>
      <x:c r="K68" s="36" t="n">
        <x:f>IF(AND(S68=TRUE,ISNUMBER(I68),I68=INT(I68),I68&gt;=1,I68&lt;=3,ISNUMBER(J68),J68=INT(J68),J68&gt;=1,J68&lt;=3),I68*J68,"")</x:f>
        <x:v>9</x:v>
      </x:c>
      <x:c r="L68" s="26" t="str">
        <x:f>IF(K68="","",IF(K68&lt;=2,"LOW",IF(K68&lt;=4,"MEDIUM","HIGH")))</x:f>
        <x:v>HIGH</x:v>
      </x:c>
      <x:c r="M68" s="25" t="str">
        <x:v>Task rotation, adjustable equipment, team lifting, and safe-patient-handling guidance are used.</x:v>
      </x:c>
      <x:c r="N68" s="25" t="str">
        <x:v>Complete an ergonomic task assessment and implement equipment or workflow changes to reduce force and repetition.</x:v>
      </x:c>
      <x:c r="O68" s="30" t="b">
        <x:v>0</x:v>
      </x:c>
      <x:c r="P68" s="27" t="str">
        <x:v>ERGONOMIC</x:v>
      </x:c>
      <x:c r="Q68" s="27" t="str">
        <x:v>unnatural_posture</x:v>
      </x:c>
      <x:c r="R68" s="27" t="str"/>
      <x:c r="S68" s="31" t="b">
        <x:v>1</x:v>
      </x:c>
      <x:c r="T68" s="27" t="str">
        <x:v>ASM-2026-009</x:v>
      </x:c>
      <x:c r="U68" s="27" t="str">
        <x:v>HZ-2026-009-05</x:v>
      </x:c>
    </x:row>
    <x:row r="69">
      <x:c r="A69" s="28" t="str">
        <x:v>Dermatology</x:v>
      </x:c>
      <x:c r="B69" s="37" t="n">
        <x:v>46084</x:v>
      </x:c>
      <x:c r="C69" s="26" t="str">
        <x:v>RAH01-2026-009</x:v>
      </x:c>
      <x:c r="D69" s="36" t="n">
        <x:v>6</x:v>
      </x:c>
      <x:c r="E69" s="26" t="str">
        <x:v>Psychosocial Hazards</x:v>
      </x:c>
      <x:c r="F69" s="26" t="str">
        <x:v>Work Stress</x:v>
      </x:c>
      <x:c r="G69" s="35" t="n">
        <x:v>1</x:v>
      </x:c>
      <x:c r="H69" s="35" t="n">
        <x:v>18</x:v>
      </x:c>
      <x:c r="I69" s="35" t="n">
        <x:v>3</x:v>
      </x:c>
      <x:c r="J69" s="35" t="n">
        <x:v>2</x:v>
      </x:c>
      <x:c r="K69" s="36" t="n">
        <x:f>IF(AND(S69=TRUE,ISNUMBER(I69),I69=INT(I69),I69&gt;=1,I69&lt;=3,ISNUMBER(J69),J69=INT(J69),J69&gt;=1,J69&lt;=3),I69*J69,"")</x:f>
        <x:v>6</x:v>
      </x:c>
      <x:c r="L69" s="26" t="str">
        <x:f>IF(K69="","",IF(K69&lt;=2,"LOW",IF(K69&lt;=4,"MEDIUM","HIGH")))</x:f>
        <x:v>HIGH</x:v>
      </x:c>
      <x:c r="M69" s="25" t="str">
        <x:v>Shift planning, escalation pathways, security support, breaks, and supervisor check-ins are available.</x:v>
      </x:c>
      <x:c r="N69" s="25" t="str">
        <x:v>Review staffing, breaks, escalation support, and violence-prevention controls with the department manager.</x:v>
      </x:c>
      <x:c r="O69" s="30" t="b">
        <x:v>0</x:v>
      </x:c>
      <x:c r="P69" s="27" t="str">
        <x:v>PSYCHOSOCIAL</x:v>
      </x:c>
      <x:c r="Q69" s="27" t="str">
        <x:v>work_stress</x:v>
      </x:c>
      <x:c r="R69" s="27" t="str"/>
      <x:c r="S69" s="31" t="b">
        <x:v>1</x:v>
      </x:c>
      <x:c r="T69" s="27" t="str">
        <x:v>ASM-2026-009</x:v>
      </x:c>
      <x:c r="U69" s="27" t="str">
        <x:v>HZ-2026-009-06</x:v>
      </x:c>
    </x:row>
    <x:row r="70">
      <x:c r="A70" s="28" t="str">
        <x:v>Dermatology</x:v>
      </x:c>
      <x:c r="B70" s="37" t="n">
        <x:v>46084</x:v>
      </x:c>
      <x:c r="C70" s="26" t="str">
        <x:v>RAH01-2026-009</x:v>
      </x:c>
      <x:c r="D70" s="36" t="n">
        <x:v>7</x:v>
      </x:c>
      <x:c r="E70" s="26" t="str">
        <x:v>Psychosocial Hazards</x:v>
      </x:c>
      <x:c r="F70" s="26" t="str">
        <x:v>Insufficient Rest</x:v>
      </x:c>
      <x:c r="G70" s="35" t="n">
        <x:v>4</x:v>
      </x:c>
      <x:c r="H70" s="35" t="n">
        <x:v>25</x:v>
      </x:c>
      <x:c r="I70" s="35" t="n">
        <x:v>2</x:v>
      </x:c>
      <x:c r="J70" s="35" t="n">
        <x:v>3</x:v>
      </x:c>
      <x:c r="K70" s="36" t="n">
        <x:f>IF(AND(S70=TRUE,ISNUMBER(I70),I70=INT(I70),I70&gt;=1,I70&lt;=3,ISNUMBER(J70),J70=INT(J70),J70&gt;=1,J70&lt;=3),I70*J70,"")</x:f>
        <x:v>6</x:v>
      </x:c>
      <x:c r="L70" s="26" t="str">
        <x:f>IF(K70="","",IF(K70&lt;=2,"LOW",IF(K70&lt;=4,"MEDIUM","HIGH")))</x:f>
        <x:v>HIGH</x:v>
      </x:c>
      <x:c r="M70" s="25" t="str">
        <x:v>Shift planning, escalation pathways, security support, breaks, and supervisor check-ins are available.</x:v>
      </x:c>
      <x:c r="N70" s="25" t="str">
        <x:v>Review staffing, breaks, escalation support, and violence-prevention controls with the department manager.</x:v>
      </x:c>
      <x:c r="O70" s="30" t="b">
        <x:v>1</x:v>
      </x:c>
      <x:c r="P70" s="27" t="str">
        <x:v>PSYCHOSOCIAL</x:v>
      </x:c>
      <x:c r="Q70" s="27" t="str">
        <x:v>insufficient_rest</x:v>
      </x:c>
      <x:c r="R70" s="27" t="str"/>
      <x:c r="S70" s="31" t="b">
        <x:v>1</x:v>
      </x:c>
      <x:c r="T70" s="27" t="str">
        <x:v>ASM-2026-009</x:v>
      </x:c>
      <x:c r="U70" s="27" t="str">
        <x:v>HZ-2026-009-07</x:v>
      </x:c>
    </x:row>
    <x:row r="71">
      <x:c r="A71" s="28" t="str">
        <x:v>Diagnostic Imaging</x:v>
      </x:c>
      <x:c r="B71" s="37" t="n">
        <x:v>46118</x:v>
      </x:c>
      <x:c r="C71" s="26" t="str">
        <x:v>RAH01-2026-010</x:v>
      </x:c>
      <x:c r="D71" s="36" t="n">
        <x:v>1</x:v>
      </x:c>
      <x:c r="E71" s="26" t="str">
        <x:v>Biological Hazards</x:v>
      </x:c>
      <x:c r="F71" s="26" t="str">
        <x:v>Viruses</x:v>
      </x:c>
      <x:c r="G71" s="35" t="n">
        <x:v>3</x:v>
      </x:c>
      <x:c r="H71" s="35" t="n">
        <x:v>19</x:v>
      </x:c>
      <x:c r="I71" s="35" t="n">
        <x:v>3</x:v>
      </x:c>
      <x:c r="J71" s="35" t="n">
        <x:v>2</x:v>
      </x:c>
      <x:c r="K71" s="36" t="n">
        <x:f>IF(AND(S71=TRUE,ISNUMBER(I71),I71=INT(I71),I71&gt;=1,I71&lt;=3,ISNUMBER(J71),J71=INT(J71),J71&gt;=1,J71&lt;=3),I71*J71,"")</x:f>
        <x:v>6</x:v>
      </x:c>
      <x:c r="L71" s="26" t="str">
        <x:f>IF(K71="","",IF(K71&lt;=2,"LOW",IF(K71&lt;=4,"MEDIUM","HIGH")))</x:f>
        <x:v>HIGH</x:v>
      </x:c>
      <x:c r="M71" s="25" t="str">
        <x:v>Standard precautions, hand hygiene, vaccination, cleaning, and appropriate PPE are implemented.</x:v>
      </x:c>
      <x:c r="N71" s="25" t="str">
        <x:v>Audit compliance, investigate exposure incidents, and reinforce source-control and PPE practice.</x:v>
      </x:c>
      <x:c r="O71" s="30" t="b">
        <x:v>0</x:v>
      </x:c>
      <x:c r="P71" s="27" t="str">
        <x:v>BIOLOGICAL</x:v>
      </x:c>
      <x:c r="Q71" s="27" t="str">
        <x:v>viruses</x:v>
      </x:c>
      <x:c r="R71" s="27" t="str"/>
      <x:c r="S71" s="31" t="b">
        <x:v>1</x:v>
      </x:c>
      <x:c r="T71" s="27" t="str">
        <x:v>ASM-2026-010</x:v>
      </x:c>
      <x:c r="U71" s="27" t="str">
        <x:v>HZ-2026-010-01</x:v>
      </x:c>
    </x:row>
    <x:row r="72">
      <x:c r="A72" s="28" t="str">
        <x:v>Diagnostic Imaging</x:v>
      </x:c>
      <x:c r="B72" s="37" t="n">
        <x:v>46118</x:v>
      </x:c>
      <x:c r="C72" s="26" t="str">
        <x:v>RAH01-2026-010</x:v>
      </x:c>
      <x:c r="D72" s="36" t="n">
        <x:v>2</x:v>
      </x:c>
      <x:c r="E72" s="26" t="str">
        <x:v>Biological Hazards</x:v>
      </x:c>
      <x:c r="F72" s="26" t="str">
        <x:v>Bacteria</x:v>
      </x:c>
      <x:c r="G72" s="35" t="n">
        <x:v>6</x:v>
      </x:c>
      <x:c r="H72" s="35" t="n">
        <x:v>26</x:v>
      </x:c>
      <x:c r="I72" s="35" t="n">
        <x:v>2</x:v>
      </x:c>
      <x:c r="J72" s="35" t="n">
        <x:v>3</x:v>
      </x:c>
      <x:c r="K72" s="36" t="n">
        <x:f>IF(AND(S72=TRUE,ISNUMBER(I72),I72=INT(I72),I72&gt;=1,I72&lt;=3,ISNUMBER(J72),J72=INT(J72),J72&gt;=1,J72&lt;=3),I72*J72,"")</x:f>
        <x:v>6</x:v>
      </x:c>
      <x:c r="L72" s="26" t="str">
        <x:f>IF(K72="","",IF(K72&lt;=2,"LOW",IF(K72&lt;=4,"MEDIUM","HIGH")))</x:f>
        <x:v>HIGH</x:v>
      </x:c>
      <x:c r="M72" s="25" t="str">
        <x:v>Standard precautions, hand hygiene, vaccination, cleaning, and appropriate PPE are implemented.</x:v>
      </x:c>
      <x:c r="N72" s="25" t="str">
        <x:v>Audit compliance, investigate exposure incidents, and reinforce source-control and PPE practice.</x:v>
      </x:c>
      <x:c r="O72" s="30" t="b">
        <x:v>0</x:v>
      </x:c>
      <x:c r="P72" s="27" t="str">
        <x:v>BIOLOGICAL</x:v>
      </x:c>
      <x:c r="Q72" s="27" t="str">
        <x:v>bacteria</x:v>
      </x:c>
      <x:c r="R72" s="27" t="str"/>
      <x:c r="S72" s="31" t="b">
        <x:v>1</x:v>
      </x:c>
      <x:c r="T72" s="27" t="str">
        <x:v>ASM-2026-010</x:v>
      </x:c>
      <x:c r="U72" s="27" t="str">
        <x:v>HZ-2026-010-02</x:v>
      </x:c>
    </x:row>
    <x:row r="73">
      <x:c r="A73" s="28" t="str">
        <x:v>Diagnostic Imaging</x:v>
      </x:c>
      <x:c r="B73" s="37" t="n">
        <x:v>46118</x:v>
      </x:c>
      <x:c r="C73" s="26" t="str">
        <x:v>RAH01-2026-010</x:v>
      </x:c>
      <x:c r="D73" s="36" t="n">
        <x:v>3</x:v>
      </x:c>
      <x:c r="E73" s="26" t="str">
        <x:v>Safety and Accident Hazards</x:v>
      </x:c>
      <x:c r="F73" s="26" t="str">
        <x:v>Sharps / Needlestick</x:v>
      </x:c>
      <x:c r="G73" s="35" t="n">
        <x:v>9</x:v>
      </x:c>
      <x:c r="H73" s="35" t="n">
        <x:v>2</x:v>
      </x:c>
      <x:c r="I73" s="35" t="n">
        <x:v>3</x:v>
      </x:c>
      <x:c r="J73" s="35" t="n">
        <x:v>3</x:v>
      </x:c>
      <x:c r="K73" s="36" t="n">
        <x:f>IF(AND(S73=TRUE,ISNUMBER(I73),I73=INT(I73),I73&gt;=1,I73&lt;=3,ISNUMBER(J73),J73=INT(J73),J73&gt;=1,J73&lt;=3),I73*J73,"")</x:f>
        <x:v>9</x:v>
      </x:c>
      <x:c r="L73" s="26" t="str">
        <x:f>IF(K73="","",IF(K73&lt;=2,"LOW",IF(K73&lt;=4,"MEDIUM","HIGH")))</x:f>
        <x:v>HIGH</x:v>
      </x:c>
      <x:c r="M73" s="25" t="str">
        <x:v>Safe-work procedures, inspection, housekeeping, guards, and incident reporting are implemented.</x:v>
      </x:c>
      <x:c r="N73" s="25" t="str">
        <x:v>Correct the unsafe condition, document ownership, and verify effectiveness through a follow-up inspection.</x:v>
      </x:c>
      <x:c r="O73" s="30" t="b">
        <x:v>1</x:v>
      </x:c>
      <x:c r="P73" s="27" t="str">
        <x:v>SAFETY_ACCIDENT</x:v>
      </x:c>
      <x:c r="Q73" s="27" t="str">
        <x:v>sharps</x:v>
      </x:c>
      <x:c r="R73" s="27" t="str"/>
      <x:c r="S73" s="31" t="b">
        <x:v>1</x:v>
      </x:c>
      <x:c r="T73" s="27" t="str">
        <x:v>ASM-2026-010</x:v>
      </x:c>
      <x:c r="U73" s="27" t="str">
        <x:v>HZ-2026-010-03</x:v>
      </x:c>
    </x:row>
    <x:row r="74">
      <x:c r="A74" s="28" t="str">
        <x:v>Diagnostic Imaging</x:v>
      </x:c>
      <x:c r="B74" s="37" t="n">
        <x:v>46118</x:v>
      </x:c>
      <x:c r="C74" s="26" t="str">
        <x:v>RAH01-2026-010</x:v>
      </x:c>
      <x:c r="D74" s="36" t="n">
        <x:v>4</x:v>
      </x:c>
      <x:c r="E74" s="26" t="str">
        <x:v>Ergonomic Hazards</x:v>
      </x:c>
      <x:c r="F74" s="26" t="str">
        <x:v>Heavy Lifting / Patient Transfer</x:v>
      </x:c>
      <x:c r="G74" s="35" t="n">
        <x:v>12</x:v>
      </x:c>
      <x:c r="H74" s="35" t="n">
        <x:v>9</x:v>
      </x:c>
      <x:c r="I74" s="35" t="n">
        <x:v>3</x:v>
      </x:c>
      <x:c r="J74" s="35" t="n">
        <x:v>2</x:v>
      </x:c>
      <x:c r="K74" s="36" t="n">
        <x:f>IF(AND(S74=TRUE,ISNUMBER(I74),I74=INT(I74),I74&gt;=1,I74&lt;=3,ISNUMBER(J74),J74=INT(J74),J74&gt;=1,J74&lt;=3),I74*J74,"")</x:f>
        <x:v>6</x:v>
      </x:c>
      <x:c r="L74" s="26" t="str">
        <x:f>IF(K74="","",IF(K74&lt;=2,"LOW",IF(K74&lt;=4,"MEDIUM","HIGH")))</x:f>
        <x:v>HIGH</x:v>
      </x:c>
      <x:c r="M74" s="25" t="str">
        <x:v>Task rotation, adjustable equipment, team lifting, and safe-patient-handling guidance are used.</x:v>
      </x:c>
      <x:c r="N74" s="25" t="str">
        <x:v>Complete an ergonomic task assessment and implement equipment or workflow changes to reduce force and repetition.</x:v>
      </x:c>
      <x:c r="O74" s="30" t="b">
        <x:v>0</x:v>
      </x:c>
      <x:c r="P74" s="27" t="str">
        <x:v>ERGONOMIC</x:v>
      </x:c>
      <x:c r="Q74" s="27" t="str">
        <x:v>heavy_lifting_patient_transfer</x:v>
      </x:c>
      <x:c r="R74" s="27" t="str"/>
      <x:c r="S74" s="31" t="b">
        <x:v>1</x:v>
      </x:c>
      <x:c r="T74" s="27" t="str">
        <x:v>ASM-2026-010</x:v>
      </x:c>
      <x:c r="U74" s="27" t="str">
        <x:v>HZ-2026-010-04</x:v>
      </x:c>
    </x:row>
    <x:row r="75">
      <x:c r="A75" s="28" t="str">
        <x:v>Diagnostic Imaging</x:v>
      </x:c>
      <x:c r="B75" s="37" t="n">
        <x:v>46118</x:v>
      </x:c>
      <x:c r="C75" s="26" t="str">
        <x:v>RAH01-2026-010</x:v>
      </x:c>
      <x:c r="D75" s="36" t="n">
        <x:v>5</x:v>
      </x:c>
      <x:c r="E75" s="26" t="str">
        <x:v>Ergonomic Hazards</x:v>
      </x:c>
      <x:c r="F75" s="26" t="str">
        <x:v>Unnatural Posture or Movement</x:v>
      </x:c>
      <x:c r="G75" s="35" t="n">
        <x:v>15</x:v>
      </x:c>
      <x:c r="H75" s="35" t="n">
        <x:v>16</x:v>
      </x:c>
      <x:c r="I75" s="35" t="n">
        <x:v>2</x:v>
      </x:c>
      <x:c r="J75" s="35" t="n">
        <x:v>3</x:v>
      </x:c>
      <x:c r="K75" s="36" t="n">
        <x:f>IF(AND(S75=TRUE,ISNUMBER(I75),I75=INT(I75),I75&gt;=1,I75&lt;=3,ISNUMBER(J75),J75=INT(J75),J75&gt;=1,J75&lt;=3),I75*J75,"")</x:f>
        <x:v>6</x:v>
      </x:c>
      <x:c r="L75" s="26" t="str">
        <x:f>IF(K75="","",IF(K75&lt;=2,"LOW",IF(K75&lt;=4,"MEDIUM","HIGH")))</x:f>
        <x:v>HIGH</x:v>
      </x:c>
      <x:c r="M75" s="25" t="str">
        <x:v>Task rotation, adjustable equipment, team lifting, and safe-patient-handling guidance are used.</x:v>
      </x:c>
      <x:c r="N75" s="25" t="str">
        <x:v>Complete an ergonomic task assessment and implement equipment or workflow changes to reduce force and repetition.</x:v>
      </x:c>
      <x:c r="O75" s="30" t="b">
        <x:v>0</x:v>
      </x:c>
      <x:c r="P75" s="27" t="str">
        <x:v>ERGONOMIC</x:v>
      </x:c>
      <x:c r="Q75" s="27" t="str">
        <x:v>unnatural_posture</x:v>
      </x:c>
      <x:c r="R75" s="27" t="str"/>
      <x:c r="S75" s="31" t="b">
        <x:v>1</x:v>
      </x:c>
      <x:c r="T75" s="27" t="str">
        <x:v>ASM-2026-010</x:v>
      </x:c>
      <x:c r="U75" s="27" t="str">
        <x:v>HZ-2026-010-05</x:v>
      </x:c>
    </x:row>
    <x:row r="76">
      <x:c r="A76" s="28" t="str">
        <x:v>Diagnostic Imaging</x:v>
      </x:c>
      <x:c r="B76" s="37" t="n">
        <x:v>46118</x:v>
      </x:c>
      <x:c r="C76" s="26" t="str">
        <x:v>RAH01-2026-010</x:v>
      </x:c>
      <x:c r="D76" s="36" t="n">
        <x:v>6</x:v>
      </x:c>
      <x:c r="E76" s="26" t="str">
        <x:v>Psychosocial Hazards</x:v>
      </x:c>
      <x:c r="F76" s="26" t="str">
        <x:v>Work Stress</x:v>
      </x:c>
      <x:c r="G76" s="35" t="n">
        <x:v>18</x:v>
      </x:c>
      <x:c r="H76" s="35" t="n">
        <x:v>23</x:v>
      </x:c>
      <x:c r="I76" s="35" t="n">
        <x:v>3</x:v>
      </x:c>
      <x:c r="J76" s="35" t="n">
        <x:v>3</x:v>
      </x:c>
      <x:c r="K76" s="36" t="n">
        <x:f>IF(AND(S76=TRUE,ISNUMBER(I76),I76=INT(I76),I76&gt;=1,I76&lt;=3,ISNUMBER(J76),J76=INT(J76),J76&gt;=1,J76&lt;=3),I76*J76,"")</x:f>
        <x:v>9</x:v>
      </x:c>
      <x:c r="L76" s="26" t="str">
        <x:f>IF(K76="","",IF(K76&lt;=2,"LOW",IF(K76&lt;=4,"MEDIUM","HIGH")))</x:f>
        <x:v>HIGH</x:v>
      </x:c>
      <x:c r="M76" s="25" t="str">
        <x:v>Shift planning, escalation pathways, security support, breaks, and supervisor check-ins are available.</x:v>
      </x:c>
      <x:c r="N76" s="25" t="str">
        <x:v>Review staffing, breaks, escalation support, and violence-prevention controls with the department manager.</x:v>
      </x:c>
      <x:c r="O76" s="30" t="b">
        <x:v>1</x:v>
      </x:c>
      <x:c r="P76" s="27" t="str">
        <x:v>PSYCHOSOCIAL</x:v>
      </x:c>
      <x:c r="Q76" s="27" t="str">
        <x:v>work_stress</x:v>
      </x:c>
      <x:c r="R76" s="27" t="str"/>
      <x:c r="S76" s="31" t="b">
        <x:v>1</x:v>
      </x:c>
      <x:c r="T76" s="27" t="str">
        <x:v>ASM-2026-010</x:v>
      </x:c>
      <x:c r="U76" s="27" t="str">
        <x:v>HZ-2026-010-06</x:v>
      </x:c>
    </x:row>
    <x:row r="77">
      <x:c r="A77" s="28" t="str">
        <x:v>Diagnostic Imaging</x:v>
      </x:c>
      <x:c r="B77" s="37" t="n">
        <x:v>46118</x:v>
      </x:c>
      <x:c r="C77" s="26" t="str">
        <x:v>RAH01-2026-010</x:v>
      </x:c>
      <x:c r="D77" s="36" t="n">
        <x:v>7</x:v>
      </x:c>
      <x:c r="E77" s="26" t="str">
        <x:v>Indoor Air Quality Hazards</x:v>
      </x:c>
      <x:c r="F77" s="26" t="str">
        <x:v>Dust</x:v>
      </x:c>
      <x:c r="G77" s="35" t="n">
        <x:v>3</x:v>
      </x:c>
      <x:c r="H77" s="35" t="n">
        <x:v>30</x:v>
      </x:c>
      <x:c r="I77" s="35" t="n">
        <x:v>3</x:v>
      </x:c>
      <x:c r="J77" s="35" t="n">
        <x:v>2</x:v>
      </x:c>
      <x:c r="K77" s="36" t="n">
        <x:f>IF(AND(S77=TRUE,ISNUMBER(I77),I77=INT(I77),I77&gt;=1,I77&lt;=3,ISNUMBER(J77),J77=INT(J77),J77&gt;=1,J77&lt;=3),I77*J77,"")</x:f>
        <x:v>6</x:v>
      </x:c>
      <x:c r="L77" s="26" t="str">
        <x:f>IF(K77="","",IF(K77&lt;=2,"LOW",IF(K77&lt;=4,"MEDIUM","HIGH")))</x:f>
        <x:v>HIGH</x:v>
      </x:c>
      <x:c r="M77" s="25" t="str">
        <x:v>Ventilation, cleaning, occupancy management, and environmental inspection are performed.</x:v>
      </x:c>
      <x:c r="N77" s="25" t="str">
        <x:v>Inspect ventilation and moisture sources, then document corrective action and environmental recheck.</x:v>
      </x:c>
      <x:c r="O77" s="30" t="b">
        <x:v>0</x:v>
      </x:c>
      <x:c r="P77" s="27" t="str">
        <x:v>INDOOR_AIR_QUALITY</x:v>
      </x:c>
      <x:c r="Q77" s="27" t="str">
        <x:v>dust</x:v>
      </x:c>
      <x:c r="R77" s="27" t="str"/>
      <x:c r="S77" s="31" t="b">
        <x:v>1</x:v>
      </x:c>
      <x:c r="T77" s="27" t="str">
        <x:v>ASM-2026-010</x:v>
      </x:c>
      <x:c r="U77" s="27" t="str">
        <x:v>HZ-2026-010-07</x:v>
      </x:c>
    </x:row>
    <x:row r="78">
      <x:c r="A78" s="28" t="str">
        <x:v>Diagnostic Imaging</x:v>
      </x:c>
      <x:c r="B78" s="37" t="n">
        <x:v>46118</x:v>
      </x:c>
      <x:c r="C78" s="26" t="str">
        <x:v>RAH01-2026-010</x:v>
      </x:c>
      <x:c r="D78" s="36" t="n">
        <x:v>8</x:v>
      </x:c>
      <x:c r="E78" s="26" t="str">
        <x:v>Safety and Accident Hazards</x:v>
      </x:c>
      <x:c r="F78" s="26" t="str">
        <x:v>Department-specific operational hazard requiring local review</x:v>
      </x:c>
      <x:c r="G78" s="35" t="n">
        <x:v>6</x:v>
      </x:c>
      <x:c r="H78" s="35" t="n">
        <x:v>6</x:v>
      </x:c>
      <x:c r="I78" s="35" t="n">
        <x:v>2</x:v>
      </x:c>
      <x:c r="J78" s="35" t="n">
        <x:v>3</x:v>
      </x:c>
      <x:c r="K78" s="36" t="n">
        <x:f>IF(AND(S78=TRUE,ISNUMBER(I78),I78=INT(I78),I78&gt;=1,I78&lt;=3,ISNUMBER(J78),J78=INT(J78),J78&gt;=1,J78&lt;=3),I78*J78,"")</x:f>
        <x:v>6</x:v>
      </x:c>
      <x:c r="L78" s="26" t="str">
        <x:f>IF(K78="","",IF(K78&lt;=2,"LOW",IF(K78&lt;=4,"MEDIUM","HIGH")))</x:f>
        <x:v>HIGH</x:v>
      </x:c>
      <x:c r="M78" s="25" t="str">
        <x:v>Safe-work procedures, inspection, housekeeping, guards, and incident reporting are implemented.</x:v>
      </x:c>
      <x:c r="N78" s="25" t="str">
        <x:v>Correct the unsafe condition, document ownership, and verify effectiveness through a follow-up inspection.</x:v>
      </x:c>
      <x:c r="O78" s="30" t="b">
        <x:v>0</x:v>
      </x:c>
      <x:c r="P78" s="27" t="str">
        <x:v>SAFETY_ACCIDENT</x:v>
      </x:c>
      <x:c r="Q78" s="27" t="str">
        <x:v>OTHER</x:v>
      </x:c>
      <x:c r="R78" s="27" t="str">
        <x:v>Department-specific operational hazard requiring local review</x:v>
      </x:c>
      <x:c r="S78" s="31" t="b">
        <x:v>1</x:v>
      </x:c>
      <x:c r="T78" s="27" t="str">
        <x:v>ASM-2026-010</x:v>
      </x:c>
      <x:c r="U78" s="27" t="str">
        <x:v>HZ-2026-010-08</x:v>
      </x:c>
    </x:row>
    <x:row r="79">
      <x:c r="A79" s="28" t="str">
        <x:v>Emergency Medical Service</x:v>
      </x:c>
      <x:c r="B79" s="37" t="n">
        <x:v>46151</x:v>
      </x:c>
      <x:c r="C79" s="26" t="str">
        <x:v>RAH01-2026-011</x:v>
      </x:c>
      <x:c r="D79" s="36" t="n">
        <x:v>1</x:v>
      </x:c>
      <x:c r="E79" s="26" t="str">
        <x:v>Biological Hazards</x:v>
      </x:c>
      <x:c r="F79" s="26" t="str">
        <x:v>Viruses</x:v>
      </x:c>
      <x:c r="G79" s="35" t="n">
        <x:v>23</x:v>
      </x:c>
      <x:c r="H79" s="35" t="n">
        <x:v>24</x:v>
      </x:c>
      <x:c r="I79" s="35" t="n">
        <x:v>3</x:v>
      </x:c>
      <x:c r="J79" s="35" t="n">
        <x:v>1</x:v>
      </x:c>
      <x:c r="K79" s="36" t="n">
        <x:f>IF(AND(S79=TRUE,ISNUMBER(I79),I79=INT(I79),I79&gt;=1,I79&lt;=3,ISNUMBER(J79),J79=INT(J79),J79&gt;=1,J79&lt;=3),I79*J79,"")</x:f>
        <x:v>3</x:v>
      </x:c>
      <x:c r="L79" s="26" t="str">
        <x:f>IF(K79="","",IF(K79&lt;=2,"LOW",IF(K79&lt;=4,"MEDIUM","HIGH")))</x:f>
        <x:v>MEDIUM</x:v>
      </x:c>
      <x:c r="M79" s="25" t="str">
        <x:v>Standard precautions, hand hygiene, vaccination, cleaning, and appropriate PPE are implemented.</x:v>
      </x:c>
      <x:c r="N79" s="25" t="str">
        <x:v>Audit compliance, investigate exposure incidents, and reinforce source-control and PPE practice.</x:v>
      </x:c>
      <x:c r="O79" s="30" t="b">
        <x:v>0</x:v>
      </x:c>
      <x:c r="P79" s="27" t="str">
        <x:v>BIOLOGICAL</x:v>
      </x:c>
      <x:c r="Q79" s="27" t="str">
        <x:v>viruses</x:v>
      </x:c>
      <x:c r="R79" s="27" t="str"/>
      <x:c r="S79" s="31" t="b">
        <x:v>1</x:v>
      </x:c>
      <x:c r="T79" s="27" t="str">
        <x:v>ASM-2026-011</x:v>
      </x:c>
      <x:c r="U79" s="27" t="str">
        <x:v>HZ-2026-011-01</x:v>
      </x:c>
    </x:row>
    <x:row r="80">
      <x:c r="A80" s="28" t="str">
        <x:v>Emergency Medical Service</x:v>
      </x:c>
      <x:c r="B80" s="37" t="n">
        <x:v>46151</x:v>
      </x:c>
      <x:c r="C80" s="26" t="str">
        <x:v>RAH01-2026-011</x:v>
      </x:c>
      <x:c r="D80" s="36" t="n">
        <x:v>2</x:v>
      </x:c>
      <x:c r="E80" s="26" t="str">
        <x:v>Indoor Air Quality Hazards</x:v>
      </x:c>
      <x:c r="F80" s="26" t="str">
        <x:v>Crowded / Stuffy Conditions</x:v>
      </x:c>
      <x:c r="G80" s="35" t="n">
        <x:v>1</x:v>
      </x:c>
      <x:c r="H80" s="35" t="n">
        <x:v>0</x:v>
      </x:c>
      <x:c r="I80" s="35" t="n">
        <x:v>2</x:v>
      </x:c>
      <x:c r="J80" s="35" t="n">
        <x:v>2</x:v>
      </x:c>
      <x:c r="K80" s="36" t="n">
        <x:f>IF(AND(S80=TRUE,ISNUMBER(I80),I80=INT(I80),I80&gt;=1,I80&lt;=3,ISNUMBER(J80),J80=INT(J80),J80&gt;=1,J80&lt;=3),I80*J80,"")</x:f>
        <x:v>4</x:v>
      </x:c>
      <x:c r="L80" s="26" t="str">
        <x:f>IF(K80="","",IF(K80&lt;=2,"LOW",IF(K80&lt;=4,"MEDIUM","HIGH")))</x:f>
        <x:v>MEDIUM</x:v>
      </x:c>
      <x:c r="M80" s="25" t="str">
        <x:v>Ventilation, cleaning, occupancy management, and environmental inspection are performed.</x:v>
      </x:c>
      <x:c r="N80" s="25" t="str">
        <x:v>Inspect ventilation and moisture sources, then document corrective action and environmental recheck.</x:v>
      </x:c>
      <x:c r="O80" s="30" t="b">
        <x:v>0</x:v>
      </x:c>
      <x:c r="P80" s="27" t="str">
        <x:v>INDOOR_AIR_QUALITY</x:v>
      </x:c>
      <x:c r="Q80" s="27" t="str">
        <x:v>crowded_stuffy</x:v>
      </x:c>
      <x:c r="R80" s="27" t="str"/>
      <x:c r="S80" s="31" t="b">
        <x:v>1</x:v>
      </x:c>
      <x:c r="T80" s="27" t="str">
        <x:v>ASM-2026-011</x:v>
      </x:c>
      <x:c r="U80" s="27" t="str">
        <x:v>HZ-2026-011-02</x:v>
      </x:c>
    </x:row>
    <x:row r="81">
      <x:c r="A81" s="28" t="str">
        <x:v>Emergency Medical Service</x:v>
      </x:c>
      <x:c r="B81" s="37" t="n">
        <x:v>46151</x:v>
      </x:c>
      <x:c r="C81" s="26" t="str">
        <x:v>RAH01-2026-011</x:v>
      </x:c>
      <x:c r="D81" s="36" t="n">
        <x:v>3</x:v>
      </x:c>
      <x:c r="E81" s="26" t="str">
        <x:v>Ergonomic Hazards</x:v>
      </x:c>
      <x:c r="F81" s="26" t="str">
        <x:v>Prolonged Standing or Sitting</x:v>
      </x:c>
      <x:c r="G81" s="35" t="n">
        <x:v>4</x:v>
      </x:c>
      <x:c r="H81" s="35" t="n">
        <x:v>7</x:v>
      </x:c>
      <x:c r="I81" s="35" t="n">
        <x:v>1</x:v>
      </x:c>
      <x:c r="J81" s="35" t="n">
        <x:v>3</x:v>
      </x:c>
      <x:c r="K81" s="36" t="n">
        <x:f>IF(AND(S81=TRUE,ISNUMBER(I81),I81=INT(I81),I81&gt;=1,I81&lt;=3,ISNUMBER(J81),J81=INT(J81),J81&gt;=1,J81&lt;=3),I81*J81,"")</x:f>
        <x:v>3</x:v>
      </x:c>
      <x:c r="L81" s="26" t="str">
        <x:f>IF(K81="","",IF(K81&lt;=2,"LOW",IF(K81&lt;=4,"MEDIUM","HIGH")))</x:f>
        <x:v>MEDIUM</x:v>
      </x:c>
      <x:c r="M81" s="25" t="str">
        <x:v>Task rotation, adjustable equipment, team lifting, and safe-patient-handling guidance are used.</x:v>
      </x:c>
      <x:c r="N81" s="25" t="str">
        <x:v>Complete an ergonomic task assessment and implement equipment or workflow changes to reduce force and repetition.</x:v>
      </x:c>
      <x:c r="O81" s="30" t="b">
        <x:v>0</x:v>
      </x:c>
      <x:c r="P81" s="27" t="str">
        <x:v>ERGONOMIC</x:v>
      </x:c>
      <x:c r="Q81" s="27" t="str">
        <x:v>prolonged_standing_sitting</x:v>
      </x:c>
      <x:c r="R81" s="27" t="str"/>
      <x:c r="S81" s="31" t="b">
        <x:v>1</x:v>
      </x:c>
      <x:c r="T81" s="27" t="str">
        <x:v>ASM-2026-011</x:v>
      </x:c>
      <x:c r="U81" s="27" t="str">
        <x:v>HZ-2026-011-03</x:v>
      </x:c>
    </x:row>
    <x:row r="82">
      <x:c r="A82" s="28" t="str">
        <x:v>Emergency Medical Service</x:v>
      </x:c>
      <x:c r="B82" s="37" t="n">
        <x:v>46151</x:v>
      </x:c>
      <x:c r="C82" s="26" t="str">
        <x:v>RAH01-2026-011</x:v>
      </x:c>
      <x:c r="D82" s="36" t="n">
        <x:v>4</x:v>
      </x:c>
      <x:c r="E82" s="26" t="str">
        <x:v>Psychosocial Hazards</x:v>
      </x:c>
      <x:c r="F82" s="26" t="str">
        <x:v>Violence from Patients or Relatives</x:v>
      </x:c>
      <x:c r="G82" s="35" t="n">
        <x:v>7</x:v>
      </x:c>
      <x:c r="H82" s="35" t="n">
        <x:v>14</x:v>
      </x:c>
      <x:c r="I82" s="35" t="n">
        <x:v>3</x:v>
      </x:c>
      <x:c r="J82" s="35" t="n">
        <x:v>1</x:v>
      </x:c>
      <x:c r="K82" s="36" t="n">
        <x:f>IF(AND(S82=TRUE,ISNUMBER(I82),I82=INT(I82),I82&gt;=1,I82&lt;=3,ISNUMBER(J82),J82=INT(J82),J82&gt;=1,J82&lt;=3),I82*J82,"")</x:f>
        <x:v>3</x:v>
      </x:c>
      <x:c r="L82" s="26" t="str">
        <x:f>IF(K82="","",IF(K82&lt;=2,"LOW",IF(K82&lt;=4,"MEDIUM","HIGH")))</x:f>
        <x:v>MEDIUM</x:v>
      </x:c>
      <x:c r="M82" s="25" t="str">
        <x:v>Shift planning, escalation pathways, security support, breaks, and supervisor check-ins are available.</x:v>
      </x:c>
      <x:c r="N82" s="25" t="str">
        <x:v>Review staffing, breaks, escalation support, and violence-prevention controls with the department manager.</x:v>
      </x:c>
      <x:c r="O82" s="30" t="b">
        <x:v>0</x:v>
      </x:c>
      <x:c r="P82" s="27" t="str">
        <x:v>PSYCHOSOCIAL</x:v>
      </x:c>
      <x:c r="Q82" s="27" t="str">
        <x:v>patient_relative_violence</x:v>
      </x:c>
      <x:c r="R82" s="27" t="str"/>
      <x:c r="S82" s="31" t="b">
        <x:v>1</x:v>
      </x:c>
      <x:c r="T82" s="27" t="str">
        <x:v>ASM-2026-011</x:v>
      </x:c>
      <x:c r="U82" s="27" t="str">
        <x:v>HZ-2026-011-04</x:v>
      </x:c>
    </x:row>
    <x:row r="83">
      <x:c r="A83" s="28" t="str">
        <x:v>Emergency Medical Service</x:v>
      </x:c>
      <x:c r="B83" s="37" t="n">
        <x:v>46151</x:v>
      </x:c>
      <x:c r="C83" s="26" t="str">
        <x:v>RAH01-2026-011</x:v>
      </x:c>
      <x:c r="D83" s="36" t="n">
        <x:v>5</x:v>
      </x:c>
      <x:c r="E83" s="26" t="str">
        <x:v>Psychosocial Hazards</x:v>
      </x:c>
      <x:c r="F83" s="26" t="str">
        <x:v>Work Stress</x:v>
      </x:c>
      <x:c r="G83" s="35" t="n">
        <x:v>10</x:v>
      </x:c>
      <x:c r="H83" s="35" t="n">
        <x:v>21</x:v>
      </x:c>
      <x:c r="I83" s="35" t="n">
        <x:v>2</x:v>
      </x:c>
      <x:c r="J83" s="35" t="n">
        <x:v>2</x:v>
      </x:c>
      <x:c r="K83" s="36" t="n">
        <x:f>IF(AND(S83=TRUE,ISNUMBER(I83),I83=INT(I83),I83&gt;=1,I83&lt;=3,ISNUMBER(J83),J83=INT(J83),J83&gt;=1,J83&lt;=3),I83*J83,"")</x:f>
        <x:v>4</x:v>
      </x:c>
      <x:c r="L83" s="26" t="str">
        <x:f>IF(K83="","",IF(K83&lt;=2,"LOW",IF(K83&lt;=4,"MEDIUM","HIGH")))</x:f>
        <x:v>MEDIUM</x:v>
      </x:c>
      <x:c r="M83" s="25" t="str">
        <x:v>Shift planning, escalation pathways, security support, breaks, and supervisor check-ins are available.</x:v>
      </x:c>
      <x:c r="N83" s="25" t="str">
        <x:v>Review staffing, breaks, escalation support, and violence-prevention controls with the department manager.</x:v>
      </x:c>
      <x:c r="O83" s="30" t="b">
        <x:v>0</x:v>
      </x:c>
      <x:c r="P83" s="27" t="str">
        <x:v>PSYCHOSOCIAL</x:v>
      </x:c>
      <x:c r="Q83" s="27" t="str">
        <x:v>work_stress</x:v>
      </x:c>
      <x:c r="R83" s="27" t="str"/>
      <x:c r="S83" s="31" t="b">
        <x:v>1</x:v>
      </x:c>
      <x:c r="T83" s="27" t="str">
        <x:v>ASM-2026-011</x:v>
      </x:c>
      <x:c r="U83" s="27" t="str">
        <x:v>HZ-2026-011-05</x:v>
      </x:c>
    </x:row>
    <x:row r="84">
      <x:c r="A84" s="28" t="str">
        <x:v>Emergency Medical Service</x:v>
      </x:c>
      <x:c r="B84" s="37" t="n">
        <x:v>46151</x:v>
      </x:c>
      <x:c r="C84" s="26" t="str">
        <x:v>RAH01-2026-011</x:v>
      </x:c>
      <x:c r="D84" s="36" t="n">
        <x:v>6</x:v>
      </x:c>
      <x:c r="E84" s="26" t="str">
        <x:v>Fire and Disaster Hazards</x:v>
      </x:c>
      <x:c r="F84" s="26" t="str">
        <x:v>Electrical Equipment</x:v>
      </x:c>
      <x:c r="G84" s="35" t="n">
        <x:v>13</x:v>
      </x:c>
      <x:c r="H84" s="35" t="n">
        <x:v>28</x:v>
      </x:c>
      <x:c r="I84" s="35" t="n">
        <x:v>1</x:v>
      </x:c>
      <x:c r="J84" s="35" t="n">
        <x:v>3</x:v>
      </x:c>
      <x:c r="K84" s="36" t="n">
        <x:f>IF(AND(S84=TRUE,ISNUMBER(I84),I84=INT(I84),I84&gt;=1,I84&lt;=3,ISNUMBER(J84),J84=INT(J84),J84&gt;=1,J84&lt;=3),I84*J84,"")</x:f>
        <x:v>3</x:v>
      </x:c>
      <x:c r="L84" s="26" t="str">
        <x:f>IF(K84="","",IF(K84&lt;=2,"LOW",IF(K84&lt;=4,"MEDIUM","HIGH")))</x:f>
        <x:v>MEDIUM</x:v>
      </x:c>
      <x:c r="M84" s="25" t="str">
        <x:v>Electrical inspection, isolation procedures, alarms, extinguishers, and emergency response plans are maintained.</x:v>
      </x:c>
      <x:c r="N84" s="25" t="str">
        <x:v>Complete an engineering inspection and emergency-readiness check before the next scheduled review.</x:v>
      </x:c>
      <x:c r="O84" s="30" t="b">
        <x:v>0</x:v>
      </x:c>
      <x:c r="P84" s="27" t="str">
        <x:v>FIRE_DISASTER</x:v>
      </x:c>
      <x:c r="Q84" s="27" t="str">
        <x:v>electrical_equipment</x:v>
      </x:c>
      <x:c r="R84" s="27" t="str"/>
      <x:c r="S84" s="31" t="b">
        <x:v>1</x:v>
      </x:c>
      <x:c r="T84" s="27" t="str">
        <x:v>ASM-2026-011</x:v>
      </x:c>
      <x:c r="U84" s="27" t="str">
        <x:v>HZ-2026-011-06</x:v>
      </x:c>
    </x:row>
    <x:row r="85">
      <x:c r="A85" s="28" t="str">
        <x:v>Endocrinology</x:v>
      </x:c>
      <x:c r="B85" s="37" t="n">
        <x:v>46185</x:v>
      </x:c>
      <x:c r="C85" s="26" t="str">
        <x:v>RAH01-2026-012</x:v>
      </x:c>
      <x:c r="D85" s="36" t="n">
        <x:v>1</x:v>
      </x:c>
      <x:c r="E85" s="26" t="str">
        <x:v>Ergonomic Hazards</x:v>
      </x:c>
      <x:c r="F85" s="26" t="str">
        <x:v>Repetitive Tasks</x:v>
      </x:c>
      <x:c r="G85" s="35" t="n">
        <x:v>25</x:v>
      </x:c>
      <x:c r="H85" s="35" t="n">
        <x:v>29</x:v>
      </x:c>
      <x:c r="I85" s="35" t="n">
        <x:v>2</x:v>
      </x:c>
      <x:c r="J85" s="35" t="n">
        <x:v>3</x:v>
      </x:c>
      <x:c r="K85" s="36" t="n">
        <x:f>IF(AND(S85=TRUE,ISNUMBER(I85),I85=INT(I85),I85&gt;=1,I85&lt;=3,ISNUMBER(J85),J85=INT(J85),J85&gt;=1,J85&lt;=3),I85*J85,"")</x:f>
        <x:v>6</x:v>
      </x:c>
      <x:c r="L85" s="26" t="str">
        <x:f>IF(K85="","",IF(K85&lt;=2,"LOW",IF(K85&lt;=4,"MEDIUM","HIGH")))</x:f>
        <x:v>HIGH</x:v>
      </x:c>
      <x:c r="M85" s="25" t="str">
        <x:v>Task rotation, adjustable equipment, team lifting, and safe-patient-handling guidance are used.</x:v>
      </x:c>
      <x:c r="N85" s="25" t="str">
        <x:v>Complete an ergonomic task assessment and implement equipment or workflow changes to reduce force and repetition.</x:v>
      </x:c>
      <x:c r="O85" s="30" t="b">
        <x:v>1</x:v>
      </x:c>
      <x:c r="P85" s="27" t="str">
        <x:v>ERGONOMIC</x:v>
      </x:c>
      <x:c r="Q85" s="27" t="str">
        <x:v>repetitive_tasks</x:v>
      </x:c>
      <x:c r="R85" s="27" t="str"/>
      <x:c r="S85" s="31" t="b">
        <x:v>1</x:v>
      </x:c>
      <x:c r="T85" s="27" t="str">
        <x:v>ASM-2026-012</x:v>
      </x:c>
      <x:c r="U85" s="27" t="str">
        <x:v>HZ-2026-012-01</x:v>
      </x:c>
    </x:row>
    <x:row r="86">
      <x:c r="A86" s="28" t="str">
        <x:v>Endocrinology</x:v>
      </x:c>
      <x:c r="B86" s="37" t="n">
        <x:v>46185</x:v>
      </x:c>
      <x:c r="C86" s="26" t="str">
        <x:v>RAH01-2026-012</x:v>
      </x:c>
      <x:c r="D86" s="36" t="n">
        <x:v>2</x:v>
      </x:c>
      <x:c r="E86" s="26" t="str">
        <x:v>Ergonomic Hazards</x:v>
      </x:c>
      <x:c r="F86" s="26" t="str">
        <x:v>Prolonged Standing or Sitting</x:v>
      </x:c>
      <x:c r="G86" s="35" t="n">
        <x:v>28</x:v>
      </x:c>
      <x:c r="H86" s="35" t="n">
        <x:v>5</x:v>
      </x:c>
      <x:c r="I86" s="35" t="n">
        <x:v>3</x:v>
      </x:c>
      <x:c r="J86" s="35" t="n">
        <x:v>3</x:v>
      </x:c>
      <x:c r="K86" s="36" t="n">
        <x:f>IF(AND(S86=TRUE,ISNUMBER(I86),I86=INT(I86),I86&gt;=1,I86&lt;=3,ISNUMBER(J86),J86=INT(J86),J86&gt;=1,J86&lt;=3),I86*J86,"")</x:f>
        <x:v>9</x:v>
      </x:c>
      <x:c r="L86" s="26" t="str">
        <x:f>IF(K86="","",IF(K86&lt;=2,"LOW",IF(K86&lt;=4,"MEDIUM","HIGH")))</x:f>
        <x:v>HIGH</x:v>
      </x:c>
      <x:c r="M86" s="25" t="str">
        <x:v>Task rotation, adjustable equipment, team lifting, and safe-patient-handling guidance are used.</x:v>
      </x:c>
      <x:c r="N86" s="25" t="str">
        <x:v>Complete an ergonomic task assessment and implement equipment or workflow changes to reduce force and repetition.</x:v>
      </x:c>
      <x:c r="O86" s="30" t="b">
        <x:v>0</x:v>
      </x:c>
      <x:c r="P86" s="27" t="str">
        <x:v>ERGONOMIC</x:v>
      </x:c>
      <x:c r="Q86" s="27" t="str">
        <x:v>prolonged_standing_sitting</x:v>
      </x:c>
      <x:c r="R86" s="27" t="str"/>
      <x:c r="S86" s="31" t="b">
        <x:v>1</x:v>
      </x:c>
      <x:c r="T86" s="27" t="str">
        <x:v>ASM-2026-012</x:v>
      </x:c>
      <x:c r="U86" s="27" t="str">
        <x:v>HZ-2026-012-02</x:v>
      </x:c>
    </x:row>
    <x:row r="87">
      <x:c r="A87" s="28" t="str">
        <x:v>Endocrinology</x:v>
      </x:c>
      <x:c r="B87" s="37" t="n">
        <x:v>46185</x:v>
      </x:c>
      <x:c r="C87" s="26" t="str">
        <x:v>RAH01-2026-012</x:v>
      </x:c>
      <x:c r="D87" s="36" t="n">
        <x:v>3</x:v>
      </x:c>
      <x:c r="E87" s="26" t="str">
        <x:v>Chemical Hazards</x:v>
      </x:c>
      <x:c r="F87" s="26" t="str">
        <x:v>Acidic Agents or Medicines</x:v>
      </x:c>
      <x:c r="G87" s="35" t="n">
        <x:v>31</x:v>
      </x:c>
      <x:c r="H87" s="35" t="n">
        <x:v>12</x:v>
      </x:c>
      <x:c r="I87" s="35" t="n">
        <x:v>3</x:v>
      </x:c>
      <x:c r="J87" s="35" t="n">
        <x:v>2</x:v>
      </x:c>
      <x:c r="K87" s="36" t="n">
        <x:f>IF(AND(S87=TRUE,ISNUMBER(I87),I87=INT(I87),I87&gt;=1,I87&lt;=3,ISNUMBER(J87),J87=INT(J87),J87&gt;=1,J87&lt;=3),I87*J87,"")</x:f>
        <x:v>6</x:v>
      </x:c>
      <x:c r="L87" s="26" t="str">
        <x:f>IF(K87="","",IF(K87&lt;=2,"LOW",IF(K87&lt;=4,"MEDIUM","HIGH")))</x:f>
        <x:v>HIGH</x:v>
      </x:c>
      <x:c r="M87" s="25" t="str">
        <x:v>Safety data, labeled containers, local procedures, ventilation, and chemical-resistant PPE are available.</x:v>
      </x:c>
      <x:c r="N87" s="25" t="str">
        <x:v>Review substitution, ventilation, storage, spill response, and staff competency for this chemical task.</x:v>
      </x:c>
      <x:c r="O87" s="30" t="b">
        <x:v>0</x:v>
      </x:c>
      <x:c r="P87" s="27" t="str">
        <x:v>CHEMICAL</x:v>
      </x:c>
      <x:c r="Q87" s="27" t="str">
        <x:v>acidic_agents_or_medicines</x:v>
      </x:c>
      <x:c r="R87" s="27" t="str"/>
      <x:c r="S87" s="31" t="b">
        <x:v>1</x:v>
      </x:c>
      <x:c r="T87" s="27" t="str">
        <x:v>ASM-2026-012</x:v>
      </x:c>
      <x:c r="U87" s="27" t="str">
        <x:v>HZ-2026-012-03</x:v>
      </x:c>
    </x:row>
    <x:row r="88">
      <x:c r="A88" s="28" t="str">
        <x:v>Endocrinology</x:v>
      </x:c>
      <x:c r="B88" s="37" t="n">
        <x:v>46185</x:v>
      </x:c>
      <x:c r="C88" s="26" t="str">
        <x:v>RAH01-2026-012</x:v>
      </x:c>
      <x:c r="D88" s="36" t="n">
        <x:v>4</x:v>
      </x:c>
      <x:c r="E88" s="26" t="str">
        <x:v>Safety and Accident Hazards</x:v>
      </x:c>
      <x:c r="F88" s="26" t="str">
        <x:v>Pathway Obstruction</x:v>
      </x:c>
      <x:c r="G88" s="35" t="n">
        <x:v>2</x:v>
      </x:c>
      <x:c r="H88" s="35" t="n">
        <x:v>19</x:v>
      </x:c>
      <x:c r="I88" s="35" t="n">
        <x:v>2</x:v>
      </x:c>
      <x:c r="J88" s="35" t="n">
        <x:v>3</x:v>
      </x:c>
      <x:c r="K88" s="36" t="n">
        <x:f>IF(AND(S88=TRUE,ISNUMBER(I88),I88=INT(I88),I88&gt;=1,I88&lt;=3,ISNUMBER(J88),J88=INT(J88),J88&gt;=1,J88&lt;=3),I88*J88,"")</x:f>
        <x:v>6</x:v>
      </x:c>
      <x:c r="L88" s="26" t="str">
        <x:f>IF(K88="","",IF(K88&lt;=2,"LOW",IF(K88&lt;=4,"MEDIUM","HIGH")))</x:f>
        <x:v>HIGH</x:v>
      </x:c>
      <x:c r="M88" s="25" t="str">
        <x:v>Safe-work procedures, inspection, housekeeping, guards, and incident reporting are implemented.</x:v>
      </x:c>
      <x:c r="N88" s="25" t="str">
        <x:v>Correct the unsafe condition, document ownership, and verify effectiveness through a follow-up inspection.</x:v>
      </x:c>
      <x:c r="O88" s="30" t="b">
        <x:v>1</x:v>
      </x:c>
      <x:c r="P88" s="27" t="str">
        <x:v>SAFETY_ACCIDENT</x:v>
      </x:c>
      <x:c r="Q88" s="27" t="str">
        <x:v>pathway_obstruction</x:v>
      </x:c>
      <x:c r="R88" s="27" t="str"/>
      <x:c r="S88" s="31" t="b">
        <x:v>1</x:v>
      </x:c>
      <x:c r="T88" s="27" t="str">
        <x:v>ASM-2026-012</x:v>
      </x:c>
      <x:c r="U88" s="27" t="str">
        <x:v>HZ-2026-012-04</x:v>
      </x:c>
    </x:row>
    <x:row r="89">
      <x:c r="A89" s="28" t="str">
        <x:v>Endocrinology</x:v>
      </x:c>
      <x:c r="B89" s="37" t="n">
        <x:v>46185</x:v>
      </x:c>
      <x:c r="C89" s="26" t="str">
        <x:v>RAH01-2026-012</x:v>
      </x:c>
      <x:c r="D89" s="36" t="n">
        <x:v>5</x:v>
      </x:c>
      <x:c r="E89" s="26" t="str">
        <x:v>Psychosocial Hazards</x:v>
      </x:c>
      <x:c r="F89" s="26" t="str">
        <x:v>Work Stress</x:v>
      </x:c>
      <x:c r="G89" s="35" t="n">
        <x:v>5</x:v>
      </x:c>
      <x:c r="H89" s="35" t="n">
        <x:v>26</x:v>
      </x:c>
      <x:c r="I89" s="35" t="n">
        <x:v>3</x:v>
      </x:c>
      <x:c r="J89" s="35" t="n">
        <x:v>3</x:v>
      </x:c>
      <x:c r="K89" s="36" t="n">
        <x:f>IF(AND(S89=TRUE,ISNUMBER(I89),I89=INT(I89),I89&gt;=1,I89&lt;=3,ISNUMBER(J89),J89=INT(J89),J89&gt;=1,J89&lt;=3),I89*J89,"")</x:f>
        <x:v>9</x:v>
      </x:c>
      <x:c r="L89" s="26" t="str">
        <x:f>IF(K89="","",IF(K89&lt;=2,"LOW",IF(K89&lt;=4,"MEDIUM","HIGH")))</x:f>
        <x:v>HIGH</x:v>
      </x:c>
      <x:c r="M89" s="25" t="str">
        <x:v>Shift planning, escalation pathways, security support, breaks, and supervisor check-ins are available.</x:v>
      </x:c>
      <x:c r="N89" s="25" t="str">
        <x:v>Review staffing, breaks, escalation support, and violence-prevention controls with the department manager.</x:v>
      </x:c>
      <x:c r="O89" s="30" t="b">
        <x:v>0</x:v>
      </x:c>
      <x:c r="P89" s="27" t="str">
        <x:v>PSYCHOSOCIAL</x:v>
      </x:c>
      <x:c r="Q89" s="27" t="str">
        <x:v>work_stress</x:v>
      </x:c>
      <x:c r="R89" s="27" t="str"/>
      <x:c r="S89" s="31" t="b">
        <x:v>1</x:v>
      </x:c>
      <x:c r="T89" s="27" t="str">
        <x:v>ASM-2026-012</x:v>
      </x:c>
      <x:c r="U89" s="27" t="str">
        <x:v>HZ-2026-012-05</x:v>
      </x:c>
    </x:row>
    <x:row r="90">
      <x:c r="A90" s="28" t="str">
        <x:v>Endocrinology</x:v>
      </x:c>
      <x:c r="B90" s="37" t="n">
        <x:v>46185</x:v>
      </x:c>
      <x:c r="C90" s="26" t="str">
        <x:v>RAH01-2026-012</x:v>
      </x:c>
      <x:c r="D90" s="36" t="n">
        <x:v>6</x:v>
      </x:c>
      <x:c r="E90" s="26" t="str">
        <x:v>Indoor Air Quality Hazards</x:v>
      </x:c>
      <x:c r="F90" s="26" t="str">
        <x:v>Poor Ventilation</x:v>
      </x:c>
      <x:c r="G90" s="35" t="n">
        <x:v>8</x:v>
      </x:c>
      <x:c r="H90" s="35" t="n">
        <x:v>2</x:v>
      </x:c>
      <x:c r="I90" s="35" t="n">
        <x:v>3</x:v>
      </x:c>
      <x:c r="J90" s="35" t="n">
        <x:v>2</x:v>
      </x:c>
      <x:c r="K90" s="36" t="n">
        <x:f>IF(AND(S90=TRUE,ISNUMBER(I90),I90=INT(I90),I90&gt;=1,I90&lt;=3,ISNUMBER(J90),J90=INT(J90),J90&gt;=1,J90&lt;=3),I90*J90,"")</x:f>
        <x:v>6</x:v>
      </x:c>
      <x:c r="L90" s="26" t="str">
        <x:f>IF(K90="","",IF(K90&lt;=2,"LOW",IF(K90&lt;=4,"MEDIUM","HIGH")))</x:f>
        <x:v>HIGH</x:v>
      </x:c>
      <x:c r="M90" s="25" t="str">
        <x:v>Ventilation, cleaning, occupancy management, and environmental inspection are performed.</x:v>
      </x:c>
      <x:c r="N90" s="25" t="str">
        <x:v>Inspect ventilation and moisture sources, then document corrective action and environmental recheck.</x:v>
      </x:c>
      <x:c r="O90" s="30" t="b">
        <x:v>0</x:v>
      </x:c>
      <x:c r="P90" s="27" t="str">
        <x:v>INDOOR_AIR_QUALITY</x:v>
      </x:c>
      <x:c r="Q90" s="27" t="str">
        <x:v>poor_ventilation</x:v>
      </x:c>
      <x:c r="R90" s="27" t="str"/>
      <x:c r="S90" s="31" t="b">
        <x:v>1</x:v>
      </x:c>
      <x:c r="T90" s="27" t="str">
        <x:v>ASM-2026-012</x:v>
      </x:c>
      <x:c r="U90" s="27" t="str">
        <x:v>HZ-2026-012-06</x:v>
      </x:c>
    </x:row>
    <x:row r="91">
      <x:c r="A91" s="28" t="str">
        <x:v>ENT</x:v>
      </x:c>
      <x:c r="B91" s="37" t="n">
        <x:v>46037</x:v>
      </x:c>
      <x:c r="C91" s="26" t="str">
        <x:v>RAH01-2026-013</x:v>
      </x:c>
      <x:c r="D91" s="36" t="n">
        <x:v>1</x:v>
      </x:c>
      <x:c r="E91" s="26" t="str">
        <x:v>Ergonomic Hazards</x:v>
      </x:c>
      <x:c r="F91" s="26" t="str">
        <x:v>Heavy Lifting / Patient Transfer</x:v>
      </x:c>
      <x:c r="G91" s="35" t="n">
        <x:v>27</x:v>
      </x:c>
      <x:c r="H91" s="35" t="n">
        <x:v>3</x:v>
      </x:c>
      <x:c r="I91" s="35" t="n">
        <x:v>2</x:v>
      </x:c>
      <x:c r="J91" s="35" t="n">
        <x:v>2</x:v>
      </x:c>
      <x:c r="K91" s="36" t="n">
        <x:f>IF(AND(S91=TRUE,ISNUMBER(I91),I91=INT(I91),I91&gt;=1,I91&lt;=3,ISNUMBER(J91),J91=INT(J91),J91&gt;=1,J91&lt;=3),I91*J91,"")</x:f>
        <x:v>4</x:v>
      </x:c>
      <x:c r="L91" s="26" t="str">
        <x:f>IF(K91="","",IF(K91&lt;=2,"LOW",IF(K91&lt;=4,"MEDIUM","HIGH")))</x:f>
        <x:v>MEDIUM</x:v>
      </x:c>
      <x:c r="M91" s="25" t="str">
        <x:v>Task rotation, adjustable equipment, team lifting, and safe-patient-handling guidance are used.</x:v>
      </x:c>
      <x:c r="N91" s="25" t="str">
        <x:v>Complete an ergonomic task assessment and implement equipment or workflow changes to reduce force and repetition.</x:v>
      </x:c>
      <x:c r="O91" s="30" t="b">
        <x:v>0</x:v>
      </x:c>
      <x:c r="P91" s="27" t="str">
        <x:v>ERGONOMIC</x:v>
      </x:c>
      <x:c r="Q91" s="27" t="str">
        <x:v>heavy_lifting_patient_transfer</x:v>
      </x:c>
      <x:c r="R91" s="27" t="str"/>
      <x:c r="S91" s="31" t="b">
        <x:v>1</x:v>
      </x:c>
      <x:c r="T91" s="27" t="str">
        <x:v>ASM-2026-013</x:v>
      </x:c>
      <x:c r="U91" s="27" t="str">
        <x:v>HZ-2026-013-01</x:v>
      </x:c>
    </x:row>
    <x:row r="92">
      <x:c r="A92" s="28" t="str">
        <x:v>ENT</x:v>
      </x:c>
      <x:c r="B92" s="37" t="n">
        <x:v>46037</x:v>
      </x:c>
      <x:c r="C92" s="26" t="str">
        <x:v>RAH01-2026-013</x:v>
      </x:c>
      <x:c r="D92" s="36" t="n">
        <x:v>2</x:v>
      </x:c>
      <x:c r="E92" s="26" t="str">
        <x:v>Ergonomic Hazards</x:v>
      </x:c>
      <x:c r="F92" s="26" t="str">
        <x:v>High Push / Pull Force</x:v>
      </x:c>
      <x:c r="G92" s="35" t="n">
        <x:v>30</x:v>
      </x:c>
      <x:c r="H92" s="35" t="n">
        <x:v>10</x:v>
      </x:c>
      <x:c r="I92" s="35" t="n">
        <x:v>1</x:v>
      </x:c>
      <x:c r="J92" s="35" t="n">
        <x:v>3</x:v>
      </x:c>
      <x:c r="K92" s="36" t="n">
        <x:f>IF(AND(S92=TRUE,ISNUMBER(I92),I92=INT(I92),I92&gt;=1,I92&lt;=3,ISNUMBER(J92),J92=INT(J92),J92&gt;=1,J92&lt;=3),I92*J92,"")</x:f>
        <x:v>3</x:v>
      </x:c>
      <x:c r="L92" s="26" t="str">
        <x:f>IF(K92="","",IF(K92&lt;=2,"LOW",IF(K92&lt;=4,"MEDIUM","HIGH")))</x:f>
        <x:v>MEDIUM</x:v>
      </x:c>
      <x:c r="M92" s="25" t="str">
        <x:v>Task rotation, adjustable equipment, team lifting, and safe-patient-handling guidance are used.</x:v>
      </x:c>
      <x:c r="N92" s="25" t="str">
        <x:v>Complete an ergonomic task assessment and implement equipment or workflow changes to reduce force and repetition.</x:v>
      </x:c>
      <x:c r="O92" s="30" t="b">
        <x:v>0</x:v>
      </x:c>
      <x:c r="P92" s="27" t="str">
        <x:v>ERGONOMIC</x:v>
      </x:c>
      <x:c r="Q92" s="27" t="str">
        <x:v>high_push_pull_force</x:v>
      </x:c>
      <x:c r="R92" s="27" t="str"/>
      <x:c r="S92" s="31" t="b">
        <x:v>1</x:v>
      </x:c>
      <x:c r="T92" s="27" t="str">
        <x:v>ASM-2026-013</x:v>
      </x:c>
      <x:c r="U92" s="27" t="str">
        <x:v>HZ-2026-013-02</x:v>
      </x:c>
    </x:row>
    <x:row r="93">
      <x:c r="A93" s="28" t="str">
        <x:v>ENT</x:v>
      </x:c>
      <x:c r="B93" s="37" t="n">
        <x:v>46037</x:v>
      </x:c>
      <x:c r="C93" s="26" t="str">
        <x:v>RAH01-2026-013</x:v>
      </x:c>
      <x:c r="D93" s="36" t="n">
        <x:v>3</x:v>
      </x:c>
      <x:c r="E93" s="26" t="str">
        <x:v>Ergonomic Hazards</x:v>
      </x:c>
      <x:c r="F93" s="26" t="str">
        <x:v>Unnatural Posture or Movement</x:v>
      </x:c>
      <x:c r="G93" s="35" t="n">
        <x:v>33</x:v>
      </x:c>
      <x:c r="H93" s="35" t="n">
        <x:v>17</x:v>
      </x:c>
      <x:c r="I93" s="35" t="n">
        <x:v>3</x:v>
      </x:c>
      <x:c r="J93" s="35" t="n">
        <x:v>1</x:v>
      </x:c>
      <x:c r="K93" s="36" t="n">
        <x:f>IF(AND(S93=TRUE,ISNUMBER(I93),I93=INT(I93),I93&gt;=1,I93&lt;=3,ISNUMBER(J93),J93=INT(J93),J93&gt;=1,J93&lt;=3),I93*J93,"")</x:f>
        <x:v>3</x:v>
      </x:c>
      <x:c r="L93" s="26" t="str">
        <x:f>IF(K93="","",IF(K93&lt;=2,"LOW",IF(K93&lt;=4,"MEDIUM","HIGH")))</x:f>
        <x:v>MEDIUM</x:v>
      </x:c>
      <x:c r="M93" s="25" t="str">
        <x:v>Task rotation, adjustable equipment, team lifting, and safe-patient-handling guidance are used.</x:v>
      </x:c>
      <x:c r="N93" s="25" t="str">
        <x:v>Complete an ergonomic task assessment and implement equipment or workflow changes to reduce force and repetition.</x:v>
      </x:c>
      <x:c r="O93" s="30" t="b">
        <x:v>0</x:v>
      </x:c>
      <x:c r="P93" s="27" t="str">
        <x:v>ERGONOMIC</x:v>
      </x:c>
      <x:c r="Q93" s="27" t="str">
        <x:v>unnatural_posture</x:v>
      </x:c>
      <x:c r="R93" s="27" t="str"/>
      <x:c r="S93" s="31" t="b">
        <x:v>1</x:v>
      </x:c>
      <x:c r="T93" s="27" t="str">
        <x:v>ASM-2026-013</x:v>
      </x:c>
      <x:c r="U93" s="27" t="str">
        <x:v>HZ-2026-013-03</x:v>
      </x:c>
    </x:row>
    <x:row r="94">
      <x:c r="A94" s="28" t="str">
        <x:v>ENT</x:v>
      </x:c>
      <x:c r="B94" s="37" t="n">
        <x:v>46037</x:v>
      </x:c>
      <x:c r="C94" s="26" t="str">
        <x:v>RAH01-2026-013</x:v>
      </x:c>
      <x:c r="D94" s="36" t="n">
        <x:v>4</x:v>
      </x:c>
      <x:c r="E94" s="26" t="str">
        <x:v>Ergonomic Hazards</x:v>
      </x:c>
      <x:c r="F94" s="26" t="str">
        <x:v>Repetitive Tasks</x:v>
      </x:c>
      <x:c r="G94" s="35" t="n">
        <x:v>36</x:v>
      </x:c>
      <x:c r="H94" s="35" t="n">
        <x:v>24</x:v>
      </x:c>
      <x:c r="I94" s="35" t="n">
        <x:v>2</x:v>
      </x:c>
      <x:c r="J94" s="35" t="n">
        <x:v>2</x:v>
      </x:c>
      <x:c r="K94" s="36" t="n">
        <x:f>IF(AND(S94=TRUE,ISNUMBER(I94),I94=INT(I94),I94&gt;=1,I94&lt;=3,ISNUMBER(J94),J94=INT(J94),J94&gt;=1,J94&lt;=3),I94*J94,"")</x:f>
        <x:v>4</x:v>
      </x:c>
      <x:c r="L94" s="26" t="str">
        <x:f>IF(K94="","",IF(K94&lt;=2,"LOW",IF(K94&lt;=4,"MEDIUM","HIGH")))</x:f>
        <x:v>MEDIUM</x:v>
      </x:c>
      <x:c r="M94" s="25" t="str">
        <x:v>Task rotation, adjustable equipment, team lifting, and safe-patient-handling guidance are used.</x:v>
      </x:c>
      <x:c r="N94" s="25" t="str">
        <x:v>Complete an ergonomic task assessment and implement equipment or workflow changes to reduce force and repetition.</x:v>
      </x:c>
      <x:c r="O94" s="30" t="b">
        <x:v>0</x:v>
      </x:c>
      <x:c r="P94" s="27" t="str">
        <x:v>ERGONOMIC</x:v>
      </x:c>
      <x:c r="Q94" s="27" t="str">
        <x:v>repetitive_tasks</x:v>
      </x:c>
      <x:c r="R94" s="27" t="str"/>
      <x:c r="S94" s="31" t="b">
        <x:v>1</x:v>
      </x:c>
      <x:c r="T94" s="27" t="str">
        <x:v>ASM-2026-013</x:v>
      </x:c>
      <x:c r="U94" s="27" t="str">
        <x:v>HZ-2026-013-04</x:v>
      </x:c>
    </x:row>
    <x:row r="95">
      <x:c r="A95" s="28" t="str">
        <x:v>ENT</x:v>
      </x:c>
      <x:c r="B95" s="37" t="n">
        <x:v>46037</x:v>
      </x:c>
      <x:c r="C95" s="26" t="str">
        <x:v>RAH01-2026-013</x:v>
      </x:c>
      <x:c r="D95" s="36" t="n">
        <x:v>5</x:v>
      </x:c>
      <x:c r="E95" s="26" t="str">
        <x:v>Fire and Disaster Hazards</x:v>
      </x:c>
      <x:c r="F95" s="26" t="str">
        <x:v>Electrical Equipment</x:v>
      </x:c>
      <x:c r="G95" s="35" t="n">
        <x:v>39</x:v>
      </x:c>
      <x:c r="H95" s="35" t="n">
        <x:v>0</x:v>
      </x:c>
      <x:c r="I95" s="35" t="n">
        <x:v>1</x:v>
      </x:c>
      <x:c r="J95" s="35" t="n">
        <x:v>3</x:v>
      </x:c>
      <x:c r="K95" s="36" t="n">
        <x:f>IF(AND(S95=TRUE,ISNUMBER(I95),I95=INT(I95),I95&gt;=1,I95&lt;=3,ISNUMBER(J95),J95=INT(J95),J95&gt;=1,J95&lt;=3),I95*J95,"")</x:f>
        <x:v>3</x:v>
      </x:c>
      <x:c r="L95" s="26" t="str">
        <x:f>IF(K95="","",IF(K95&lt;=2,"LOW",IF(K95&lt;=4,"MEDIUM","HIGH")))</x:f>
        <x:v>MEDIUM</x:v>
      </x:c>
      <x:c r="M95" s="25" t="str">
        <x:v>Electrical inspection, isolation procedures, alarms, extinguishers, and emergency response plans are maintained.</x:v>
      </x:c>
      <x:c r="N95" s="25" t="str">
        <x:v>Complete an engineering inspection and emergency-readiness check before the next scheduled review.</x:v>
      </x:c>
      <x:c r="O95" s="30" t="b">
        <x:v>0</x:v>
      </x:c>
      <x:c r="P95" s="27" t="str">
        <x:v>FIRE_DISASTER</x:v>
      </x:c>
      <x:c r="Q95" s="27" t="str">
        <x:v>electrical_equipment</x:v>
      </x:c>
      <x:c r="R95" s="27" t="str"/>
      <x:c r="S95" s="31" t="b">
        <x:v>1</x:v>
      </x:c>
      <x:c r="T95" s="27" t="str">
        <x:v>ASM-2026-013</x:v>
      </x:c>
      <x:c r="U95" s="27" t="str">
        <x:v>HZ-2026-013-05</x:v>
      </x:c>
    </x:row>
    <x:row r="96">
      <x:c r="A96" s="28" t="str">
        <x:v>ENT</x:v>
      </x:c>
      <x:c r="B96" s="37" t="n">
        <x:v>46037</x:v>
      </x:c>
      <x:c r="C96" s="26" t="str">
        <x:v>RAH01-2026-013</x:v>
      </x:c>
      <x:c r="D96" s="36" t="n">
        <x:v>6</x:v>
      </x:c>
      <x:c r="E96" s="26" t="str">
        <x:v>Safety and Accident Hazards</x:v>
      </x:c>
      <x:c r="F96" s="26" t="str">
        <x:v>Slippery Surface</x:v>
      </x:c>
      <x:c r="G96" s="35" t="n">
        <x:v>3</x:v>
      </x:c>
      <x:c r="H96" s="35" t="n">
        <x:v>7</x:v>
      </x:c>
      <x:c r="I96" s="35" t="n">
        <x:v>3</x:v>
      </x:c>
      <x:c r="J96" s="35" t="n">
        <x:v>1</x:v>
      </x:c>
      <x:c r="K96" s="36" t="n">
        <x:f>IF(AND(S96=TRUE,ISNUMBER(I96),I96=INT(I96),I96&gt;=1,I96&lt;=3,ISNUMBER(J96),J96=INT(J96),J96&gt;=1,J96&lt;=3),I96*J96,"")</x:f>
        <x:v>3</x:v>
      </x:c>
      <x:c r="L96" s="26" t="str">
        <x:f>IF(K96="","",IF(K96&lt;=2,"LOW",IF(K96&lt;=4,"MEDIUM","HIGH")))</x:f>
        <x:v>MEDIUM</x:v>
      </x:c>
      <x:c r="M96" s="25" t="str">
        <x:v>Safe-work procedures, inspection, housekeeping, guards, and incident reporting are implemented.</x:v>
      </x:c>
      <x:c r="N96" s="25" t="str">
        <x:v>Correct the unsafe condition, document ownership, and verify effectiveness through a follow-up inspection.</x:v>
      </x:c>
      <x:c r="O96" s="30" t="b">
        <x:v>0</x:v>
      </x:c>
      <x:c r="P96" s="27" t="str">
        <x:v>SAFETY_ACCIDENT</x:v>
      </x:c>
      <x:c r="Q96" s="27" t="str">
        <x:v>slippery_surface</x:v>
      </x:c>
      <x:c r="R96" s="27" t="str"/>
      <x:c r="S96" s="31" t="b">
        <x:v>1</x:v>
      </x:c>
      <x:c r="T96" s="27" t="str">
        <x:v>ASM-2026-013</x:v>
      </x:c>
      <x:c r="U96" s="27" t="str">
        <x:v>HZ-2026-013-06</x:v>
      </x:c>
    </x:row>
    <x:row r="97">
      <x:c r="A97" s="28" t="str">
        <x:v>ENT</x:v>
      </x:c>
      <x:c r="B97" s="37" t="n">
        <x:v>46037</x:v>
      </x:c>
      <x:c r="C97" s="26" t="str">
        <x:v>RAH01-2026-013</x:v>
      </x:c>
      <x:c r="D97" s="36" t="n">
        <x:v>7</x:v>
      </x:c>
      <x:c r="E97" s="26" t="str">
        <x:v>Safety and Accident Hazards</x:v>
      </x:c>
      <x:c r="F97" s="26" t="str">
        <x:v>Pathway Obstruction</x:v>
      </x:c>
      <x:c r="G97" s="35" t="n">
        <x:v>6</x:v>
      </x:c>
      <x:c r="H97" s="35" t="n">
        <x:v>14</x:v>
      </x:c>
      <x:c r="I97" s="35" t="n">
        <x:v>2</x:v>
      </x:c>
      <x:c r="J97" s="35" t="n">
        <x:v>2</x:v>
      </x:c>
      <x:c r="K97" s="36" t="n">
        <x:f>IF(AND(S97=TRUE,ISNUMBER(I97),I97=INT(I97),I97&gt;=1,I97&lt;=3,ISNUMBER(J97),J97=INT(J97),J97&gt;=1,J97&lt;=3),I97*J97,"")</x:f>
        <x:v>4</x:v>
      </x:c>
      <x:c r="L97" s="26" t="str">
        <x:f>IF(K97="","",IF(K97&lt;=2,"LOW",IF(K97&lt;=4,"MEDIUM","HIGH")))</x:f>
        <x:v>MEDIUM</x:v>
      </x:c>
      <x:c r="M97" s="25" t="str">
        <x:v>Safe-work procedures, inspection, housekeeping, guards, and incident reporting are implemented.</x:v>
      </x:c>
      <x:c r="N97" s="25" t="str">
        <x:v>Correct the unsafe condition, document ownership, and verify effectiveness through a follow-up inspection.</x:v>
      </x:c>
      <x:c r="O97" s="30" t="b">
        <x:v>0</x:v>
      </x:c>
      <x:c r="P97" s="27" t="str">
        <x:v>SAFETY_ACCIDENT</x:v>
      </x:c>
      <x:c r="Q97" s="27" t="str">
        <x:v>pathway_obstruction</x:v>
      </x:c>
      <x:c r="R97" s="27" t="str"/>
      <x:c r="S97" s="31" t="b">
        <x:v>1</x:v>
      </x:c>
      <x:c r="T97" s="27" t="str">
        <x:v>ASM-2026-013</x:v>
      </x:c>
      <x:c r="U97" s="27" t="str">
        <x:v>HZ-2026-013-07</x:v>
      </x:c>
    </x:row>
    <x:row r="98">
      <x:c r="A98" s="28" t="str">
        <x:v>Environmental Health</x:v>
      </x:c>
      <x:c r="B98" s="37" t="n">
        <x:v>46071</x:v>
      </x:c>
      <x:c r="C98" s="26" t="str">
        <x:v>RAH01-2026-014</x:v>
      </x:c>
      <x:c r="D98" s="36" t="n">
        <x:v>1</x:v>
      </x:c>
      <x:c r="E98" s="26" t="str">
        <x:v>Biological Hazards</x:v>
      </x:c>
      <x:c r="F98" s="26" t="str">
        <x:v>Viruses</x:v>
      </x:c>
      <x:c r="G98" s="35" t="n">
        <x:v>29</x:v>
      </x:c>
      <x:c r="H98" s="35" t="n">
        <x:v>8</x:v>
      </x:c>
      <x:c r="I98" s="35" t="n">
        <x:v>3</x:v>
      </x:c>
      <x:c r="J98" s="35" t="n">
        <x:v>1</x:v>
      </x:c>
      <x:c r="K98" s="36" t="n">
        <x:f>IF(AND(S98=TRUE,ISNUMBER(I98),I98=INT(I98),I98&gt;=1,I98&lt;=3,ISNUMBER(J98),J98=INT(J98),J98&gt;=1,J98&lt;=3),I98*J98,"")</x:f>
        <x:v>3</x:v>
      </x:c>
      <x:c r="L98" s="26" t="str">
        <x:f>IF(K98="","",IF(K98&lt;=2,"LOW",IF(K98&lt;=4,"MEDIUM","HIGH")))</x:f>
        <x:v>MEDIUM</x:v>
      </x:c>
      <x:c r="M98" s="25" t="str">
        <x:v>Standard precautions, hand hygiene, vaccination, cleaning, and appropriate PPE are implemented.</x:v>
      </x:c>
      <x:c r="N98" s="25" t="str">
        <x:v>Audit compliance, investigate exposure incidents, and reinforce source-control and PPE practice.</x:v>
      </x:c>
      <x:c r="O98" s="30" t="b">
        <x:v>0</x:v>
      </x:c>
      <x:c r="P98" s="27" t="str">
        <x:v>BIOLOGICAL</x:v>
      </x:c>
      <x:c r="Q98" s="27" t="str">
        <x:v>viruses</x:v>
      </x:c>
      <x:c r="R98" s="27" t="str"/>
      <x:c r="S98" s="31" t="b">
        <x:v>1</x:v>
      </x:c>
      <x:c r="T98" s="27" t="str">
        <x:v>ASM-2026-014</x:v>
      </x:c>
      <x:c r="U98" s="27" t="str">
        <x:v>HZ-2026-014-01</x:v>
      </x:c>
    </x:row>
    <x:row r="99">
      <x:c r="A99" s="28" t="str">
        <x:v>Environmental Health</x:v>
      </x:c>
      <x:c r="B99" s="37" t="n">
        <x:v>46071</x:v>
      </x:c>
      <x:c r="C99" s="26" t="str">
        <x:v>RAH01-2026-014</x:v>
      </x:c>
      <x:c r="D99" s="36" t="n">
        <x:v>2</x:v>
      </x:c>
      <x:c r="E99" s="26" t="str">
        <x:v>Biological Hazards</x:v>
      </x:c>
      <x:c r="F99" s="26" t="str">
        <x:v>Bacteria</x:v>
      </x:c>
      <x:c r="G99" s="35" t="n">
        <x:v>32</x:v>
      </x:c>
      <x:c r="H99" s="35" t="n">
        <x:v>15</x:v>
      </x:c>
      <x:c r="I99" s="35" t="n">
        <x:v>2</x:v>
      </x:c>
      <x:c r="J99" s="35" t="n">
        <x:v>2</x:v>
      </x:c>
      <x:c r="K99" s="36" t="n">
        <x:f>IF(AND(S99=TRUE,ISNUMBER(I99),I99=INT(I99),I99&gt;=1,I99&lt;=3,ISNUMBER(J99),J99=INT(J99),J99&gt;=1,J99&lt;=3),I99*J99,"")</x:f>
        <x:v>4</x:v>
      </x:c>
      <x:c r="L99" s="26" t="str">
        <x:f>IF(K99="","",IF(K99&lt;=2,"LOW",IF(K99&lt;=4,"MEDIUM","HIGH")))</x:f>
        <x:v>MEDIUM</x:v>
      </x:c>
      <x:c r="M99" s="25" t="str">
        <x:v>Standard precautions, hand hygiene, vaccination, cleaning, and appropriate PPE are implemented.</x:v>
      </x:c>
      <x:c r="N99" s="25" t="str">
        <x:v>Audit compliance, investigate exposure incidents, and reinforce source-control and PPE practice.</x:v>
      </x:c>
      <x:c r="O99" s="30" t="b">
        <x:v>0</x:v>
      </x:c>
      <x:c r="P99" s="27" t="str">
        <x:v>BIOLOGICAL</x:v>
      </x:c>
      <x:c r="Q99" s="27" t="str">
        <x:v>bacteria</x:v>
      </x:c>
      <x:c r="R99" s="27" t="str"/>
      <x:c r="S99" s="31" t="b">
        <x:v>1</x:v>
      </x:c>
      <x:c r="T99" s="27" t="str">
        <x:v>ASM-2026-014</x:v>
      </x:c>
      <x:c r="U99" s="27" t="str">
        <x:v>HZ-2026-014-02</x:v>
      </x:c>
    </x:row>
    <x:row r="100">
      <x:c r="A100" s="28" t="str">
        <x:v>Environmental Health</x:v>
      </x:c>
      <x:c r="B100" s="37" t="n">
        <x:v>46071</x:v>
      </x:c>
      <x:c r="C100" s="26" t="str">
        <x:v>RAH01-2026-014</x:v>
      </x:c>
      <x:c r="D100" s="36" t="n">
        <x:v>3</x:v>
      </x:c>
      <x:c r="E100" s="26" t="str">
        <x:v>Safety and Accident Hazards</x:v>
      </x:c>
      <x:c r="F100" s="26" t="str">
        <x:v>Sharps / Needlestick</x:v>
      </x:c>
      <x:c r="G100" s="35" t="n">
        <x:v>35</x:v>
      </x:c>
      <x:c r="H100" s="35" t="n">
        <x:v>22</x:v>
      </x:c>
      <x:c r="I100" s="35" t="n">
        <x:v>1</x:v>
      </x:c>
      <x:c r="J100" s="35" t="n">
        <x:v>3</x:v>
      </x:c>
      <x:c r="K100" s="36" t="n">
        <x:f>IF(AND(S100=TRUE,ISNUMBER(I100),I100=INT(I100),I100&gt;=1,I100&lt;=3,ISNUMBER(J100),J100=INT(J100),J100&gt;=1,J100&lt;=3),I100*J100,"")</x:f>
        <x:v>3</x:v>
      </x:c>
      <x:c r="L100" s="26" t="str">
        <x:f>IF(K100="","",IF(K100&lt;=2,"LOW",IF(K100&lt;=4,"MEDIUM","HIGH")))</x:f>
        <x:v>MEDIUM</x:v>
      </x:c>
      <x:c r="M100" s="25" t="str">
        <x:v>Safe-work procedures, inspection, housekeeping, guards, and incident reporting are implemented.</x:v>
      </x:c>
      <x:c r="N100" s="25" t="str">
        <x:v>Correct the unsafe condition, document ownership, and verify effectiveness through a follow-up inspection.</x:v>
      </x:c>
      <x:c r="O100" s="30" t="b">
        <x:v>0</x:v>
      </x:c>
      <x:c r="P100" s="27" t="str">
        <x:v>SAFETY_ACCIDENT</x:v>
      </x:c>
      <x:c r="Q100" s="27" t="str">
        <x:v>sharps</x:v>
      </x:c>
      <x:c r="R100" s="27" t="str"/>
      <x:c r="S100" s="31" t="b">
        <x:v>1</x:v>
      </x:c>
      <x:c r="T100" s="27" t="str">
        <x:v>ASM-2026-014</x:v>
      </x:c>
      <x:c r="U100" s="27" t="str">
        <x:v>HZ-2026-014-03</x:v>
      </x:c>
    </x:row>
    <x:row r="101">
      <x:c r="A101" s="28" t="str">
        <x:v>Environmental Health</x:v>
      </x:c>
      <x:c r="B101" s="37" t="n">
        <x:v>46071</x:v>
      </x:c>
      <x:c r="C101" s="26" t="str">
        <x:v>RAH01-2026-014</x:v>
      </x:c>
      <x:c r="D101" s="36" t="n">
        <x:v>4</x:v>
      </x:c>
      <x:c r="E101" s="26" t="str">
        <x:v>Chemical Hazards</x:v>
      </x:c>
      <x:c r="F101" s="26" t="str">
        <x:v>Sterilization / Disinfection Chemicals</x:v>
      </x:c>
      <x:c r="G101" s="35" t="n">
        <x:v>38</x:v>
      </x:c>
      <x:c r="H101" s="35" t="n">
        <x:v>29</x:v>
      </x:c>
      <x:c r="I101" s="35" t="n">
        <x:v>3</x:v>
      </x:c>
      <x:c r="J101" s="35" t="n">
        <x:v>1</x:v>
      </x:c>
      <x:c r="K101" s="36" t="n">
        <x:f>IF(AND(S101=TRUE,ISNUMBER(I101),I101=INT(I101),I101&gt;=1,I101&lt;=3,ISNUMBER(J101),J101=INT(J101),J101&gt;=1,J101&lt;=3),I101*J101,"")</x:f>
        <x:v>3</x:v>
      </x:c>
      <x:c r="L101" s="26" t="str">
        <x:f>IF(K101="","",IF(K101&lt;=2,"LOW",IF(K101&lt;=4,"MEDIUM","HIGH")))</x:f>
        <x:v>MEDIUM</x:v>
      </x:c>
      <x:c r="M101" s="25" t="str">
        <x:v>Safety data, labeled containers, local procedures, ventilation, and chemical-resistant PPE are available.</x:v>
      </x:c>
      <x:c r="N101" s="25" t="str">
        <x:v>Review substitution, ventilation, storage, spill response, and staff competency for this chemical task.</x:v>
      </x:c>
      <x:c r="O101" s="30" t="b">
        <x:v>0</x:v>
      </x:c>
      <x:c r="P101" s="27" t="str">
        <x:v>CHEMICAL</x:v>
      </x:c>
      <x:c r="Q101" s="27" t="str">
        <x:v>sterilization_disinfection_chemicals</x:v>
      </x:c>
      <x:c r="R101" s="27" t="str"/>
      <x:c r="S101" s="31" t="b">
        <x:v>1</x:v>
      </x:c>
      <x:c r="T101" s="27" t="str">
        <x:v>ASM-2026-014</x:v>
      </x:c>
      <x:c r="U101" s="27" t="str">
        <x:v>HZ-2026-014-04</x:v>
      </x:c>
    </x:row>
    <x:row r="102">
      <x:c r="A102" s="28" t="str">
        <x:v>Environmental Health</x:v>
      </x:c>
      <x:c r="B102" s="37" t="n">
        <x:v>46071</x:v>
      </x:c>
      <x:c r="C102" s="26" t="str">
        <x:v>RAH01-2026-014</x:v>
      </x:c>
      <x:c r="D102" s="36" t="n">
        <x:v>5</x:v>
      </x:c>
      <x:c r="E102" s="26" t="str">
        <x:v>Ergonomic Hazards</x:v>
      </x:c>
      <x:c r="F102" s="26" t="str">
        <x:v>Unnatural Posture or Movement</x:v>
      </x:c>
      <x:c r="G102" s="35" t="n">
        <x:v>41</x:v>
      </x:c>
      <x:c r="H102" s="35" t="n">
        <x:v>5</x:v>
      </x:c>
      <x:c r="I102" s="35" t="n">
        <x:v>2</x:v>
      </x:c>
      <x:c r="J102" s="35" t="n">
        <x:v>2</x:v>
      </x:c>
      <x:c r="K102" s="36" t="n">
        <x:f>IF(AND(S102=TRUE,ISNUMBER(I102),I102=INT(I102),I102&gt;=1,I102&lt;=3,ISNUMBER(J102),J102=INT(J102),J102&gt;=1,J102&lt;=3),I102*J102,"")</x:f>
        <x:v>4</x:v>
      </x:c>
      <x:c r="L102" s="26" t="str">
        <x:f>IF(K102="","",IF(K102&lt;=2,"LOW",IF(K102&lt;=4,"MEDIUM","HIGH")))</x:f>
        <x:v>MEDIUM</x:v>
      </x:c>
      <x:c r="M102" s="25" t="str">
        <x:v>Task rotation, adjustable equipment, team lifting, and safe-patient-handling guidance are used.</x:v>
      </x:c>
      <x:c r="N102" s="25" t="str">
        <x:v>Complete an ergonomic task assessment and implement equipment or workflow changes to reduce force and repetition.</x:v>
      </x:c>
      <x:c r="O102" s="30" t="b">
        <x:v>0</x:v>
      </x:c>
      <x:c r="P102" s="27" t="str">
        <x:v>ERGONOMIC</x:v>
      </x:c>
      <x:c r="Q102" s="27" t="str">
        <x:v>unnatural_posture</x:v>
      </x:c>
      <x:c r="R102" s="27" t="str"/>
      <x:c r="S102" s="31" t="b">
        <x:v>1</x:v>
      </x:c>
      <x:c r="T102" s="27" t="str">
        <x:v>ASM-2026-014</x:v>
      </x:c>
      <x:c r="U102" s="27" t="str">
        <x:v>HZ-2026-014-05</x:v>
      </x:c>
    </x:row>
    <x:row r="103">
      <x:c r="A103" s="28" t="str">
        <x:v>Environmental Health</x:v>
      </x:c>
      <x:c r="B103" s="37" t="n">
        <x:v>46071</x:v>
      </x:c>
      <x:c r="C103" s="26" t="str">
        <x:v>RAH01-2026-014</x:v>
      </x:c>
      <x:c r="D103" s="36" t="n">
        <x:v>6</x:v>
      </x:c>
      <x:c r="E103" s="26" t="str">
        <x:v>Physical Hazards</x:v>
      </x:c>
      <x:c r="F103" s="26" t="str">
        <x:v>Noise</x:v>
      </x:c>
      <x:c r="G103" s="35" t="n">
        <x:v>44</x:v>
      </x:c>
      <x:c r="H103" s="35" t="n">
        <x:v>12</x:v>
      </x:c>
      <x:c r="I103" s="35" t="n">
        <x:v>1</x:v>
      </x:c>
      <x:c r="J103" s="35" t="n">
        <x:v>3</x:v>
      </x:c>
      <x:c r="K103" s="36" t="n">
        <x:f>IF(AND(S103=TRUE,ISNUMBER(I103),I103=INT(I103),I103&gt;=1,I103&lt;=3,ISNUMBER(J103),J103=INT(J103),J103&gt;=1,J103&lt;=3),I103*J103,"")</x:f>
        <x:v>3</x:v>
      </x:c>
      <x:c r="L103" s="26" t="str">
        <x:f>IF(K103="","",IF(K103&lt;=2,"LOW",IF(K103&lt;=4,"MEDIUM","HIGH")))</x:f>
        <x:v>MEDIUM</x:v>
      </x:c>
      <x:c r="M103" s="25" t="str">
        <x:v>Engineering controls, preventive maintenance, posted limits, and periodic exposure monitoring are in place.</x:v>
      </x:c>
      <x:c r="N103" s="25" t="str">
        <x:v>Measure exposure against the hospital standard and close any engineering-control gap within 90 days.</x:v>
      </x:c>
      <x:c r="O103" s="30" t="b">
        <x:v>0</x:v>
      </x:c>
      <x:c r="P103" s="27" t="str">
        <x:v>PHYSICAL</x:v>
      </x:c>
      <x:c r="Q103" s="27" t="str">
        <x:v>noise</x:v>
      </x:c>
      <x:c r="R103" s="27" t="str"/>
      <x:c r="S103" s="31" t="b">
        <x:v>1</x:v>
      </x:c>
      <x:c r="T103" s="27" t="str">
        <x:v>ASM-2026-014</x:v>
      </x:c>
      <x:c r="U103" s="27" t="str">
        <x:v>HZ-2026-014-06</x:v>
      </x:c>
    </x:row>
    <x:row r="104">
      <x:c r="A104" s="28" t="str">
        <x:v>Environmental Health</x:v>
      </x:c>
      <x:c r="B104" s="37" t="n">
        <x:v>46071</x:v>
      </x:c>
      <x:c r="C104" s="26" t="str">
        <x:v>RAH01-2026-014</x:v>
      </x:c>
      <x:c r="D104" s="36" t="n">
        <x:v>7</x:v>
      </x:c>
      <x:c r="E104" s="26" t="str">
        <x:v>Physical Hazards</x:v>
      </x:c>
      <x:c r="F104" s="26" t="str">
        <x:v>Lighting</x:v>
      </x:c>
      <x:c r="G104" s="35" t="n">
        <x:v>1</x:v>
      </x:c>
      <x:c r="H104" s="35" t="n">
        <x:v>19</x:v>
      </x:c>
      <x:c r="I104" s="35" t="n">
        <x:v>3</x:v>
      </x:c>
      <x:c r="J104" s="35" t="n">
        <x:v>1</x:v>
      </x:c>
      <x:c r="K104" s="36" t="n">
        <x:f>IF(AND(S104=TRUE,ISNUMBER(I104),I104=INT(I104),I104&gt;=1,I104&lt;=3,ISNUMBER(J104),J104=INT(J104),J104&gt;=1,J104&lt;=3),I104*J104,"")</x:f>
        <x:v>3</x:v>
      </x:c>
      <x:c r="L104" s="26" t="str">
        <x:f>IF(K104="","",IF(K104&lt;=2,"LOW",IF(K104&lt;=4,"MEDIUM","HIGH")))</x:f>
        <x:v>MEDIUM</x:v>
      </x:c>
      <x:c r="M104" s="25" t="str">
        <x:v>Engineering controls, preventive maintenance, posted limits, and periodic exposure monitoring are in place.</x:v>
      </x:c>
      <x:c r="N104" s="25" t="str">
        <x:v>Measure exposure against the hospital standard and close any engineering-control gap within 90 days.</x:v>
      </x:c>
      <x:c r="O104" s="30" t="b">
        <x:v>0</x:v>
      </x:c>
      <x:c r="P104" s="27" t="str">
        <x:v>PHYSICAL</x:v>
      </x:c>
      <x:c r="Q104" s="27" t="str">
        <x:v>lighting</x:v>
      </x:c>
      <x:c r="R104" s="27" t="str"/>
      <x:c r="S104" s="31" t="b">
        <x:v>1</x:v>
      </x:c>
      <x:c r="T104" s="27" t="str">
        <x:v>ASM-2026-014</x:v>
      </x:c>
      <x:c r="U104" s="27" t="str">
        <x:v>HZ-2026-014-07</x:v>
      </x:c>
    </x:row>
    <x:row r="105">
      <x:c r="A105" s="28" t="str">
        <x:v>Eye Clinic</x:v>
      </x:c>
      <x:c r="B105" s="37" t="n">
        <x:v>46102</x:v>
      </x:c>
      <x:c r="C105" s="26" t="str">
        <x:v>RAH01-2026-015</x:v>
      </x:c>
      <x:c r="D105" s="36" t="n">
        <x:v>1</x:v>
      </x:c>
      <x:c r="E105" s="26" t="str">
        <x:v>Biological Hazards</x:v>
      </x:c>
      <x:c r="F105" s="26" t="str">
        <x:v>Viruses</x:v>
      </x:c>
      <x:c r="G105" s="35" t="n">
        <x:v>31</x:v>
      </x:c>
      <x:c r="H105" s="35" t="n">
        <x:v>13</x:v>
      </x:c>
      <x:c r="I105" s="35" t="n">
        <x:v>1</x:v>
      </x:c>
      <x:c r="J105" s="35" t="n">
        <x:v>3</x:v>
      </x:c>
      <x:c r="K105" s="36" t="n">
        <x:f>IF(AND(S105=TRUE,ISNUMBER(I105),I105=INT(I105),I105&gt;=1,I105&lt;=3,ISNUMBER(J105),J105=INT(J105),J105&gt;=1,J105&lt;=3),I105*J105,"")</x:f>
        <x:v>3</x:v>
      </x:c>
      <x:c r="L105" s="26" t="str">
        <x:f>IF(K105="","",IF(K105&lt;=2,"LOW",IF(K105&lt;=4,"MEDIUM","HIGH")))</x:f>
        <x:v>MEDIUM</x:v>
      </x:c>
      <x:c r="M105" s="25" t="str">
        <x:v>Standard precautions, hand hygiene, vaccination, cleaning, and appropriate PPE are implemented.</x:v>
      </x:c>
      <x:c r="N105" s="25" t="str">
        <x:v>Audit compliance, investigate exposure incidents, and reinforce source-control and PPE practice.</x:v>
      </x:c>
      <x:c r="O105" s="30" t="b">
        <x:v>0</x:v>
      </x:c>
      <x:c r="P105" s="27" t="str">
        <x:v>BIOLOGICAL</x:v>
      </x:c>
      <x:c r="Q105" s="27" t="str">
        <x:v>viruses</x:v>
      </x:c>
      <x:c r="R105" s="27" t="str"/>
      <x:c r="S105" s="31" t="b">
        <x:v>1</x:v>
      </x:c>
      <x:c r="T105" s="27" t="str">
        <x:v>ASM-2026-015</x:v>
      </x:c>
      <x:c r="U105" s="27" t="str">
        <x:v>HZ-2026-015-01</x:v>
      </x:c>
    </x:row>
    <x:row r="106">
      <x:c r="A106" s="28" t="str">
        <x:v>Eye Clinic</x:v>
      </x:c>
      <x:c r="B106" s="37" t="n">
        <x:v>46102</x:v>
      </x:c>
      <x:c r="C106" s="26" t="str">
        <x:v>RAH01-2026-015</x:v>
      </x:c>
      <x:c r="D106" s="36" t="n">
        <x:v>2</x:v>
      </x:c>
      <x:c r="E106" s="26" t="str">
        <x:v>Indoor Air Quality Hazards</x:v>
      </x:c>
      <x:c r="F106" s="26" t="str">
        <x:v>Crowded / Stuffy Conditions</x:v>
      </x:c>
      <x:c r="G106" s="35" t="n">
        <x:v>34</x:v>
      </x:c>
      <x:c r="H106" s="35" t="n">
        <x:v>20</x:v>
      </x:c>
      <x:c r="I106" s="35" t="n">
        <x:v>3</x:v>
      </x:c>
      <x:c r="J106" s="35" t="n">
        <x:v>1</x:v>
      </x:c>
      <x:c r="K106" s="36" t="n">
        <x:f>IF(AND(S106=TRUE,ISNUMBER(I106),I106=INT(I106),I106&gt;=1,I106&lt;=3,ISNUMBER(J106),J106=INT(J106),J106&gt;=1,J106&lt;=3),I106*J106,"")</x:f>
        <x:v>3</x:v>
      </x:c>
      <x:c r="L106" s="26" t="str">
        <x:f>IF(K106="","",IF(K106&lt;=2,"LOW",IF(K106&lt;=4,"MEDIUM","HIGH")))</x:f>
        <x:v>MEDIUM</x:v>
      </x:c>
      <x:c r="M106" s="25" t="str">
        <x:v>Ventilation, cleaning, occupancy management, and environmental inspection are performed.</x:v>
      </x:c>
      <x:c r="N106" s="25" t="str">
        <x:v>Inspect ventilation and moisture sources, then document corrective action and environmental recheck.</x:v>
      </x:c>
      <x:c r="O106" s="30" t="b">
        <x:v>0</x:v>
      </x:c>
      <x:c r="P106" s="27" t="str">
        <x:v>INDOOR_AIR_QUALITY</x:v>
      </x:c>
      <x:c r="Q106" s="27" t="str">
        <x:v>crowded_stuffy</x:v>
      </x:c>
      <x:c r="R106" s="27" t="str"/>
      <x:c r="S106" s="31" t="b">
        <x:v>1</x:v>
      </x:c>
      <x:c r="T106" s="27" t="str">
        <x:v>ASM-2026-015</x:v>
      </x:c>
      <x:c r="U106" s="27" t="str">
        <x:v>HZ-2026-015-02</x:v>
      </x:c>
    </x:row>
    <x:row r="107">
      <x:c r="A107" s="28" t="str">
        <x:v>Eye Clinic</x:v>
      </x:c>
      <x:c r="B107" s="37" t="n">
        <x:v>46102</x:v>
      </x:c>
      <x:c r="C107" s="26" t="str">
        <x:v>RAH01-2026-015</x:v>
      </x:c>
      <x:c r="D107" s="36" t="n">
        <x:v>3</x:v>
      </x:c>
      <x:c r="E107" s="26" t="str">
        <x:v>Ergonomic Hazards</x:v>
      </x:c>
      <x:c r="F107" s="26" t="str">
        <x:v>Prolonged Standing or Sitting</x:v>
      </x:c>
      <x:c r="G107" s="35" t="n">
        <x:v>37</x:v>
      </x:c>
      <x:c r="H107" s="35" t="n">
        <x:v>27</x:v>
      </x:c>
      <x:c r="I107" s="35" t="n">
        <x:v>2</x:v>
      </x:c>
      <x:c r="J107" s="35" t="n">
        <x:v>2</x:v>
      </x:c>
      <x:c r="K107" s="36" t="n">
        <x:f>IF(AND(S107=TRUE,ISNUMBER(I107),I107=INT(I107),I107&gt;=1,I107&lt;=3,ISNUMBER(J107),J107=INT(J107),J107&gt;=1,J107&lt;=3),I107*J107,"")</x:f>
        <x:v>4</x:v>
      </x:c>
      <x:c r="L107" s="26" t="str">
        <x:f>IF(K107="","",IF(K107&lt;=2,"LOW",IF(K107&lt;=4,"MEDIUM","HIGH")))</x:f>
        <x:v>MEDIUM</x:v>
      </x:c>
      <x:c r="M107" s="25" t="str">
        <x:v>Task rotation, adjustable equipment, team lifting, and safe-patient-handling guidance are used.</x:v>
      </x:c>
      <x:c r="N107" s="25" t="str">
        <x:v>Complete an ergonomic task assessment and implement equipment or workflow changes to reduce force and repetition.</x:v>
      </x:c>
      <x:c r="O107" s="30" t="b">
        <x:v>0</x:v>
      </x:c>
      <x:c r="P107" s="27" t="str">
        <x:v>ERGONOMIC</x:v>
      </x:c>
      <x:c r="Q107" s="27" t="str">
        <x:v>prolonged_standing_sitting</x:v>
      </x:c>
      <x:c r="R107" s="27" t="str"/>
      <x:c r="S107" s="31" t="b">
        <x:v>1</x:v>
      </x:c>
      <x:c r="T107" s="27" t="str">
        <x:v>ASM-2026-015</x:v>
      </x:c>
      <x:c r="U107" s="27" t="str">
        <x:v>HZ-2026-015-03</x:v>
      </x:c>
    </x:row>
    <x:row r="108">
      <x:c r="A108" s="28" t="str">
        <x:v>Eye Clinic</x:v>
      </x:c>
      <x:c r="B108" s="37" t="n">
        <x:v>46102</x:v>
      </x:c>
      <x:c r="C108" s="26" t="str">
        <x:v>RAH01-2026-015</x:v>
      </x:c>
      <x:c r="D108" s="36" t="n">
        <x:v>4</x:v>
      </x:c>
      <x:c r="E108" s="26" t="str">
        <x:v>Psychosocial Hazards</x:v>
      </x:c>
      <x:c r="F108" s="26" t="str">
        <x:v>Violence from Patients or Relatives</x:v>
      </x:c>
      <x:c r="G108" s="35" t="n">
        <x:v>40</x:v>
      </x:c>
      <x:c r="H108" s="35" t="n">
        <x:v>3</x:v>
      </x:c>
      <x:c r="I108" s="35" t="n">
        <x:v>1</x:v>
      </x:c>
      <x:c r="J108" s="35" t="n">
        <x:v>3</x:v>
      </x:c>
      <x:c r="K108" s="36" t="n">
        <x:f>IF(AND(S108=TRUE,ISNUMBER(I108),I108=INT(I108),I108&gt;=1,I108&lt;=3,ISNUMBER(J108),J108=INT(J108),J108&gt;=1,J108&lt;=3),I108*J108,"")</x:f>
        <x:v>3</x:v>
      </x:c>
      <x:c r="L108" s="26" t="str">
        <x:f>IF(K108="","",IF(K108&lt;=2,"LOW",IF(K108&lt;=4,"MEDIUM","HIGH")))</x:f>
        <x:v>MEDIUM</x:v>
      </x:c>
      <x:c r="M108" s="25" t="str">
        <x:v>Shift planning, escalation pathways, security support, breaks, and supervisor check-ins are available.</x:v>
      </x:c>
      <x:c r="N108" s="25" t="str">
        <x:v>Review staffing, breaks, escalation support, and violence-prevention controls with the department manager.</x:v>
      </x:c>
      <x:c r="O108" s="30" t="b">
        <x:v>0</x:v>
      </x:c>
      <x:c r="P108" s="27" t="str">
        <x:v>PSYCHOSOCIAL</x:v>
      </x:c>
      <x:c r="Q108" s="27" t="str">
        <x:v>patient_relative_violence</x:v>
      </x:c>
      <x:c r="R108" s="27" t="str"/>
      <x:c r="S108" s="31" t="b">
        <x:v>1</x:v>
      </x:c>
      <x:c r="T108" s="27" t="str">
        <x:v>ASM-2026-015</x:v>
      </x:c>
      <x:c r="U108" s="27" t="str">
        <x:v>HZ-2026-015-04</x:v>
      </x:c>
    </x:row>
    <x:row r="109">
      <x:c r="A109" s="28" t="str">
        <x:v>Eye Clinic</x:v>
      </x:c>
      <x:c r="B109" s="37" t="n">
        <x:v>46102</x:v>
      </x:c>
      <x:c r="C109" s="26" t="str">
        <x:v>RAH01-2026-015</x:v>
      </x:c>
      <x:c r="D109" s="36" t="n">
        <x:v>5</x:v>
      </x:c>
      <x:c r="E109" s="26" t="str">
        <x:v>Psychosocial Hazards</x:v>
      </x:c>
      <x:c r="F109" s="26" t="str">
        <x:v>Work Stress</x:v>
      </x:c>
      <x:c r="G109" s="35" t="n">
        <x:v>43</x:v>
      </x:c>
      <x:c r="H109" s="35" t="n">
        <x:v>10</x:v>
      </x:c>
      <x:c r="I109" s="35" t="n">
        <x:v>3</x:v>
      </x:c>
      <x:c r="J109" s="35" t="n">
        <x:v>1</x:v>
      </x:c>
      <x:c r="K109" s="36" t="n">
        <x:f>IF(AND(S109=TRUE,ISNUMBER(I109),I109=INT(I109),I109&gt;=1,I109&lt;=3,ISNUMBER(J109),J109=INT(J109),J109&gt;=1,J109&lt;=3),I109*J109,"")</x:f>
        <x:v>3</x:v>
      </x:c>
      <x:c r="L109" s="26" t="str">
        <x:f>IF(K109="","",IF(K109&lt;=2,"LOW",IF(K109&lt;=4,"MEDIUM","HIGH")))</x:f>
        <x:v>MEDIUM</x:v>
      </x:c>
      <x:c r="M109" s="25" t="str">
        <x:v>Shift planning, escalation pathways, security support, breaks, and supervisor check-ins are available.</x:v>
      </x:c>
      <x:c r="N109" s="25" t="str">
        <x:v>Review staffing, breaks, escalation support, and violence-prevention controls with the department manager.</x:v>
      </x:c>
      <x:c r="O109" s="30" t="b">
        <x:v>0</x:v>
      </x:c>
      <x:c r="P109" s="27" t="str">
        <x:v>PSYCHOSOCIAL</x:v>
      </x:c>
      <x:c r="Q109" s="27" t="str">
        <x:v>work_stress</x:v>
      </x:c>
      <x:c r="R109" s="27" t="str"/>
      <x:c r="S109" s="31" t="b">
        <x:v>1</x:v>
      </x:c>
      <x:c r="T109" s="27" t="str">
        <x:v>ASM-2026-015</x:v>
      </x:c>
      <x:c r="U109" s="27" t="str">
        <x:v>HZ-2026-015-05</x:v>
      </x:c>
    </x:row>
    <x:row r="110">
      <x:c r="A110" s="28" t="str">
        <x:v>Eye Clinic</x:v>
      </x:c>
      <x:c r="B110" s="37" t="n">
        <x:v>46102</x:v>
      </x:c>
      <x:c r="C110" s="26" t="str">
        <x:v>RAH01-2026-015</x:v>
      </x:c>
      <x:c r="D110" s="36" t="n">
        <x:v>6</x:v>
      </x:c>
      <x:c r="E110" s="26" t="str">
        <x:v>Psychosocial Hazards</x:v>
      </x:c>
      <x:c r="F110" s="26" t="str">
        <x:v>Insufficient Rest</x:v>
      </x:c>
      <x:c r="G110" s="35" t="n">
        <x:v>46</x:v>
      </x:c>
      <x:c r="H110" s="35" t="n">
        <x:v>17</x:v>
      </x:c>
      <x:c r="I110" s="35" t="n">
        <x:v>2</x:v>
      </x:c>
      <x:c r="J110" s="35" t="n">
        <x:v>2</x:v>
      </x:c>
      <x:c r="K110" s="36" t="n">
        <x:f>IF(AND(S110=TRUE,ISNUMBER(I110),I110=INT(I110),I110&gt;=1,I110&lt;=3,ISNUMBER(J110),J110=INT(J110),J110&gt;=1,J110&lt;=3),I110*J110,"")</x:f>
        <x:v>4</x:v>
      </x:c>
      <x:c r="L110" s="26" t="str">
        <x:f>IF(K110="","",IF(K110&lt;=2,"LOW",IF(K110&lt;=4,"MEDIUM","HIGH")))</x:f>
        <x:v>MEDIUM</x:v>
      </x:c>
      <x:c r="M110" s="25" t="str">
        <x:v>Shift planning, escalation pathways, security support, breaks, and supervisor check-ins are available.</x:v>
      </x:c>
      <x:c r="N110" s="25" t="str">
        <x:v>Review staffing, breaks, escalation support, and violence-prevention controls with the department manager.</x:v>
      </x:c>
      <x:c r="O110" s="30" t="b">
        <x:v>0</x:v>
      </x:c>
      <x:c r="P110" s="27" t="str">
        <x:v>PSYCHOSOCIAL</x:v>
      </x:c>
      <x:c r="Q110" s="27" t="str">
        <x:v>insufficient_rest</x:v>
      </x:c>
      <x:c r="R110" s="27" t="str"/>
      <x:c r="S110" s="31" t="b">
        <x:v>1</x:v>
      </x:c>
      <x:c r="T110" s="27" t="str">
        <x:v>ASM-2026-015</x:v>
      </x:c>
      <x:c r="U110" s="27" t="str">
        <x:v>HZ-2026-015-06</x:v>
      </x:c>
    </x:row>
    <x:row r="111">
      <x:c r="A111" s="28" t="str">
        <x:v>Family Medicine</x:v>
      </x:c>
      <x:c r="B111" s="37" t="n">
        <x:v>46136</x:v>
      </x:c>
      <x:c r="C111" s="26" t="str">
        <x:v>RAH01-2026-016</x:v>
      </x:c>
      <x:c r="D111" s="36" t="n">
        <x:v>1</x:v>
      </x:c>
      <x:c r="E111" s="26" t="str">
        <x:v>Biological Hazards</x:v>
      </x:c>
      <x:c r="F111" s="26" t="str">
        <x:v>Viruses</x:v>
      </x:c>
      <x:c r="G111" s="35" t="n">
        <x:v>33</x:v>
      </x:c>
      <x:c r="H111" s="35" t="n">
        <x:v>18</x:v>
      </x:c>
      <x:c r="I111" s="35" t="n">
        <x:v>3</x:v>
      </x:c>
      <x:c r="J111" s="35" t="n">
        <x:v>2</x:v>
      </x:c>
      <x:c r="K111" s="36" t="n">
        <x:f>IF(AND(S111=TRUE,ISNUMBER(I111),I111=INT(I111),I111&gt;=1,I111&lt;=3,ISNUMBER(J111),J111=INT(J111),J111&gt;=1,J111&lt;=3),I111*J111,"")</x:f>
        <x:v>6</x:v>
      </x:c>
      <x:c r="L111" s="26" t="str">
        <x:f>IF(K111="","",IF(K111&lt;=2,"LOW",IF(K111&lt;=4,"MEDIUM","HIGH")))</x:f>
        <x:v>HIGH</x:v>
      </x:c>
      <x:c r="M111" s="25" t="str">
        <x:v>Standard precautions, hand hygiene, vaccination, cleaning, and appropriate PPE are implemented.</x:v>
      </x:c>
      <x:c r="N111" s="25" t="str">
        <x:v>Audit compliance, investigate exposure incidents, and reinforce source-control and PPE practice.</x:v>
      </x:c>
      <x:c r="O111" s="30" t="b">
        <x:v>0</x:v>
      </x:c>
      <x:c r="P111" s="27" t="str">
        <x:v>BIOLOGICAL</x:v>
      </x:c>
      <x:c r="Q111" s="27" t="str">
        <x:v>viruses</x:v>
      </x:c>
      <x:c r="R111" s="27" t="str"/>
      <x:c r="S111" s="31" t="b">
        <x:v>1</x:v>
      </x:c>
      <x:c r="T111" s="27" t="str">
        <x:v>ASM-2026-016</x:v>
      </x:c>
      <x:c r="U111" s="27" t="str">
        <x:v>HZ-2026-016-01</x:v>
      </x:c>
    </x:row>
    <x:row r="112">
      <x:c r="A112" s="28" t="str">
        <x:v>Family Medicine</x:v>
      </x:c>
      <x:c r="B112" s="37" t="n">
        <x:v>46136</x:v>
      </x:c>
      <x:c r="C112" s="26" t="str">
        <x:v>RAH01-2026-016</x:v>
      </x:c>
      <x:c r="D112" s="36" t="n">
        <x:v>2</x:v>
      </x:c>
      <x:c r="E112" s="26" t="str">
        <x:v>Indoor Air Quality Hazards</x:v>
      </x:c>
      <x:c r="F112" s="26" t="str">
        <x:v>Crowded / Stuffy Conditions</x:v>
      </x:c>
      <x:c r="G112" s="35" t="n">
        <x:v>36</x:v>
      </x:c>
      <x:c r="H112" s="35" t="n">
        <x:v>25</x:v>
      </x:c>
      <x:c r="I112" s="35" t="n">
        <x:v>2</x:v>
      </x:c>
      <x:c r="J112" s="35" t="n">
        <x:v>3</x:v>
      </x:c>
      <x:c r="K112" s="36" t="n">
        <x:f>IF(AND(S112=TRUE,ISNUMBER(I112),I112=INT(I112),I112&gt;=1,I112&lt;=3,ISNUMBER(J112),J112=INT(J112),J112&gt;=1,J112&lt;=3),I112*J112,"")</x:f>
        <x:v>6</x:v>
      </x:c>
      <x:c r="L112" s="26" t="str">
        <x:f>IF(K112="","",IF(K112&lt;=2,"LOW",IF(K112&lt;=4,"MEDIUM","HIGH")))</x:f>
        <x:v>HIGH</x:v>
      </x:c>
      <x:c r="M112" s="25" t="str">
        <x:v>Ventilation, cleaning, occupancy management, and environmental inspection are performed.</x:v>
      </x:c>
      <x:c r="N112" s="25" t="str">
        <x:v>Inspect ventilation and moisture sources, then document corrective action and environmental recheck.</x:v>
      </x:c>
      <x:c r="O112" s="30" t="b">
        <x:v>0</x:v>
      </x:c>
      <x:c r="P112" s="27" t="str">
        <x:v>INDOOR_AIR_QUALITY</x:v>
      </x:c>
      <x:c r="Q112" s="27" t="str">
        <x:v>crowded_stuffy</x:v>
      </x:c>
      <x:c r="R112" s="27" t="str"/>
      <x:c r="S112" s="31" t="b">
        <x:v>1</x:v>
      </x:c>
      <x:c r="T112" s="27" t="str">
        <x:v>ASM-2026-016</x:v>
      </x:c>
      <x:c r="U112" s="27" t="str">
        <x:v>HZ-2026-016-02</x:v>
      </x:c>
    </x:row>
    <x:row r="113">
      <x:c r="A113" s="28" t="str">
        <x:v>Family Medicine</x:v>
      </x:c>
      <x:c r="B113" s="37" t="n">
        <x:v>46136</x:v>
      </x:c>
      <x:c r="C113" s="26" t="str">
        <x:v>RAH01-2026-016</x:v>
      </x:c>
      <x:c r="D113" s="36" t="n">
        <x:v>3</x:v>
      </x:c>
      <x:c r="E113" s="26" t="str">
        <x:v>Ergonomic Hazards</x:v>
      </x:c>
      <x:c r="F113" s="26" t="str">
        <x:v>Prolonged Standing or Sitting</x:v>
      </x:c>
      <x:c r="G113" s="35" t="n">
        <x:v>39</x:v>
      </x:c>
      <x:c r="H113" s="35" t="n">
        <x:v>1</x:v>
      </x:c>
      <x:c r="I113" s="35" t="n">
        <x:v>3</x:v>
      </x:c>
      <x:c r="J113" s="35" t="n">
        <x:v>3</x:v>
      </x:c>
      <x:c r="K113" s="36" t="n">
        <x:f>IF(AND(S113=TRUE,ISNUMBER(I113),I113=INT(I113),I113&gt;=1,I113&lt;=3,ISNUMBER(J113),J113=INT(J113),J113&gt;=1,J113&lt;=3),I113*J113,"")</x:f>
        <x:v>9</x:v>
      </x:c>
      <x:c r="L113" s="26" t="str">
        <x:f>IF(K113="","",IF(K113&lt;=2,"LOW",IF(K113&lt;=4,"MEDIUM","HIGH")))</x:f>
        <x:v>HIGH</x:v>
      </x:c>
      <x:c r="M113" s="25" t="str">
        <x:v>Task rotation, adjustable equipment, team lifting, and safe-patient-handling guidance are used.</x:v>
      </x:c>
      <x:c r="N113" s="25" t="str">
        <x:v>Complete an ergonomic task assessment and implement equipment or workflow changes to reduce force and repetition.</x:v>
      </x:c>
      <x:c r="O113" s="30" t="b">
        <x:v>1</x:v>
      </x:c>
      <x:c r="P113" s="27" t="str">
        <x:v>ERGONOMIC</x:v>
      </x:c>
      <x:c r="Q113" s="27" t="str">
        <x:v>prolonged_standing_sitting</x:v>
      </x:c>
      <x:c r="R113" s="27" t="str"/>
      <x:c r="S113" s="31" t="b">
        <x:v>1</x:v>
      </x:c>
      <x:c r="T113" s="27" t="str">
        <x:v>ASM-2026-016</x:v>
      </x:c>
      <x:c r="U113" s="27" t="str">
        <x:v>HZ-2026-016-03</x:v>
      </x:c>
    </x:row>
    <x:row r="114">
      <x:c r="A114" s="28" t="str">
        <x:v>Family Medicine</x:v>
      </x:c>
      <x:c r="B114" s="37" t="n">
        <x:v>46136</x:v>
      </x:c>
      <x:c r="C114" s="26" t="str">
        <x:v>RAH01-2026-016</x:v>
      </x:c>
      <x:c r="D114" s="36" t="n">
        <x:v>4</x:v>
      </x:c>
      <x:c r="E114" s="26" t="str">
        <x:v>Psychosocial Hazards</x:v>
      </x:c>
      <x:c r="F114" s="26" t="str">
        <x:v>Violence from Patients or Relatives</x:v>
      </x:c>
      <x:c r="G114" s="35" t="n">
        <x:v>42</x:v>
      </x:c>
      <x:c r="H114" s="35" t="n">
        <x:v>8</x:v>
      </x:c>
      <x:c r="I114" s="35" t="n">
        <x:v>3</x:v>
      </x:c>
      <x:c r="J114" s="35" t="n">
        <x:v>2</x:v>
      </x:c>
      <x:c r="K114" s="36" t="n">
        <x:f>IF(AND(S114=TRUE,ISNUMBER(I114),I114=INT(I114),I114&gt;=1,I114&lt;=3,ISNUMBER(J114),J114=INT(J114),J114&gt;=1,J114&lt;=3),I114*J114,"")</x:f>
        <x:v>6</x:v>
      </x:c>
      <x:c r="L114" s="26" t="str">
        <x:f>IF(K114="","",IF(K114&lt;=2,"LOW",IF(K114&lt;=4,"MEDIUM","HIGH")))</x:f>
        <x:v>HIGH</x:v>
      </x:c>
      <x:c r="M114" s="25" t="str">
        <x:v>Shift planning, escalation pathways, security support, breaks, and supervisor check-ins are available.</x:v>
      </x:c>
      <x:c r="N114" s="25" t="str">
        <x:v>Review staffing, breaks, escalation support, and violence-prevention controls with the department manager.</x:v>
      </x:c>
      <x:c r="O114" s="30" t="b">
        <x:v>0</x:v>
      </x:c>
      <x:c r="P114" s="27" t="str">
        <x:v>PSYCHOSOCIAL</x:v>
      </x:c>
      <x:c r="Q114" s="27" t="str">
        <x:v>patient_relative_violence</x:v>
      </x:c>
      <x:c r="R114" s="27" t="str"/>
      <x:c r="S114" s="31" t="b">
        <x:v>1</x:v>
      </x:c>
      <x:c r="T114" s="27" t="str">
        <x:v>ASM-2026-016</x:v>
      </x:c>
      <x:c r="U114" s="27" t="str">
        <x:v>HZ-2026-016-04</x:v>
      </x:c>
    </x:row>
    <x:row r="115">
      <x:c r="A115" s="28" t="str">
        <x:v>Family Medicine</x:v>
      </x:c>
      <x:c r="B115" s="37" t="n">
        <x:v>46136</x:v>
      </x:c>
      <x:c r="C115" s="26" t="str">
        <x:v>RAH01-2026-016</x:v>
      </x:c>
      <x:c r="D115" s="36" t="n">
        <x:v>5</x:v>
      </x:c>
      <x:c r="E115" s="26" t="str">
        <x:v>Psychosocial Hazards</x:v>
      </x:c>
      <x:c r="F115" s="26" t="str">
        <x:v>Work Stress</x:v>
      </x:c>
      <x:c r="G115" s="35" t="n">
        <x:v>45</x:v>
      </x:c>
      <x:c r="H115" s="35" t="n">
        <x:v>15</x:v>
      </x:c>
      <x:c r="I115" s="35" t="n">
        <x:v>2</x:v>
      </x:c>
      <x:c r="J115" s="35" t="n">
        <x:v>3</x:v>
      </x:c>
      <x:c r="K115" s="36" t="n">
        <x:f>IF(AND(S115=TRUE,ISNUMBER(I115),I115=INT(I115),I115&gt;=1,I115&lt;=3,ISNUMBER(J115),J115=INT(J115),J115&gt;=1,J115&lt;=3),I115*J115,"")</x:f>
        <x:v>6</x:v>
      </x:c>
      <x:c r="L115" s="26" t="str">
        <x:f>IF(K115="","",IF(K115&lt;=2,"LOW",IF(K115&lt;=4,"MEDIUM","HIGH")))</x:f>
        <x:v>HIGH</x:v>
      </x:c>
      <x:c r="M115" s="25" t="str">
        <x:v>Shift planning, escalation pathways, security support, breaks, and supervisor check-ins are available.</x:v>
      </x:c>
      <x:c r="N115" s="25" t="str">
        <x:v>Review staffing, breaks, escalation support, and violence-prevention controls with the department manager.</x:v>
      </x:c>
      <x:c r="O115" s="30" t="b">
        <x:v>0</x:v>
      </x:c>
      <x:c r="P115" s="27" t="str">
        <x:v>PSYCHOSOCIAL</x:v>
      </x:c>
      <x:c r="Q115" s="27" t="str">
        <x:v>work_stress</x:v>
      </x:c>
      <x:c r="R115" s="27" t="str"/>
      <x:c r="S115" s="31" t="b">
        <x:v>1</x:v>
      </x:c>
      <x:c r="T115" s="27" t="str">
        <x:v>ASM-2026-016</x:v>
      </x:c>
      <x:c r="U115" s="27" t="str">
        <x:v>HZ-2026-016-05</x:v>
      </x:c>
    </x:row>
    <x:row r="116">
      <x:c r="A116" s="28" t="str">
        <x:v>Family Medicine</x:v>
      </x:c>
      <x:c r="B116" s="37" t="n">
        <x:v>46136</x:v>
      </x:c>
      <x:c r="C116" s="26" t="str">
        <x:v>RAH01-2026-016</x:v>
      </x:c>
      <x:c r="D116" s="36" t="n">
        <x:v>6</x:v>
      </x:c>
      <x:c r="E116" s="26" t="str">
        <x:v>Indoor Air Quality Hazards</x:v>
      </x:c>
      <x:c r="F116" s="26" t="str">
        <x:v>Dust</x:v>
      </x:c>
      <x:c r="G116" s="35" t="n">
        <x:v>48</x:v>
      </x:c>
      <x:c r="H116" s="35" t="n">
        <x:v>22</x:v>
      </x:c>
      <x:c r="I116" s="35" t="n">
        <x:v>3</x:v>
      </x:c>
      <x:c r="J116" s="35" t="n">
        <x:v>3</x:v>
      </x:c>
      <x:c r="K116" s="36" t="n">
        <x:f>IF(AND(S116=TRUE,ISNUMBER(I116),I116=INT(I116),I116&gt;=1,I116&lt;=3,ISNUMBER(J116),J116=INT(J116),J116&gt;=1,J116&lt;=3),I116*J116,"")</x:f>
        <x:v>9</x:v>
      </x:c>
      <x:c r="L116" s="26" t="str">
        <x:f>IF(K116="","",IF(K116&lt;=2,"LOW",IF(K116&lt;=4,"MEDIUM","HIGH")))</x:f>
        <x:v>HIGH</x:v>
      </x:c>
      <x:c r="M116" s="25" t="str">
        <x:v>Ventilation, cleaning, occupancy management, and environmental inspection are performed.</x:v>
      </x:c>
      <x:c r="N116" s="25" t="str">
        <x:v>Inspect ventilation and moisture sources, then document corrective action and environmental recheck.</x:v>
      </x:c>
      <x:c r="O116" s="30" t="b">
        <x:v>1</x:v>
      </x:c>
      <x:c r="P116" s="27" t="str">
        <x:v>INDOOR_AIR_QUALITY</x:v>
      </x:c>
      <x:c r="Q116" s="27" t="str">
        <x:v>dust</x:v>
      </x:c>
      <x:c r="R116" s="27" t="str"/>
      <x:c r="S116" s="31" t="b">
        <x:v>1</x:v>
      </x:c>
      <x:c r="T116" s="27" t="str">
        <x:v>ASM-2026-016</x:v>
      </x:c>
      <x:c r="U116" s="27" t="str">
        <x:v>HZ-2026-016-06</x:v>
      </x:c>
    </x:row>
    <x:row r="117">
      <x:c r="A117" s="28" t="str">
        <x:v>Gastroenterology</x:v>
      </x:c>
      <x:c r="B117" s="37" t="n">
        <x:v>46144</x:v>
      </x:c>
      <x:c r="C117" s="26" t="str">
        <x:v>RAH01-2026-017</x:v>
      </x:c>
      <x:c r="D117" s="36" t="n">
        <x:v>1</x:v>
      </x:c>
      <x:c r="E117" s="26" t="str">
        <x:v>Biological Hazards</x:v>
      </x:c>
      <x:c r="F117" s="26" t="str">
        <x:v>Viruses</x:v>
      </x:c>
      <x:c r="G117" s="35" t="n">
        <x:v>8</x:v>
      </x:c>
      <x:c r="H117" s="35" t="n">
        <x:v>23</x:v>
      </x:c>
      <x:c r="I117" s="35" t="n">
        <x:v>3</x:v>
      </x:c>
      <x:c r="J117" s="35" t="n">
        <x:v>1</x:v>
      </x:c>
      <x:c r="K117" s="36" t="n">
        <x:f>IF(AND(S117=TRUE,ISNUMBER(I117),I117=INT(I117),I117&gt;=1,I117&lt;=3,ISNUMBER(J117),J117=INT(J117),J117&gt;=1,J117&lt;=3),I117*J117,"")</x:f>
        <x:v>3</x:v>
      </x:c>
      <x:c r="L117" s="26" t="str">
        <x:f>IF(K117="","",IF(K117&lt;=2,"LOW",IF(K117&lt;=4,"MEDIUM","HIGH")))</x:f>
        <x:v>MEDIUM</x:v>
      </x:c>
      <x:c r="M117" s="25" t="str">
        <x:v>Standard precautions, hand hygiene, vaccination, cleaning, and appropriate PPE are implemented.</x:v>
      </x:c>
      <x:c r="N117" s="25" t="str">
        <x:v>Audit compliance, investigate exposure incidents, and reinforce source-control and PPE practice.</x:v>
      </x:c>
      <x:c r="O117" s="30" t="b">
        <x:v>0</x:v>
      </x:c>
      <x:c r="P117" s="27" t="str">
        <x:v>BIOLOGICAL</x:v>
      </x:c>
      <x:c r="Q117" s="27" t="str">
        <x:v>viruses</x:v>
      </x:c>
      <x:c r="R117" s="27" t="str"/>
      <x:c r="S117" s="31" t="b">
        <x:v>1</x:v>
      </x:c>
      <x:c r="T117" s="27" t="str">
        <x:v>ASM-2026-017</x:v>
      </x:c>
      <x:c r="U117" s="27" t="str">
        <x:v>HZ-2026-017-01</x:v>
      </x:c>
    </x:row>
    <x:row r="118">
      <x:c r="A118" s="28" t="str">
        <x:v>Gastroenterology</x:v>
      </x:c>
      <x:c r="B118" s="37" t="n">
        <x:v>46144</x:v>
      </x:c>
      <x:c r="C118" s="26" t="str">
        <x:v>RAH01-2026-017</x:v>
      </x:c>
      <x:c r="D118" s="36" t="n">
        <x:v>2</x:v>
      </x:c>
      <x:c r="E118" s="26" t="str">
        <x:v>Indoor Air Quality Hazards</x:v>
      </x:c>
      <x:c r="F118" s="26" t="str">
        <x:v>Crowded / Stuffy Conditions</x:v>
      </x:c>
      <x:c r="G118" s="35" t="n">
        <x:v>2</x:v>
      </x:c>
      <x:c r="H118" s="35" t="n">
        <x:v>30</x:v>
      </x:c>
      <x:c r="I118" s="35" t="n">
        <x:v>2</x:v>
      </x:c>
      <x:c r="J118" s="35" t="n">
        <x:v>2</x:v>
      </x:c>
      <x:c r="K118" s="36" t="n">
        <x:f>IF(AND(S118=TRUE,ISNUMBER(I118),I118=INT(I118),I118&gt;=1,I118&lt;=3,ISNUMBER(J118),J118=INT(J118),J118&gt;=1,J118&lt;=3),I118*J118,"")</x:f>
        <x:v>4</x:v>
      </x:c>
      <x:c r="L118" s="26" t="str">
        <x:f>IF(K118="","",IF(K118&lt;=2,"LOW",IF(K118&lt;=4,"MEDIUM","HIGH")))</x:f>
        <x:v>MEDIUM</x:v>
      </x:c>
      <x:c r="M118" s="25" t="str">
        <x:v>Ventilation, cleaning, occupancy management, and environmental inspection are performed.</x:v>
      </x:c>
      <x:c r="N118" s="25" t="str">
        <x:v>Inspect ventilation and moisture sources, then document corrective action and environmental recheck.</x:v>
      </x:c>
      <x:c r="O118" s="30" t="b">
        <x:v>0</x:v>
      </x:c>
      <x:c r="P118" s="27" t="str">
        <x:v>INDOOR_AIR_QUALITY</x:v>
      </x:c>
      <x:c r="Q118" s="27" t="str">
        <x:v>crowded_stuffy</x:v>
      </x:c>
      <x:c r="R118" s="27" t="str"/>
      <x:c r="S118" s="31" t="b">
        <x:v>1</x:v>
      </x:c>
      <x:c r="T118" s="27" t="str">
        <x:v>ASM-2026-017</x:v>
      </x:c>
      <x:c r="U118" s="27" t="str">
        <x:v>HZ-2026-017-02</x:v>
      </x:c>
    </x:row>
    <x:row r="119">
      <x:c r="A119" s="28" t="str">
        <x:v>Gastroenterology</x:v>
      </x:c>
      <x:c r="B119" s="37" t="n">
        <x:v>46144</x:v>
      </x:c>
      <x:c r="C119" s="26" t="str">
        <x:v>RAH01-2026-017</x:v>
      </x:c>
      <x:c r="D119" s="36" t="n">
        <x:v>3</x:v>
      </x:c>
      <x:c r="E119" s="26" t="str">
        <x:v>Ergonomic Hazards</x:v>
      </x:c>
      <x:c r="F119" s="26" t="str">
        <x:v>Prolonged Standing or Sitting</x:v>
      </x:c>
      <x:c r="G119" s="35" t="n">
        <x:v>5</x:v>
      </x:c>
      <x:c r="H119" s="35" t="n">
        <x:v>6</x:v>
      </x:c>
      <x:c r="I119" s="35" t="n">
        <x:v>1</x:v>
      </x:c>
      <x:c r="J119" s="35" t="n">
        <x:v>3</x:v>
      </x:c>
      <x:c r="K119" s="36" t="n">
        <x:f>IF(AND(S119=TRUE,ISNUMBER(I119),I119=INT(I119),I119&gt;=1,I119&lt;=3,ISNUMBER(J119),J119=INT(J119),J119&gt;=1,J119&lt;=3),I119*J119,"")</x:f>
        <x:v>3</x:v>
      </x:c>
      <x:c r="L119" s="26" t="str">
        <x:f>IF(K119="","",IF(K119&lt;=2,"LOW",IF(K119&lt;=4,"MEDIUM","HIGH")))</x:f>
        <x:v>MEDIUM</x:v>
      </x:c>
      <x:c r="M119" s="25" t="str">
        <x:v>Task rotation, adjustable equipment, team lifting, and safe-patient-handling guidance are used.</x:v>
      </x:c>
      <x:c r="N119" s="25" t="str">
        <x:v>Complete an ergonomic task assessment and implement equipment or workflow changes to reduce force and repetition.</x:v>
      </x:c>
      <x:c r="O119" s="30" t="b">
        <x:v>0</x:v>
      </x:c>
      <x:c r="P119" s="27" t="str">
        <x:v>ERGONOMIC</x:v>
      </x:c>
      <x:c r="Q119" s="27" t="str">
        <x:v>prolonged_standing_sitting</x:v>
      </x:c>
      <x:c r="R119" s="27" t="str"/>
      <x:c r="S119" s="31" t="b">
        <x:v>1</x:v>
      </x:c>
      <x:c r="T119" s="27" t="str">
        <x:v>ASM-2026-017</x:v>
      </x:c>
      <x:c r="U119" s="27" t="str">
        <x:v>HZ-2026-017-03</x:v>
      </x:c>
    </x:row>
    <x:row r="120">
      <x:c r="A120" s="28" t="str">
        <x:v>Gastroenterology</x:v>
      </x:c>
      <x:c r="B120" s="37" t="n">
        <x:v>46144</x:v>
      </x:c>
      <x:c r="C120" s="26" t="str">
        <x:v>RAH01-2026-017</x:v>
      </x:c>
      <x:c r="D120" s="36" t="n">
        <x:v>4</x:v>
      </x:c>
      <x:c r="E120" s="26" t="str">
        <x:v>Psychosocial Hazards</x:v>
      </x:c>
      <x:c r="F120" s="26" t="str">
        <x:v>Violence from Patients or Relatives</x:v>
      </x:c>
      <x:c r="G120" s="35" t="n">
        <x:v>8</x:v>
      </x:c>
      <x:c r="H120" s="35" t="n">
        <x:v>13</x:v>
      </x:c>
      <x:c r="I120" s="35" t="n">
        <x:v>3</x:v>
      </x:c>
      <x:c r="J120" s="35" t="n">
        <x:v>1</x:v>
      </x:c>
      <x:c r="K120" s="36" t="n">
        <x:f>IF(AND(S120=TRUE,ISNUMBER(I120),I120=INT(I120),I120&gt;=1,I120&lt;=3,ISNUMBER(J120),J120=INT(J120),J120&gt;=1,J120&lt;=3),I120*J120,"")</x:f>
        <x:v>3</x:v>
      </x:c>
      <x:c r="L120" s="26" t="str">
        <x:f>IF(K120="","",IF(K120&lt;=2,"LOW",IF(K120&lt;=4,"MEDIUM","HIGH")))</x:f>
        <x:v>MEDIUM</x:v>
      </x:c>
      <x:c r="M120" s="25" t="str">
        <x:v>Shift planning, escalation pathways, security support, breaks, and supervisor check-ins are available.</x:v>
      </x:c>
      <x:c r="N120" s="25" t="str">
        <x:v>Review staffing, breaks, escalation support, and violence-prevention controls with the department manager.</x:v>
      </x:c>
      <x:c r="O120" s="30" t="b">
        <x:v>0</x:v>
      </x:c>
      <x:c r="P120" s="27" t="str">
        <x:v>PSYCHOSOCIAL</x:v>
      </x:c>
      <x:c r="Q120" s="27" t="str">
        <x:v>patient_relative_violence</x:v>
      </x:c>
      <x:c r="R120" s="27" t="str"/>
      <x:c r="S120" s="31" t="b">
        <x:v>1</x:v>
      </x:c>
      <x:c r="T120" s="27" t="str">
        <x:v>ASM-2026-017</x:v>
      </x:c>
      <x:c r="U120" s="27" t="str">
        <x:v>HZ-2026-017-04</x:v>
      </x:c>
    </x:row>
    <x:row r="121">
      <x:c r="A121" s="28" t="str">
        <x:v>Gastroenterology</x:v>
      </x:c>
      <x:c r="B121" s="37" t="n">
        <x:v>46144</x:v>
      </x:c>
      <x:c r="C121" s="26" t="str">
        <x:v>RAH01-2026-017</x:v>
      </x:c>
      <x:c r="D121" s="36" t="n">
        <x:v>5</x:v>
      </x:c>
      <x:c r="E121" s="26" t="str">
        <x:v>Psychosocial Hazards</x:v>
      </x:c>
      <x:c r="F121" s="26" t="str">
        <x:v>Work Stress</x:v>
      </x:c>
      <x:c r="G121" s="35" t="n">
        <x:v>2</x:v>
      </x:c>
      <x:c r="H121" s="35" t="n">
        <x:v>20</x:v>
      </x:c>
      <x:c r="I121" s="35" t="n">
        <x:v>2</x:v>
      </x:c>
      <x:c r="J121" s="35" t="n">
        <x:v>2</x:v>
      </x:c>
      <x:c r="K121" s="36" t="n">
        <x:f>IF(AND(S121=TRUE,ISNUMBER(I121),I121=INT(I121),I121&gt;=1,I121&lt;=3,ISNUMBER(J121),J121=INT(J121),J121&gt;=1,J121&lt;=3),I121*J121,"")</x:f>
        <x:v>4</x:v>
      </x:c>
      <x:c r="L121" s="26" t="str">
        <x:f>IF(K121="","",IF(K121&lt;=2,"LOW",IF(K121&lt;=4,"MEDIUM","HIGH")))</x:f>
        <x:v>MEDIUM</x:v>
      </x:c>
      <x:c r="M121" s="25" t="str">
        <x:v>Shift planning, escalation pathways, security support, breaks, and supervisor check-ins are available.</x:v>
      </x:c>
      <x:c r="N121" s="25" t="str">
        <x:v>Review staffing, breaks, escalation support, and violence-prevention controls with the department manager.</x:v>
      </x:c>
      <x:c r="O121" s="30" t="b">
        <x:v>0</x:v>
      </x:c>
      <x:c r="P121" s="27" t="str">
        <x:v>PSYCHOSOCIAL</x:v>
      </x:c>
      <x:c r="Q121" s="27" t="str">
        <x:v>work_stress</x:v>
      </x:c>
      <x:c r="R121" s="27" t="str"/>
      <x:c r="S121" s="31" t="b">
        <x:v>1</x:v>
      </x:c>
      <x:c r="T121" s="27" t="str">
        <x:v>ASM-2026-017</x:v>
      </x:c>
      <x:c r="U121" s="27" t="str">
        <x:v>HZ-2026-017-05</x:v>
      </x:c>
    </x:row>
    <x:row r="122">
      <x:c r="A122" s="28" t="str">
        <x:v>Gastroenterology</x:v>
      </x:c>
      <x:c r="B122" s="37" t="n">
        <x:v>46144</x:v>
      </x:c>
      <x:c r="C122" s="26" t="str">
        <x:v>RAH01-2026-017</x:v>
      </x:c>
      <x:c r="D122" s="36" t="n">
        <x:v>6</x:v>
      </x:c>
      <x:c r="E122" s="26" t="str">
        <x:v>Fire and Disaster Hazards</x:v>
      </x:c>
      <x:c r="F122" s="26" t="str">
        <x:v>Electrical Equipment</x:v>
      </x:c>
      <x:c r="G122" s="35" t="n">
        <x:v>5</x:v>
      </x:c>
      <x:c r="H122" s="35" t="n">
        <x:v>27</x:v>
      </x:c>
      <x:c r="I122" s="35" t="n">
        <x:v>1</x:v>
      </x:c>
      <x:c r="J122" s="35" t="n">
        <x:v>3</x:v>
      </x:c>
      <x:c r="K122" s="36" t="n">
        <x:f>IF(AND(S122=TRUE,ISNUMBER(I122),I122=INT(I122),I122&gt;=1,I122&lt;=3,ISNUMBER(J122),J122=INT(J122),J122&gt;=1,J122&lt;=3),I122*J122,"")</x:f>
        <x:v>3</x:v>
      </x:c>
      <x:c r="L122" s="26" t="str">
        <x:f>IF(K122="","",IF(K122&lt;=2,"LOW",IF(K122&lt;=4,"MEDIUM","HIGH")))</x:f>
        <x:v>MEDIUM</x:v>
      </x:c>
      <x:c r="M122" s="25" t="str">
        <x:v>Electrical inspection, isolation procedures, alarms, extinguishers, and emergency response plans are maintained.</x:v>
      </x:c>
      <x:c r="N122" s="25" t="str">
        <x:v>Complete an engineering inspection and emergency-readiness check before the next scheduled review.</x:v>
      </x:c>
      <x:c r="O122" s="30" t="b">
        <x:v>0</x:v>
      </x:c>
      <x:c r="P122" s="27" t="str">
        <x:v>FIRE_DISASTER</x:v>
      </x:c>
      <x:c r="Q122" s="27" t="str">
        <x:v>electrical_equipment</x:v>
      </x:c>
      <x:c r="R122" s="27" t="str"/>
      <x:c r="S122" s="31" t="b">
        <x:v>1</x:v>
      </x:c>
      <x:c r="T122" s="27" t="str">
        <x:v>ASM-2026-017</x:v>
      </x:c>
      <x:c r="U122" s="27" t="str">
        <x:v>HZ-2026-017-06</x:v>
      </x:c>
    </x:row>
    <x:row r="123">
      <x:c r="A123" s="28" t="str">
        <x:v>General Surgery</x:v>
      </x:c>
      <x:c r="B123" s="37" t="n">
        <x:v>46178</x:v>
      </x:c>
      <x:c r="C123" s="26" t="str">
        <x:v>RAH01-2026-018</x:v>
      </x:c>
      <x:c r="D123" s="36" t="n">
        <x:v>1</x:v>
      </x:c>
      <x:c r="E123" s="26" t="str">
        <x:v>Biological Hazards</x:v>
      </x:c>
      <x:c r="F123" s="26" t="str">
        <x:v>Viruses</x:v>
      </x:c>
      <x:c r="G123" s="35" t="n">
        <x:v>5</x:v>
      </x:c>
      <x:c r="H123" s="35" t="n">
        <x:v>28</x:v>
      </x:c>
      <x:c r="I123" s="35" t="n">
        <x:v>2</x:v>
      </x:c>
      <x:c r="J123" s="35" t="n">
        <x:v>3</x:v>
      </x:c>
      <x:c r="K123" s="36" t="n">
        <x:f>IF(AND(S123=TRUE,ISNUMBER(I123),I123=INT(I123),I123&gt;=1,I123&lt;=3,ISNUMBER(J123),J123=INT(J123),J123&gt;=1,J123&lt;=3),I123*J123,"")</x:f>
        <x:v>6</x:v>
      </x:c>
      <x:c r="L123" s="26" t="str">
        <x:f>IF(K123="","",IF(K123&lt;=2,"LOW",IF(K123&lt;=4,"MEDIUM","HIGH")))</x:f>
        <x:v>HIGH</x:v>
      </x:c>
      <x:c r="M123" s="25" t="str">
        <x:v>Standard precautions, hand hygiene, vaccination, cleaning, and appropriate PPE are implemented.</x:v>
      </x:c>
      <x:c r="N123" s="25" t="str">
        <x:v>Audit compliance, investigate exposure incidents, and reinforce source-control and PPE practice.</x:v>
      </x:c>
      <x:c r="O123" s="30" t="b">
        <x:v>1</x:v>
      </x:c>
      <x:c r="P123" s="27" t="str">
        <x:v>BIOLOGICAL</x:v>
      </x:c>
      <x:c r="Q123" s="27" t="str">
        <x:v>viruses</x:v>
      </x:c>
      <x:c r="R123" s="27" t="str"/>
      <x:c r="S123" s="31" t="b">
        <x:v>1</x:v>
      </x:c>
      <x:c r="T123" s="27" t="str">
        <x:v>ASM-2026-018</x:v>
      </x:c>
      <x:c r="U123" s="27" t="str">
        <x:v>HZ-2026-018-01</x:v>
      </x:c>
    </x:row>
    <x:row r="124">
      <x:c r="A124" s="28" t="str">
        <x:v>General Surgery</x:v>
      </x:c>
      <x:c r="B124" s="37" t="n">
        <x:v>46178</x:v>
      </x:c>
      <x:c r="C124" s="26" t="str">
        <x:v>RAH01-2026-018</x:v>
      </x:c>
      <x:c r="D124" s="36" t="n">
        <x:v>2</x:v>
      </x:c>
      <x:c r="E124" s="26" t="str">
        <x:v>Biological Hazards</x:v>
      </x:c>
      <x:c r="F124" s="26" t="str">
        <x:v>Bacteria</x:v>
      </x:c>
      <x:c r="G124" s="35" t="n">
        <x:v>8</x:v>
      </x:c>
      <x:c r="H124" s="35" t="n">
        <x:v>4</x:v>
      </x:c>
      <x:c r="I124" s="35" t="n">
        <x:v>3</x:v>
      </x:c>
      <x:c r="J124" s="35" t="n">
        <x:v>3</x:v>
      </x:c>
      <x:c r="K124" s="36" t="n">
        <x:f>IF(AND(S124=TRUE,ISNUMBER(I124),I124=INT(I124),I124&gt;=1,I124&lt;=3,ISNUMBER(J124),J124=INT(J124),J124&gt;=1,J124&lt;=3),I124*J124,"")</x:f>
        <x:v>9</x:v>
      </x:c>
      <x:c r="L124" s="26" t="str">
        <x:f>IF(K124="","",IF(K124&lt;=2,"LOW",IF(K124&lt;=4,"MEDIUM","HIGH")))</x:f>
        <x:v>HIGH</x:v>
      </x:c>
      <x:c r="M124" s="25" t="str">
        <x:v>Standard precautions, hand hygiene, vaccination, cleaning, and appropriate PPE are implemented.</x:v>
      </x:c>
      <x:c r="N124" s="25" t="str">
        <x:v>Audit compliance, investigate exposure incidents, and reinforce source-control and PPE practice.</x:v>
      </x:c>
      <x:c r="O124" s="30" t="b">
        <x:v>0</x:v>
      </x:c>
      <x:c r="P124" s="27" t="str">
        <x:v>BIOLOGICAL</x:v>
      </x:c>
      <x:c r="Q124" s="27" t="str">
        <x:v>bacteria</x:v>
      </x:c>
      <x:c r="R124" s="27" t="str"/>
      <x:c r="S124" s="31" t="b">
        <x:v>1</x:v>
      </x:c>
      <x:c r="T124" s="27" t="str">
        <x:v>ASM-2026-018</x:v>
      </x:c>
      <x:c r="U124" s="27" t="str">
        <x:v>HZ-2026-018-02</x:v>
      </x:c>
    </x:row>
    <x:row r="125">
      <x:c r="A125" s="28" t="str">
        <x:v>General Surgery</x:v>
      </x:c>
      <x:c r="B125" s="37" t="n">
        <x:v>46178</x:v>
      </x:c>
      <x:c r="C125" s="26" t="str">
        <x:v>RAH01-2026-018</x:v>
      </x:c>
      <x:c r="D125" s="36" t="n">
        <x:v>3</x:v>
      </x:c>
      <x:c r="E125" s="26" t="str">
        <x:v>Safety and Accident Hazards</x:v>
      </x:c>
      <x:c r="F125" s="26" t="str">
        <x:v>Sharps / Needlestick</x:v>
      </x:c>
      <x:c r="G125" s="35" t="n">
        <x:v>11</x:v>
      </x:c>
      <x:c r="H125" s="35" t="n">
        <x:v>11</x:v>
      </x:c>
      <x:c r="I125" s="35" t="n">
        <x:v>3</x:v>
      </x:c>
      <x:c r="J125" s="35" t="n">
        <x:v>2</x:v>
      </x:c>
      <x:c r="K125" s="36" t="n">
        <x:f>IF(AND(S125=TRUE,ISNUMBER(I125),I125=INT(I125),I125&gt;=1,I125&lt;=3,ISNUMBER(J125),J125=INT(J125),J125&gt;=1,J125&lt;=3),I125*J125,"")</x:f>
        <x:v>6</x:v>
      </x:c>
      <x:c r="L125" s="26" t="str">
        <x:f>IF(K125="","",IF(K125&lt;=2,"LOW",IF(K125&lt;=4,"MEDIUM","HIGH")))</x:f>
        <x:v>HIGH</x:v>
      </x:c>
      <x:c r="M125" s="25" t="str">
        <x:v>Safe-work procedures, inspection, housekeeping, guards, and incident reporting are implemented.</x:v>
      </x:c>
      <x:c r="N125" s="25" t="str">
        <x:v>Correct the unsafe condition, document ownership, and verify effectiveness through a follow-up inspection.</x:v>
      </x:c>
      <x:c r="O125" s="30" t="b">
        <x:v>0</x:v>
      </x:c>
      <x:c r="P125" s="27" t="str">
        <x:v>SAFETY_ACCIDENT</x:v>
      </x:c>
      <x:c r="Q125" s="27" t="str">
        <x:v>sharps</x:v>
      </x:c>
      <x:c r="R125" s="27" t="str"/>
      <x:c r="S125" s="31" t="b">
        <x:v>1</x:v>
      </x:c>
      <x:c r="T125" s="27" t="str">
        <x:v>ASM-2026-018</x:v>
      </x:c>
      <x:c r="U125" s="27" t="str">
        <x:v>HZ-2026-018-03</x:v>
      </x:c>
    </x:row>
    <x:row r="126">
      <x:c r="A126" s="28" t="str">
        <x:v>General Surgery</x:v>
      </x:c>
      <x:c r="B126" s="37" t="n">
        <x:v>46178</x:v>
      </x:c>
      <x:c r="C126" s="26" t="str">
        <x:v>RAH01-2026-018</x:v>
      </x:c>
      <x:c r="D126" s="36" t="n">
        <x:v>4</x:v>
      </x:c>
      <x:c r="E126" s="26" t="str">
        <x:v>Ergonomic Hazards</x:v>
      </x:c>
      <x:c r="F126" s="26" t="str">
        <x:v>Heavy Lifting / Patient Transfer</x:v>
      </x:c>
      <x:c r="G126" s="35" t="n">
        <x:v>14</x:v>
      </x:c>
      <x:c r="H126" s="35" t="n">
        <x:v>18</x:v>
      </x:c>
      <x:c r="I126" s="35" t="n">
        <x:v>2</x:v>
      </x:c>
      <x:c r="J126" s="35" t="n">
        <x:v>3</x:v>
      </x:c>
      <x:c r="K126" s="36" t="n">
        <x:f>IF(AND(S126=TRUE,ISNUMBER(I126),I126=INT(I126),I126&gt;=1,I126&lt;=3,ISNUMBER(J126),J126=INT(J126),J126&gt;=1,J126&lt;=3),I126*J126,"")</x:f>
        <x:v>6</x:v>
      </x:c>
      <x:c r="L126" s="26" t="str">
        <x:f>IF(K126="","",IF(K126&lt;=2,"LOW",IF(K126&lt;=4,"MEDIUM","HIGH")))</x:f>
        <x:v>HIGH</x:v>
      </x:c>
      <x:c r="M126" s="25" t="str">
        <x:v>Task rotation, adjustable equipment, team lifting, and safe-patient-handling guidance are used.</x:v>
      </x:c>
      <x:c r="N126" s="25" t="str">
        <x:v>Complete an ergonomic task assessment and implement equipment or workflow changes to reduce force and repetition.</x:v>
      </x:c>
      <x:c r="O126" s="30" t="b">
        <x:v>1</x:v>
      </x:c>
      <x:c r="P126" s="27" t="str">
        <x:v>ERGONOMIC</x:v>
      </x:c>
      <x:c r="Q126" s="27" t="str">
        <x:v>heavy_lifting_patient_transfer</x:v>
      </x:c>
      <x:c r="R126" s="27" t="str"/>
      <x:c r="S126" s="31" t="b">
        <x:v>1</x:v>
      </x:c>
      <x:c r="T126" s="27" t="str">
        <x:v>ASM-2026-018</x:v>
      </x:c>
      <x:c r="U126" s="27" t="str">
        <x:v>HZ-2026-018-04</x:v>
      </x:c>
    </x:row>
    <x:row r="127">
      <x:c r="A127" s="28" t="str">
        <x:v>General Surgery</x:v>
      </x:c>
      <x:c r="B127" s="37" t="n">
        <x:v>46178</x:v>
      </x:c>
      <x:c r="C127" s="26" t="str">
        <x:v>RAH01-2026-018</x:v>
      </x:c>
      <x:c r="D127" s="36" t="n">
        <x:v>5</x:v>
      </x:c>
      <x:c r="E127" s="26" t="str">
        <x:v>Ergonomic Hazards</x:v>
      </x:c>
      <x:c r="F127" s="26" t="str">
        <x:v>Unnatural Posture or Movement</x:v>
      </x:c>
      <x:c r="G127" s="35" t="n">
        <x:v>1</x:v>
      </x:c>
      <x:c r="H127" s="35" t="n">
        <x:v>25</x:v>
      </x:c>
      <x:c r="I127" s="35" t="n">
        <x:v>3</x:v>
      </x:c>
      <x:c r="J127" s="35" t="n">
        <x:v>3</x:v>
      </x:c>
      <x:c r="K127" s="36" t="n">
        <x:f>IF(AND(S127=TRUE,ISNUMBER(I127),I127=INT(I127),I127&gt;=1,I127&lt;=3,ISNUMBER(J127),J127=INT(J127),J127&gt;=1,J127&lt;=3),I127*J127,"")</x:f>
        <x:v>9</x:v>
      </x:c>
      <x:c r="L127" s="26" t="str">
        <x:f>IF(K127="","",IF(K127&lt;=2,"LOW",IF(K127&lt;=4,"MEDIUM","HIGH")))</x:f>
        <x:v>HIGH</x:v>
      </x:c>
      <x:c r="M127" s="25" t="str">
        <x:v>Task rotation, adjustable equipment, team lifting, and safe-patient-handling guidance are used.</x:v>
      </x:c>
      <x:c r="N127" s="25" t="str">
        <x:v>Complete an ergonomic task assessment and implement equipment or workflow changes to reduce force and repetition.</x:v>
      </x:c>
      <x:c r="O127" s="30" t="b">
        <x:v>0</x:v>
      </x:c>
      <x:c r="P127" s="27" t="str">
        <x:v>ERGONOMIC</x:v>
      </x:c>
      <x:c r="Q127" s="27" t="str">
        <x:v>unnatural_posture</x:v>
      </x:c>
      <x:c r="R127" s="27" t="str"/>
      <x:c r="S127" s="31" t="b">
        <x:v>1</x:v>
      </x:c>
      <x:c r="T127" s="27" t="str">
        <x:v>ASM-2026-018</x:v>
      </x:c>
      <x:c r="U127" s="27" t="str">
        <x:v>HZ-2026-018-05</x:v>
      </x:c>
    </x:row>
    <x:row r="128">
      <x:c r="A128" s="28" t="str">
        <x:v>General Surgery</x:v>
      </x:c>
      <x:c r="B128" s="37" t="n">
        <x:v>46178</x:v>
      </x:c>
      <x:c r="C128" s="26" t="str">
        <x:v>RAH01-2026-018</x:v>
      </x:c>
      <x:c r="D128" s="36" t="n">
        <x:v>6</x:v>
      </x:c>
      <x:c r="E128" s="26" t="str">
        <x:v>Psychosocial Hazards</x:v>
      </x:c>
      <x:c r="F128" s="26" t="str">
        <x:v>Work Stress</x:v>
      </x:c>
      <x:c r="G128" s="35" t="n">
        <x:v>4</x:v>
      </x:c>
      <x:c r="H128" s="35" t="n">
        <x:v>1</x:v>
      </x:c>
      <x:c r="I128" s="35" t="n">
        <x:v>3</x:v>
      </x:c>
      <x:c r="J128" s="35" t="n">
        <x:v>2</x:v>
      </x:c>
      <x:c r="K128" s="36" t="n">
        <x:f>IF(AND(S128=TRUE,ISNUMBER(I128),I128=INT(I128),I128&gt;=1,I128&lt;=3,ISNUMBER(J128),J128=INT(J128),J128&gt;=1,J128&lt;=3),I128*J128,"")</x:f>
        <x:v>6</x:v>
      </x:c>
      <x:c r="L128" s="26" t="str">
        <x:f>IF(K128="","",IF(K128&lt;=2,"LOW",IF(K128&lt;=4,"MEDIUM","HIGH")))</x:f>
        <x:v>HIGH</x:v>
      </x:c>
      <x:c r="M128" s="25" t="str">
        <x:v>Shift planning, escalation pathways, security support, breaks, and supervisor check-ins are available.</x:v>
      </x:c>
      <x:c r="N128" s="25" t="str">
        <x:v>Review staffing, breaks, escalation support, and violence-prevention controls with the department manager.</x:v>
      </x:c>
      <x:c r="O128" s="30" t="b">
        <x:v>0</x:v>
      </x:c>
      <x:c r="P128" s="27" t="str">
        <x:v>PSYCHOSOCIAL</x:v>
      </x:c>
      <x:c r="Q128" s="27" t="str">
        <x:v>work_stress</x:v>
      </x:c>
      <x:c r="R128" s="27" t="str"/>
      <x:c r="S128" s="31" t="b">
        <x:v>1</x:v>
      </x:c>
      <x:c r="T128" s="27" t="str">
        <x:v>ASM-2026-018</x:v>
      </x:c>
      <x:c r="U128" s="27" t="str">
        <x:v>HZ-2026-018-06</x:v>
      </x:c>
    </x:row>
    <x:row r="129">
      <x:c r="A129" s="28" t="str">
        <x:v>General Surgery</x:v>
      </x:c>
      <x:c r="B129" s="37" t="n">
        <x:v>46178</x:v>
      </x:c>
      <x:c r="C129" s="26" t="str">
        <x:v>RAH01-2026-018</x:v>
      </x:c>
      <x:c r="D129" s="36" t="n">
        <x:v>7</x:v>
      </x:c>
      <x:c r="E129" s="26" t="str">
        <x:v>Indoor Air Quality Hazards</x:v>
      </x:c>
      <x:c r="F129" s="26" t="str">
        <x:v>Poor Ventilation</x:v>
      </x:c>
      <x:c r="G129" s="35" t="n">
        <x:v>7</x:v>
      </x:c>
      <x:c r="H129" s="35" t="n">
        <x:v>8</x:v>
      </x:c>
      <x:c r="I129" s="35" t="n">
        <x:v>2</x:v>
      </x:c>
      <x:c r="J129" s="35" t="n">
        <x:v>3</x:v>
      </x:c>
      <x:c r="K129" s="36" t="n">
        <x:f>IF(AND(S129=TRUE,ISNUMBER(I129),I129=INT(I129),I129&gt;=1,I129&lt;=3,ISNUMBER(J129),J129=INT(J129),J129&gt;=1,J129&lt;=3),I129*J129,"")</x:f>
        <x:v>6</x:v>
      </x:c>
      <x:c r="L129" s="26" t="str">
        <x:f>IF(K129="","",IF(K129&lt;=2,"LOW",IF(K129&lt;=4,"MEDIUM","HIGH")))</x:f>
        <x:v>HIGH</x:v>
      </x:c>
      <x:c r="M129" s="25" t="str">
        <x:v>Ventilation, cleaning, occupancy management, and environmental inspection are performed.</x:v>
      </x:c>
      <x:c r="N129" s="25" t="str">
        <x:v>Inspect ventilation and moisture sources, then document corrective action and environmental recheck.</x:v>
      </x:c>
      <x:c r="O129" s="30" t="b">
        <x:v>1</x:v>
      </x:c>
      <x:c r="P129" s="27" t="str">
        <x:v>INDOOR_AIR_QUALITY</x:v>
      </x:c>
      <x:c r="Q129" s="27" t="str">
        <x:v>poor_ventilation</x:v>
      </x:c>
      <x:c r="R129" s="27" t="str"/>
      <x:c r="S129" s="31" t="b">
        <x:v>1</x:v>
      </x:c>
      <x:c r="T129" s="27" t="str">
        <x:v>ASM-2026-018</x:v>
      </x:c>
      <x:c r="U129" s="27" t="str">
        <x:v>HZ-2026-018-07</x:v>
      </x:c>
    </x:row>
    <x:row r="130">
      <x:c r="A130" s="28" t="str">
        <x:v>Haemodialysis</x:v>
      </x:c>
      <x:c r="B130" s="37" t="n">
        <x:v>46030</x:v>
      </x:c>
      <x:c r="C130" s="26" t="str">
        <x:v>RAH01-2026-019</x:v>
      </x:c>
      <x:c r="D130" s="36" t="n">
        <x:v>1</x:v>
      </x:c>
      <x:c r="E130" s="26" t="str">
        <x:v>Biological Hazards</x:v>
      </x:c>
      <x:c r="F130" s="26" t="str">
        <x:v>Viruses</x:v>
      </x:c>
      <x:c r="G130" s="35" t="n">
        <x:v>16</x:v>
      </x:c>
      <x:c r="H130" s="35" t="n">
        <x:v>2</x:v>
      </x:c>
      <x:c r="I130" s="35" t="n">
        <x:v>2</x:v>
      </x:c>
      <x:c r="J130" s="35" t="n">
        <x:v>2</x:v>
      </x:c>
      <x:c r="K130" s="36" t="n">
        <x:f>IF(AND(S130=TRUE,ISNUMBER(I130),I130=INT(I130),I130&gt;=1,I130&lt;=3,ISNUMBER(J130),J130=INT(J130),J130&gt;=1,J130&lt;=3),I130*J130,"")</x:f>
        <x:v>4</x:v>
      </x:c>
      <x:c r="L130" s="26" t="str">
        <x:f>IF(K130="","",IF(K130&lt;=2,"LOW",IF(K130&lt;=4,"MEDIUM","HIGH")))</x:f>
        <x:v>MEDIUM</x:v>
      </x:c>
      <x:c r="M130" s="25" t="str">
        <x:v>Standard precautions, hand hygiene, vaccination, cleaning, and appropriate PPE are implemented.</x:v>
      </x:c>
      <x:c r="N130" s="25" t="str">
        <x:v>Audit compliance, investigate exposure incidents, and reinforce source-control and PPE practice.</x:v>
      </x:c>
      <x:c r="O130" s="30" t="b">
        <x:v>0</x:v>
      </x:c>
      <x:c r="P130" s="27" t="str">
        <x:v>BIOLOGICAL</x:v>
      </x:c>
      <x:c r="Q130" s="27" t="str">
        <x:v>viruses</x:v>
      </x:c>
      <x:c r="R130" s="27" t="str"/>
      <x:c r="S130" s="31" t="b">
        <x:v>1</x:v>
      </x:c>
      <x:c r="T130" s="27" t="str">
        <x:v>ASM-2026-019</x:v>
      </x:c>
      <x:c r="U130" s="27" t="str">
        <x:v>HZ-2026-019-01</x:v>
      </x:c>
    </x:row>
    <x:row r="131">
      <x:c r="A131" s="28" t="str">
        <x:v>Haemodialysis</x:v>
      </x:c>
      <x:c r="B131" s="37" t="n">
        <x:v>46030</x:v>
      </x:c>
      <x:c r="C131" s="26" t="str">
        <x:v>RAH01-2026-019</x:v>
      </x:c>
      <x:c r="D131" s="36" t="n">
        <x:v>2</x:v>
      </x:c>
      <x:c r="E131" s="26" t="str">
        <x:v>Indoor Air Quality Hazards</x:v>
      </x:c>
      <x:c r="F131" s="26" t="str">
        <x:v>Crowded / Stuffy Conditions</x:v>
      </x:c>
      <x:c r="G131" s="35" t="n">
        <x:v>19</x:v>
      </x:c>
      <x:c r="H131" s="35" t="n">
        <x:v>9</x:v>
      </x:c>
      <x:c r="I131" s="35" t="n">
        <x:v>1</x:v>
      </x:c>
      <x:c r="J131" s="35" t="n">
        <x:v>3</x:v>
      </x:c>
      <x:c r="K131" s="36" t="n">
        <x:f>IF(AND(S131=TRUE,ISNUMBER(I131),I131=INT(I131),I131&gt;=1,I131&lt;=3,ISNUMBER(J131),J131=INT(J131),J131&gt;=1,J131&lt;=3),I131*J131,"")</x:f>
        <x:v>3</x:v>
      </x:c>
      <x:c r="L131" s="26" t="str">
        <x:f>IF(K131="","",IF(K131&lt;=2,"LOW",IF(K131&lt;=4,"MEDIUM","HIGH")))</x:f>
        <x:v>MEDIUM</x:v>
      </x:c>
      <x:c r="M131" s="25" t="str">
        <x:v>Ventilation, cleaning, occupancy management, and environmental inspection are performed.</x:v>
      </x:c>
      <x:c r="N131" s="25" t="str">
        <x:v>Inspect ventilation and moisture sources, then document corrective action and environmental recheck.</x:v>
      </x:c>
      <x:c r="O131" s="30" t="b">
        <x:v>0</x:v>
      </x:c>
      <x:c r="P131" s="27" t="str">
        <x:v>INDOOR_AIR_QUALITY</x:v>
      </x:c>
      <x:c r="Q131" s="27" t="str">
        <x:v>crowded_stuffy</x:v>
      </x:c>
      <x:c r="R131" s="27" t="str"/>
      <x:c r="S131" s="31" t="b">
        <x:v>1</x:v>
      </x:c>
      <x:c r="T131" s="27" t="str">
        <x:v>ASM-2026-019</x:v>
      </x:c>
      <x:c r="U131" s="27" t="str">
        <x:v>HZ-2026-019-02</x:v>
      </x:c>
    </x:row>
    <x:row r="132">
      <x:c r="A132" s="28" t="str">
        <x:v>Haemodialysis</x:v>
      </x:c>
      <x:c r="B132" s="37" t="n">
        <x:v>46030</x:v>
      </x:c>
      <x:c r="C132" s="26" t="str">
        <x:v>RAH01-2026-019</x:v>
      </x:c>
      <x:c r="D132" s="36" t="n">
        <x:v>3</x:v>
      </x:c>
      <x:c r="E132" s="26" t="str">
        <x:v>Ergonomic Hazards</x:v>
      </x:c>
      <x:c r="F132" s="26" t="str">
        <x:v>Prolonged Standing or Sitting</x:v>
      </x:c>
      <x:c r="G132" s="35" t="n">
        <x:v>22</x:v>
      </x:c>
      <x:c r="H132" s="35" t="n">
        <x:v>16</x:v>
      </x:c>
      <x:c r="I132" s="35" t="n">
        <x:v>3</x:v>
      </x:c>
      <x:c r="J132" s="35" t="n">
        <x:v>1</x:v>
      </x:c>
      <x:c r="K132" s="36" t="n">
        <x:f>IF(AND(S132=TRUE,ISNUMBER(I132),I132=INT(I132),I132&gt;=1,I132&lt;=3,ISNUMBER(J132),J132=INT(J132),J132&gt;=1,J132&lt;=3),I132*J132,"")</x:f>
        <x:v>3</x:v>
      </x:c>
      <x:c r="L132" s="26" t="str">
        <x:f>IF(K132="","",IF(K132&lt;=2,"LOW",IF(K132&lt;=4,"MEDIUM","HIGH")))</x:f>
        <x:v>MEDIUM</x:v>
      </x:c>
      <x:c r="M132" s="25" t="str">
        <x:v>Task rotation, adjustable equipment, team lifting, and safe-patient-handling guidance are used.</x:v>
      </x:c>
      <x:c r="N132" s="25" t="str">
        <x:v>Complete an ergonomic task assessment and implement equipment or workflow changes to reduce force and repetition.</x:v>
      </x:c>
      <x:c r="O132" s="30" t="b">
        <x:v>0</x:v>
      </x:c>
      <x:c r="P132" s="27" t="str">
        <x:v>ERGONOMIC</x:v>
      </x:c>
      <x:c r="Q132" s="27" t="str">
        <x:v>prolonged_standing_sitting</x:v>
      </x:c>
      <x:c r="R132" s="27" t="str"/>
      <x:c r="S132" s="31" t="b">
        <x:v>1</x:v>
      </x:c>
      <x:c r="T132" s="27" t="str">
        <x:v>ASM-2026-019</x:v>
      </x:c>
      <x:c r="U132" s="27" t="str">
        <x:v>HZ-2026-019-03</x:v>
      </x:c>
    </x:row>
    <x:row r="133">
      <x:c r="A133" s="28" t="str">
        <x:v>Haemodialysis</x:v>
      </x:c>
      <x:c r="B133" s="37" t="n">
        <x:v>46030</x:v>
      </x:c>
      <x:c r="C133" s="26" t="str">
        <x:v>RAH01-2026-019</x:v>
      </x:c>
      <x:c r="D133" s="36" t="n">
        <x:v>4</x:v>
      </x:c>
      <x:c r="E133" s="26" t="str">
        <x:v>Psychosocial Hazards</x:v>
      </x:c>
      <x:c r="F133" s="26" t="str">
        <x:v>Violence from Patients or Relatives</x:v>
      </x:c>
      <x:c r="G133" s="35" t="n">
        <x:v>2</x:v>
      </x:c>
      <x:c r="H133" s="35" t="n">
        <x:v>23</x:v>
      </x:c>
      <x:c r="I133" s="35" t="n">
        <x:v>2</x:v>
      </x:c>
      <x:c r="J133" s="35" t="n">
        <x:v>2</x:v>
      </x:c>
      <x:c r="K133" s="36" t="n">
        <x:f>IF(AND(S133=TRUE,ISNUMBER(I133),I133=INT(I133),I133&gt;=1,I133&lt;=3,ISNUMBER(J133),J133=INT(J133),J133&gt;=1,J133&lt;=3),I133*J133,"")</x:f>
        <x:v>4</x:v>
      </x:c>
      <x:c r="L133" s="26" t="str">
        <x:f>IF(K133="","",IF(K133&lt;=2,"LOW",IF(K133&lt;=4,"MEDIUM","HIGH")))</x:f>
        <x:v>MEDIUM</x:v>
      </x:c>
      <x:c r="M133" s="25" t="str">
        <x:v>Shift planning, escalation pathways, security support, breaks, and supervisor check-ins are available.</x:v>
      </x:c>
      <x:c r="N133" s="25" t="str">
        <x:v>Review staffing, breaks, escalation support, and violence-prevention controls with the department manager.</x:v>
      </x:c>
      <x:c r="O133" s="30" t="b">
        <x:v>0</x:v>
      </x:c>
      <x:c r="P133" s="27" t="str">
        <x:v>PSYCHOSOCIAL</x:v>
      </x:c>
      <x:c r="Q133" s="27" t="str">
        <x:v>patient_relative_violence</x:v>
      </x:c>
      <x:c r="R133" s="27" t="str"/>
      <x:c r="S133" s="31" t="b">
        <x:v>1</x:v>
      </x:c>
      <x:c r="T133" s="27" t="str">
        <x:v>ASM-2026-019</x:v>
      </x:c>
      <x:c r="U133" s="27" t="str">
        <x:v>HZ-2026-019-04</x:v>
      </x:c>
    </x:row>
    <x:row r="134">
      <x:c r="A134" s="28" t="str">
        <x:v>Haemodialysis</x:v>
      </x:c>
      <x:c r="B134" s="37" t="n">
        <x:v>46030</x:v>
      </x:c>
      <x:c r="C134" s="26" t="str">
        <x:v>RAH01-2026-019</x:v>
      </x:c>
      <x:c r="D134" s="36" t="n">
        <x:v>5</x:v>
      </x:c>
      <x:c r="E134" s="26" t="str">
        <x:v>Psychosocial Hazards</x:v>
      </x:c>
      <x:c r="F134" s="26" t="str">
        <x:v>Work Stress</x:v>
      </x:c>
      <x:c r="G134" s="35" t="n">
        <x:v>5</x:v>
      </x:c>
      <x:c r="H134" s="35" t="n">
        <x:v>30</x:v>
      </x:c>
      <x:c r="I134" s="35" t="n">
        <x:v>1</x:v>
      </x:c>
      <x:c r="J134" s="35" t="n">
        <x:v>3</x:v>
      </x:c>
      <x:c r="K134" s="36" t="n">
        <x:f>IF(AND(S134=TRUE,ISNUMBER(I134),I134=INT(I134),I134&gt;=1,I134&lt;=3,ISNUMBER(J134),J134=INT(J134),J134&gt;=1,J134&lt;=3),I134*J134,"")</x:f>
        <x:v>3</x:v>
      </x:c>
      <x:c r="L134" s="26" t="str">
        <x:f>IF(K134="","",IF(K134&lt;=2,"LOW",IF(K134&lt;=4,"MEDIUM","HIGH")))</x:f>
        <x:v>MEDIUM</x:v>
      </x:c>
      <x:c r="M134" s="25" t="str">
        <x:v>Shift planning, escalation pathways, security support, breaks, and supervisor check-ins are available.</x:v>
      </x:c>
      <x:c r="N134" s="25" t="str">
        <x:v>Review staffing, breaks, escalation support, and violence-prevention controls with the department manager.</x:v>
      </x:c>
      <x:c r="O134" s="30" t="b">
        <x:v>0</x:v>
      </x:c>
      <x:c r="P134" s="27" t="str">
        <x:v>PSYCHOSOCIAL</x:v>
      </x:c>
      <x:c r="Q134" s="27" t="str">
        <x:v>work_stress</x:v>
      </x:c>
      <x:c r="R134" s="27" t="str"/>
      <x:c r="S134" s="31" t="b">
        <x:v>1</x:v>
      </x:c>
      <x:c r="T134" s="27" t="str">
        <x:v>ASM-2026-019</x:v>
      </x:c>
      <x:c r="U134" s="27" t="str">
        <x:v>HZ-2026-019-05</x:v>
      </x:c>
    </x:row>
    <x:row r="135">
      <x:c r="A135" s="28" t="str">
        <x:v>Haemodialysis</x:v>
      </x:c>
      <x:c r="B135" s="37" t="n">
        <x:v>46030</x:v>
      </x:c>
      <x:c r="C135" s="26" t="str">
        <x:v>RAH01-2026-019</x:v>
      </x:c>
      <x:c r="D135" s="36" t="n">
        <x:v>6</x:v>
      </x:c>
      <x:c r="E135" s="26" t="str">
        <x:v>Safety and Accident Hazards</x:v>
      </x:c>
      <x:c r="F135" s="26" t="str">
        <x:v>Pathway Obstruction</x:v>
      </x:c>
      <x:c r="G135" s="35" t="n">
        <x:v>8</x:v>
      </x:c>
      <x:c r="H135" s="35" t="n">
        <x:v>6</x:v>
      </x:c>
      <x:c r="I135" s="35" t="n">
        <x:v>3</x:v>
      </x:c>
      <x:c r="J135" s="35" t="n">
        <x:v>1</x:v>
      </x:c>
      <x:c r="K135" s="36" t="n">
        <x:f>IF(AND(S135=TRUE,ISNUMBER(I135),I135=INT(I135),I135&gt;=1,I135&lt;=3,ISNUMBER(J135),J135=INT(J135),J135&gt;=1,J135&lt;=3),I135*J135,"")</x:f>
        <x:v>3</x:v>
      </x:c>
      <x:c r="L135" s="26" t="str">
        <x:f>IF(K135="","",IF(K135&lt;=2,"LOW",IF(K135&lt;=4,"MEDIUM","HIGH")))</x:f>
        <x:v>MEDIUM</x:v>
      </x:c>
      <x:c r="M135" s="25" t="str">
        <x:v>Safe-work procedures, inspection, housekeeping, guards, and incident reporting are implemented.</x:v>
      </x:c>
      <x:c r="N135" s="25" t="str">
        <x:v>Correct the unsafe condition, document ownership, and verify effectiveness through a follow-up inspection.</x:v>
      </x:c>
      <x:c r="O135" s="30" t="b">
        <x:v>0</x:v>
      </x:c>
      <x:c r="P135" s="27" t="str">
        <x:v>SAFETY_ACCIDENT</x:v>
      </x:c>
      <x:c r="Q135" s="27" t="str">
        <x:v>pathway_obstruction</x:v>
      </x:c>
      <x:c r="R135" s="27" t="str"/>
      <x:c r="S135" s="31" t="b">
        <x:v>1</x:v>
      </x:c>
      <x:c r="T135" s="27" t="str">
        <x:v>ASM-2026-019</x:v>
      </x:c>
      <x:c r="U135" s="27" t="str">
        <x:v>HZ-2026-019-06</x:v>
      </x:c>
    </x:row>
    <x:row r="136">
      <x:c r="A136" s="28" t="str">
        <x:v>Health Promotion</x:v>
      </x:c>
      <x:c r="B136" s="37" t="n">
        <x:v>46064</x:v>
      </x:c>
      <x:c r="C136" s="26" t="str">
        <x:v>RAH01-2026-020</x:v>
      </x:c>
      <x:c r="D136" s="36" t="n">
        <x:v>1</x:v>
      </x:c>
      <x:c r="E136" s="26" t="str">
        <x:v>Biological Hazards</x:v>
      </x:c>
      <x:c r="F136" s="26" t="str">
        <x:v>Viruses</x:v>
      </x:c>
      <x:c r="G136" s="35" t="n">
        <x:v>11</x:v>
      </x:c>
      <x:c r="H136" s="35" t="n">
        <x:v>7</x:v>
      </x:c>
      <x:c r="I136" s="35" t="n">
        <x:v>3</x:v>
      </x:c>
      <x:c r="J136" s="35" t="n">
        <x:v>3</x:v>
      </x:c>
      <x:c r="K136" s="36" t="n">
        <x:f>IF(AND(S136=TRUE,ISNUMBER(I136),I136=INT(I136),I136&gt;=1,I136&lt;=3,ISNUMBER(J136),J136=INT(J136),J136&gt;=1,J136&lt;=3),I136*J136,"")</x:f>
        <x:v>9</x:v>
      </x:c>
      <x:c r="L136" s="26" t="str">
        <x:f>IF(K136="","",IF(K136&lt;=2,"LOW",IF(K136&lt;=4,"MEDIUM","HIGH")))</x:f>
        <x:v>HIGH</x:v>
      </x:c>
      <x:c r="M136" s="25" t="str">
        <x:v>Standard precautions, hand hygiene, vaccination, cleaning, and appropriate PPE are implemented.</x:v>
      </x:c>
      <x:c r="N136" s="25" t="str">
        <x:v>Audit compliance, investigate exposure incidents, and reinforce source-control and PPE practice.</x:v>
      </x:c>
      <x:c r="O136" s="30" t="b">
        <x:v>0</x:v>
      </x:c>
      <x:c r="P136" s="27" t="str">
        <x:v>BIOLOGICAL</x:v>
      </x:c>
      <x:c r="Q136" s="27" t="str">
        <x:v>viruses</x:v>
      </x:c>
      <x:c r="R136" s="27" t="str"/>
      <x:c r="S136" s="31" t="b">
        <x:v>1</x:v>
      </x:c>
      <x:c r="T136" s="27" t="str">
        <x:v>ASM-2026-020</x:v>
      </x:c>
      <x:c r="U136" s="27" t="str">
        <x:v>HZ-2026-020-01</x:v>
      </x:c>
    </x:row>
    <x:row r="137">
      <x:c r="A137" s="28" t="str">
        <x:v>Health Promotion</x:v>
      </x:c>
      <x:c r="B137" s="37" t="n">
        <x:v>46064</x:v>
      </x:c>
      <x:c r="C137" s="26" t="str">
        <x:v>RAH01-2026-020</x:v>
      </x:c>
      <x:c r="D137" s="36" t="n">
        <x:v>2</x:v>
      </x:c>
      <x:c r="E137" s="26" t="str">
        <x:v>Biological Hazards</x:v>
      </x:c>
      <x:c r="F137" s="26" t="str">
        <x:v>Bacteria</x:v>
      </x:c>
      <x:c r="G137" s="35" t="n">
        <x:v>14</x:v>
      </x:c>
      <x:c r="H137" s="35" t="n">
        <x:v>14</x:v>
      </x:c>
      <x:c r="I137" s="35" t="n">
        <x:v>3</x:v>
      </x:c>
      <x:c r="J137" s="35" t="n">
        <x:v>2</x:v>
      </x:c>
      <x:c r="K137" s="36" t="n">
        <x:f>IF(AND(S137=TRUE,ISNUMBER(I137),I137=INT(I137),I137&gt;=1,I137&lt;=3,ISNUMBER(J137),J137=INT(J137),J137&gt;=1,J137&lt;=3),I137*J137,"")</x:f>
        <x:v>6</x:v>
      </x:c>
      <x:c r="L137" s="26" t="str">
        <x:f>IF(K137="","",IF(K137&lt;=2,"LOW",IF(K137&lt;=4,"MEDIUM","HIGH")))</x:f>
        <x:v>HIGH</x:v>
      </x:c>
      <x:c r="M137" s="25" t="str">
        <x:v>Standard precautions, hand hygiene, vaccination, cleaning, and appropriate PPE are implemented.</x:v>
      </x:c>
      <x:c r="N137" s="25" t="str">
        <x:v>Audit compliance, investigate exposure incidents, and reinforce source-control and PPE practice.</x:v>
      </x:c>
      <x:c r="O137" s="30" t="b">
        <x:v>1</x:v>
      </x:c>
      <x:c r="P137" s="27" t="str">
        <x:v>BIOLOGICAL</x:v>
      </x:c>
      <x:c r="Q137" s="27" t="str">
        <x:v>bacteria</x:v>
      </x:c>
      <x:c r="R137" s="27" t="str"/>
      <x:c r="S137" s="31" t="b">
        <x:v>1</x:v>
      </x:c>
      <x:c r="T137" s="27" t="str">
        <x:v>ASM-2026-020</x:v>
      </x:c>
      <x:c r="U137" s="27" t="str">
        <x:v>HZ-2026-020-02</x:v>
      </x:c>
    </x:row>
    <x:row r="138">
      <x:c r="A138" s="28" t="str">
        <x:v>Health Promotion</x:v>
      </x:c>
      <x:c r="B138" s="37" t="n">
        <x:v>46064</x:v>
      </x:c>
      <x:c r="C138" s="26" t="str">
        <x:v>RAH01-2026-020</x:v>
      </x:c>
      <x:c r="D138" s="36" t="n">
        <x:v>3</x:v>
      </x:c>
      <x:c r="E138" s="26" t="str">
        <x:v>Safety and Accident Hazards</x:v>
      </x:c>
      <x:c r="F138" s="26" t="str">
        <x:v>Sharps / Needlestick</x:v>
      </x:c>
      <x:c r="G138" s="35" t="n">
        <x:v>17</x:v>
      </x:c>
      <x:c r="H138" s="35" t="n">
        <x:v>21</x:v>
      </x:c>
      <x:c r="I138" s="35" t="n">
        <x:v>2</x:v>
      </x:c>
      <x:c r="J138" s="35" t="n">
        <x:v>3</x:v>
      </x:c>
      <x:c r="K138" s="36" t="n">
        <x:f>IF(AND(S138=TRUE,ISNUMBER(I138),I138=INT(I138),I138&gt;=1,I138&lt;=3,ISNUMBER(J138),J138=INT(J138),J138&gt;=1,J138&lt;=3),I138*J138,"")</x:f>
        <x:v>6</x:v>
      </x:c>
      <x:c r="L138" s="26" t="str">
        <x:f>IF(K138="","",IF(K138&lt;=2,"LOW",IF(K138&lt;=4,"MEDIUM","HIGH")))</x:f>
        <x:v>HIGH</x:v>
      </x:c>
      <x:c r="M138" s="25" t="str">
        <x:v>Safe-work procedures, inspection, housekeeping, guards, and incident reporting are implemented.</x:v>
      </x:c>
      <x:c r="N138" s="25" t="str">
        <x:v>Correct the unsafe condition, document ownership, and verify effectiveness through a follow-up inspection.</x:v>
      </x:c>
      <x:c r="O138" s="30" t="b">
        <x:v>0</x:v>
      </x:c>
      <x:c r="P138" s="27" t="str">
        <x:v>SAFETY_ACCIDENT</x:v>
      </x:c>
      <x:c r="Q138" s="27" t="str">
        <x:v>sharps</x:v>
      </x:c>
      <x:c r="R138" s="27" t="str"/>
      <x:c r="S138" s="31" t="b">
        <x:v>1</x:v>
      </x:c>
      <x:c r="T138" s="27" t="str">
        <x:v>ASM-2026-020</x:v>
      </x:c>
      <x:c r="U138" s="27" t="str">
        <x:v>HZ-2026-020-03</x:v>
      </x:c>
    </x:row>
    <x:row r="139">
      <x:c r="A139" s="28" t="str">
        <x:v>Health Promotion</x:v>
      </x:c>
      <x:c r="B139" s="37" t="n">
        <x:v>46064</x:v>
      </x:c>
      <x:c r="C139" s="26" t="str">
        <x:v>RAH01-2026-020</x:v>
      </x:c>
      <x:c r="D139" s="36" t="n">
        <x:v>4</x:v>
      </x:c>
      <x:c r="E139" s="26" t="str">
        <x:v>Ergonomic Hazards</x:v>
      </x:c>
      <x:c r="F139" s="26" t="str">
        <x:v>Heavy Lifting / Patient Transfer</x:v>
      </x:c>
      <x:c r="G139" s="35" t="n">
        <x:v>20</x:v>
      </x:c>
      <x:c r="H139" s="35" t="n">
        <x:v>28</x:v>
      </x:c>
      <x:c r="I139" s="35" t="n">
        <x:v>3</x:v>
      </x:c>
      <x:c r="J139" s="35" t="n">
        <x:v>3</x:v>
      </x:c>
      <x:c r="K139" s="36" t="n">
        <x:f>IF(AND(S139=TRUE,ISNUMBER(I139),I139=INT(I139),I139&gt;=1,I139&lt;=3,ISNUMBER(J139),J139=INT(J139),J139&gt;=1,J139&lt;=3),I139*J139,"")</x:f>
        <x:v>9</x:v>
      </x:c>
      <x:c r="L139" s="26" t="str">
        <x:f>IF(K139="","",IF(K139&lt;=2,"LOW",IF(K139&lt;=4,"MEDIUM","HIGH")))</x:f>
        <x:v>HIGH</x:v>
      </x:c>
      <x:c r="M139" s="25" t="str">
        <x:v>Task rotation, adjustable equipment, team lifting, and safe-patient-handling guidance are used.</x:v>
      </x:c>
      <x:c r="N139" s="25" t="str">
        <x:v>Complete an ergonomic task assessment and implement equipment or workflow changes to reduce force and repetition.</x:v>
      </x:c>
      <x:c r="O139" s="30" t="b">
        <x:v>0</x:v>
      </x:c>
      <x:c r="P139" s="27" t="str">
        <x:v>ERGONOMIC</x:v>
      </x:c>
      <x:c r="Q139" s="27" t="str">
        <x:v>heavy_lifting_patient_transfer</x:v>
      </x:c>
      <x:c r="R139" s="27" t="str"/>
      <x:c r="S139" s="31" t="b">
        <x:v>1</x:v>
      </x:c>
      <x:c r="T139" s="27" t="str">
        <x:v>ASM-2026-020</x:v>
      </x:c>
      <x:c r="U139" s="27" t="str">
        <x:v>HZ-2026-020-04</x:v>
      </x:c>
    </x:row>
    <x:row r="140">
      <x:c r="A140" s="28" t="str">
        <x:v>Health Promotion</x:v>
      </x:c>
      <x:c r="B140" s="37" t="n">
        <x:v>46064</x:v>
      </x:c>
      <x:c r="C140" s="26" t="str">
        <x:v>RAH01-2026-020</x:v>
      </x:c>
      <x:c r="D140" s="36" t="n">
        <x:v>5</x:v>
      </x:c>
      <x:c r="E140" s="26" t="str">
        <x:v>Ergonomic Hazards</x:v>
      </x:c>
      <x:c r="F140" s="26" t="str">
        <x:v>Unnatural Posture or Movement</x:v>
      </x:c>
      <x:c r="G140" s="35" t="n">
        <x:v>23</x:v>
      </x:c>
      <x:c r="H140" s="35" t="n">
        <x:v>4</x:v>
      </x:c>
      <x:c r="I140" s="35" t="n">
        <x:v>3</x:v>
      </x:c>
      <x:c r="J140" s="35" t="n">
        <x:v>2</x:v>
      </x:c>
      <x:c r="K140" s="36" t="n">
        <x:f>IF(AND(S140=TRUE,ISNUMBER(I140),I140=INT(I140),I140&gt;=1,I140&lt;=3,ISNUMBER(J140),J140=INT(J140),J140&gt;=1,J140&lt;=3),I140*J140,"")</x:f>
        <x:v>6</x:v>
      </x:c>
      <x:c r="L140" s="26" t="str">
        <x:f>IF(K140="","",IF(K140&lt;=2,"LOW",IF(K140&lt;=4,"MEDIUM","HIGH")))</x:f>
        <x:v>HIGH</x:v>
      </x:c>
      <x:c r="M140" s="25" t="str">
        <x:v>Task rotation, adjustable equipment, team lifting, and safe-patient-handling guidance are used.</x:v>
      </x:c>
      <x:c r="N140" s="25" t="str">
        <x:v>Complete an ergonomic task assessment and implement equipment or workflow changes to reduce force and repetition.</x:v>
      </x:c>
      <x:c r="O140" s="30" t="b">
        <x:v>1</x:v>
      </x:c>
      <x:c r="P140" s="27" t="str">
        <x:v>ERGONOMIC</x:v>
      </x:c>
      <x:c r="Q140" s="27" t="str">
        <x:v>unnatural_posture</x:v>
      </x:c>
      <x:c r="R140" s="27" t="str"/>
      <x:c r="S140" s="31" t="b">
        <x:v>1</x:v>
      </x:c>
      <x:c r="T140" s="27" t="str">
        <x:v>ASM-2026-020</x:v>
      </x:c>
      <x:c r="U140" s="27" t="str">
        <x:v>HZ-2026-020-05</x:v>
      </x:c>
    </x:row>
    <x:row r="141">
      <x:c r="A141" s="28" t="str">
        <x:v>Health Promotion</x:v>
      </x:c>
      <x:c r="B141" s="37" t="n">
        <x:v>46064</x:v>
      </x:c>
      <x:c r="C141" s="26" t="str">
        <x:v>RAH01-2026-020</x:v>
      </x:c>
      <x:c r="D141" s="36" t="n">
        <x:v>6</x:v>
      </x:c>
      <x:c r="E141" s="26" t="str">
        <x:v>Psychosocial Hazards</x:v>
      </x:c>
      <x:c r="F141" s="26" t="str">
        <x:v>Work Stress</x:v>
      </x:c>
      <x:c r="G141" s="35" t="n">
        <x:v>26</x:v>
      </x:c>
      <x:c r="H141" s="35" t="n">
        <x:v>11</x:v>
      </x:c>
      <x:c r="I141" s="35" t="n">
        <x:v>2</x:v>
      </x:c>
      <x:c r="J141" s="35" t="n">
        <x:v>3</x:v>
      </x:c>
      <x:c r="K141" s="36" t="n">
        <x:f>IF(AND(S141=TRUE,ISNUMBER(I141),I141=INT(I141),I141&gt;=1,I141&lt;=3,ISNUMBER(J141),J141=INT(J141),J141&gt;=1,J141&lt;=3),I141*J141,"")</x:f>
        <x:v>6</x:v>
      </x:c>
      <x:c r="L141" s="26" t="str">
        <x:f>IF(K141="","",IF(K141&lt;=2,"LOW",IF(K141&lt;=4,"MEDIUM","HIGH")))</x:f>
        <x:v>HIGH</x:v>
      </x:c>
      <x:c r="M141" s="25" t="str">
        <x:v>Shift planning, escalation pathways, security support, breaks, and supervisor check-ins are available.</x:v>
      </x:c>
      <x:c r="N141" s="25" t="str">
        <x:v>Review staffing, breaks, escalation support, and violence-prevention controls with the department manager.</x:v>
      </x:c>
      <x:c r="O141" s="30" t="b">
        <x:v>0</x:v>
      </x:c>
      <x:c r="P141" s="27" t="str">
        <x:v>PSYCHOSOCIAL</x:v>
      </x:c>
      <x:c r="Q141" s="27" t="str">
        <x:v>work_stress</x:v>
      </x:c>
      <x:c r="R141" s="27" t="str"/>
      <x:c r="S141" s="31" t="b">
        <x:v>1</x:v>
      </x:c>
      <x:c r="T141" s="27" t="str">
        <x:v>ASM-2026-020</x:v>
      </x:c>
      <x:c r="U141" s="27" t="str">
        <x:v>HZ-2026-020-06</x:v>
      </x:c>
    </x:row>
    <x:row r="142">
      <x:c r="A142" s="28" t="str">
        <x:v>Health Promotion</x:v>
      </x:c>
      <x:c r="B142" s="37" t="n">
        <x:v>46064</x:v>
      </x:c>
      <x:c r="C142" s="26" t="str">
        <x:v>RAH01-2026-020</x:v>
      </x:c>
      <x:c r="D142" s="36" t="n">
        <x:v>7</x:v>
      </x:c>
      <x:c r="E142" s="26" t="str">
        <x:v>Physical Hazards</x:v>
      </x:c>
      <x:c r="F142" s="26" t="str">
        <x:v>Lighting</x:v>
      </x:c>
      <x:c r="G142" s="35" t="n">
        <x:v>29</x:v>
      </x:c>
      <x:c r="H142" s="35" t="n">
        <x:v>18</x:v>
      </x:c>
      <x:c r="I142" s="35" t="n">
        <x:v>3</x:v>
      </x:c>
      <x:c r="J142" s="35" t="n">
        <x:v>3</x:v>
      </x:c>
      <x:c r="K142" s="36" t="n">
        <x:f>IF(AND(S142=TRUE,ISNUMBER(I142),I142=INT(I142),I142&gt;=1,I142&lt;=3,ISNUMBER(J142),J142=INT(J142),J142&gt;=1,J142&lt;=3),I142*J142,"")</x:f>
        <x:v>9</x:v>
      </x:c>
      <x:c r="L142" s="26" t="str">
        <x:f>IF(K142="","",IF(K142&lt;=2,"LOW",IF(K142&lt;=4,"MEDIUM","HIGH")))</x:f>
        <x:v>HIGH</x:v>
      </x:c>
      <x:c r="M142" s="25" t="str">
        <x:v>Engineering controls, preventive maintenance, posted limits, and periodic exposure monitoring are in place.</x:v>
      </x:c>
      <x:c r="N142" s="25" t="str">
        <x:v>Measure exposure against the hospital standard and close any engineering-control gap within 90 days.</x:v>
      </x:c>
      <x:c r="O142" s="30" t="b">
        <x:v>0</x:v>
      </x:c>
      <x:c r="P142" s="27" t="str">
        <x:v>PHYSICAL</x:v>
      </x:c>
      <x:c r="Q142" s="27" t="str">
        <x:v>lighting</x:v>
      </x:c>
      <x:c r="R142" s="27" t="str"/>
      <x:c r="S142" s="31" t="b">
        <x:v>1</x:v>
      </x:c>
      <x:c r="T142" s="27" t="str">
        <x:v>ASM-2026-020</x:v>
      </x:c>
      <x:c r="U142" s="27" t="str">
        <x:v>HZ-2026-020-07</x:v>
      </x:c>
    </x:row>
    <x:row r="143">
      <x:c r="A143" s="28" t="str">
        <x:v>Health Promotion</x:v>
      </x:c>
      <x:c r="B143" s="37" t="n">
        <x:v>46064</x:v>
      </x:c>
      <x:c r="C143" s="26" t="str">
        <x:v>RAH01-2026-020</x:v>
      </x:c>
      <x:c r="D143" s="36" t="n">
        <x:v>8</x:v>
      </x:c>
      <x:c r="E143" s="26" t="str">
        <x:v>Safety and Accident Hazards</x:v>
      </x:c>
      <x:c r="F143" s="26" t="str">
        <x:v>Department-specific operational hazard requiring local review</x:v>
      </x:c>
      <x:c r="G143" s="35" t="n">
        <x:v>2</x:v>
      </x:c>
      <x:c r="H143" s="35" t="n">
        <x:v>25</x:v>
      </x:c>
      <x:c r="I143" s="35" t="n">
        <x:v>3</x:v>
      </x:c>
      <x:c r="J143" s="35" t="n">
        <x:v>2</x:v>
      </x:c>
      <x:c r="K143" s="36" t="n">
        <x:f>IF(AND(S143=TRUE,ISNUMBER(I143),I143=INT(I143),I143&gt;=1,I143&lt;=3,ISNUMBER(J143),J143=INT(J143),J143&gt;=1,J143&lt;=3),I143*J143,"")</x:f>
        <x:v>6</x:v>
      </x:c>
      <x:c r="L143" s="26" t="str">
        <x:f>IF(K143="","",IF(K143&lt;=2,"LOW",IF(K143&lt;=4,"MEDIUM","HIGH")))</x:f>
        <x:v>HIGH</x:v>
      </x:c>
      <x:c r="M143" s="25" t="str">
        <x:v>Safe-work procedures, inspection, housekeeping, guards, and incident reporting are implemented.</x:v>
      </x:c>
      <x:c r="N143" s="25" t="str">
        <x:v>Correct the unsafe condition, document ownership, and verify effectiveness through a follow-up inspection.</x:v>
      </x:c>
      <x:c r="O143" s="30" t="b">
        <x:v>1</x:v>
      </x:c>
      <x:c r="P143" s="27" t="str">
        <x:v>SAFETY_ACCIDENT</x:v>
      </x:c>
      <x:c r="Q143" s="27" t="str">
        <x:v>OTHER</x:v>
      </x:c>
      <x:c r="R143" s="27" t="str">
        <x:v>Department-specific operational hazard requiring local review</x:v>
      </x:c>
      <x:c r="S143" s="31" t="b">
        <x:v>1</x:v>
      </x:c>
      <x:c r="T143" s="27" t="str">
        <x:v>ASM-2026-020</x:v>
      </x:c>
      <x:c r="U143" s="27" t="str">
        <x:v>HZ-2026-020-08</x:v>
      </x:c>
    </x:row>
    <x:row r="144">
      <x:c r="A144" s="28" t="str">
        <x:v>Hematology</x:v>
      </x:c>
      <x:c r="B144" s="37" t="n">
        <x:v>46095</x:v>
      </x:c>
      <x:c r="C144" s="26" t="str">
        <x:v>RAH01-2026-021</x:v>
      </x:c>
      <x:c r="D144" s="36" t="n">
        <x:v>1</x:v>
      </x:c>
      <x:c r="E144" s="26" t="str">
        <x:v>Biological Hazards</x:v>
      </x:c>
      <x:c r="F144" s="26" t="str">
        <x:v>Bacteria</x:v>
      </x:c>
      <x:c r="G144" s="35" t="n">
        <x:v>6</x:v>
      </x:c>
      <x:c r="H144" s="35" t="n">
        <x:v>12</x:v>
      </x:c>
      <x:c r="I144" s="35" t="n">
        <x:v>1</x:v>
      </x:c>
      <x:c r="J144" s="35" t="n">
        <x:v>3</x:v>
      </x:c>
      <x:c r="K144" s="36" t="n">
        <x:f>IF(AND(S144=TRUE,ISNUMBER(I144),I144=INT(I144),I144&gt;=1,I144&lt;=3,ISNUMBER(J144),J144=INT(J144),J144&gt;=1,J144&lt;=3),I144*J144,"")</x:f>
        <x:v>3</x:v>
      </x:c>
      <x:c r="L144" s="26" t="str">
        <x:f>IF(K144="","",IF(K144&lt;=2,"LOW",IF(K144&lt;=4,"MEDIUM","HIGH")))</x:f>
        <x:v>MEDIUM</x:v>
      </x:c>
      <x:c r="M144" s="25" t="str">
        <x:v>Standard precautions, hand hygiene, vaccination, cleaning, and appropriate PPE are implemented.</x:v>
      </x:c>
      <x:c r="N144" s="25" t="str">
        <x:v>Audit compliance, investigate exposure incidents, and reinforce source-control and PPE practice.</x:v>
      </x:c>
      <x:c r="O144" s="30" t="b">
        <x:v>0</x:v>
      </x:c>
      <x:c r="P144" s="27" t="str">
        <x:v>BIOLOGICAL</x:v>
      </x:c>
      <x:c r="Q144" s="27" t="str">
        <x:v>bacteria</x:v>
      </x:c>
      <x:c r="R144" s="27" t="str"/>
      <x:c r="S144" s="31" t="b">
        <x:v>1</x:v>
      </x:c>
      <x:c r="T144" s="27" t="str">
        <x:v>ASM-2026-021</x:v>
      </x:c>
      <x:c r="U144" s="27" t="str">
        <x:v>HZ-2026-021-01</x:v>
      </x:c>
    </x:row>
    <x:row r="145">
      <x:c r="A145" s="28" t="str">
        <x:v>Hematology</x:v>
      </x:c>
      <x:c r="B145" s="37" t="n">
        <x:v>46095</x:v>
      </x:c>
      <x:c r="C145" s="26" t="str">
        <x:v>RAH01-2026-021</x:v>
      </x:c>
      <x:c r="D145" s="36" t="n">
        <x:v>2</x:v>
      </x:c>
      <x:c r="E145" s="26" t="str">
        <x:v>Biological Hazards</x:v>
      </x:c>
      <x:c r="F145" s="26" t="str">
        <x:v>Viruses</x:v>
      </x:c>
      <x:c r="G145" s="35" t="n">
        <x:v>9</x:v>
      </x:c>
      <x:c r="H145" s="35" t="n">
        <x:v>19</x:v>
      </x:c>
      <x:c r="I145" s="35" t="n">
        <x:v>3</x:v>
      </x:c>
      <x:c r="J145" s="35" t="n">
        <x:v>1</x:v>
      </x:c>
      <x:c r="K145" s="36" t="n">
        <x:f>IF(AND(S145=TRUE,ISNUMBER(I145),I145=INT(I145),I145&gt;=1,I145&lt;=3,ISNUMBER(J145),J145=INT(J145),J145&gt;=1,J145&lt;=3),I145*J145,"")</x:f>
        <x:v>3</x:v>
      </x:c>
      <x:c r="L145" s="26" t="str">
        <x:f>IF(K145="","",IF(K145&lt;=2,"LOW",IF(K145&lt;=4,"MEDIUM","HIGH")))</x:f>
        <x:v>MEDIUM</x:v>
      </x:c>
      <x:c r="M145" s="25" t="str">
        <x:v>Standard precautions, hand hygiene, vaccination, cleaning, and appropriate PPE are implemented.</x:v>
      </x:c>
      <x:c r="N145" s="25" t="str">
        <x:v>Audit compliance, investigate exposure incidents, and reinforce source-control and PPE practice.</x:v>
      </x:c>
      <x:c r="O145" s="30" t="b">
        <x:v>0</x:v>
      </x:c>
      <x:c r="P145" s="27" t="str">
        <x:v>BIOLOGICAL</x:v>
      </x:c>
      <x:c r="Q145" s="27" t="str">
        <x:v>viruses</x:v>
      </x:c>
      <x:c r="R145" s="27" t="str"/>
      <x:c r="S145" s="31" t="b">
        <x:v>1</x:v>
      </x:c>
      <x:c r="T145" s="27" t="str">
        <x:v>ASM-2026-021</x:v>
      </x:c>
      <x:c r="U145" s="27" t="str">
        <x:v>HZ-2026-021-02</x:v>
      </x:c>
    </x:row>
    <x:row r="146">
      <x:c r="A146" s="28" t="str">
        <x:v>Hematology</x:v>
      </x:c>
      <x:c r="B146" s="37" t="n">
        <x:v>46095</x:v>
      </x:c>
      <x:c r="C146" s="26" t="str">
        <x:v>RAH01-2026-021</x:v>
      </x:c>
      <x:c r="D146" s="36" t="n">
        <x:v>3</x:v>
      </x:c>
      <x:c r="E146" s="26" t="str">
        <x:v>Safety and Accident Hazards</x:v>
      </x:c>
      <x:c r="F146" s="26" t="str">
        <x:v>Sharps / Needlestick</x:v>
      </x:c>
      <x:c r="G146" s="35" t="n">
        <x:v>12</x:v>
      </x:c>
      <x:c r="H146" s="35" t="n">
        <x:v>26</x:v>
      </x:c>
      <x:c r="I146" s="35" t="n">
        <x:v>2</x:v>
      </x:c>
      <x:c r="J146" s="35" t="n">
        <x:v>2</x:v>
      </x:c>
      <x:c r="K146" s="36" t="n">
        <x:f>IF(AND(S146=TRUE,ISNUMBER(I146),I146=INT(I146),I146&gt;=1,I146&lt;=3,ISNUMBER(J146),J146=INT(J146),J146&gt;=1,J146&lt;=3),I146*J146,"")</x:f>
        <x:v>4</x:v>
      </x:c>
      <x:c r="L146" s="26" t="str">
        <x:f>IF(K146="","",IF(K146&lt;=2,"LOW",IF(K146&lt;=4,"MEDIUM","HIGH")))</x:f>
        <x:v>MEDIUM</x:v>
      </x:c>
      <x:c r="M146" s="25" t="str">
        <x:v>Safe-work procedures, inspection, housekeeping, guards, and incident reporting are implemented.</x:v>
      </x:c>
      <x:c r="N146" s="25" t="str">
        <x:v>Correct the unsafe condition, document ownership, and verify effectiveness through a follow-up inspection.</x:v>
      </x:c>
      <x:c r="O146" s="30" t="b">
        <x:v>0</x:v>
      </x:c>
      <x:c r="P146" s="27" t="str">
        <x:v>SAFETY_ACCIDENT</x:v>
      </x:c>
      <x:c r="Q146" s="27" t="str">
        <x:v>sharps</x:v>
      </x:c>
      <x:c r="R146" s="27" t="str"/>
      <x:c r="S146" s="31" t="b">
        <x:v>1</x:v>
      </x:c>
      <x:c r="T146" s="27" t="str">
        <x:v>ASM-2026-021</x:v>
      </x:c>
      <x:c r="U146" s="27" t="str">
        <x:v>HZ-2026-021-03</x:v>
      </x:c>
    </x:row>
    <x:row r="147">
      <x:c r="A147" s="28" t="str">
        <x:v>Hematology</x:v>
      </x:c>
      <x:c r="B147" s="37" t="n">
        <x:v>46095</x:v>
      </x:c>
      <x:c r="C147" s="26" t="str">
        <x:v>RAH01-2026-021</x:v>
      </x:c>
      <x:c r="D147" s="36" t="n">
        <x:v>4</x:v>
      </x:c>
      <x:c r="E147" s="26" t="str">
        <x:v>Chemical Hazards</x:v>
      </x:c>
      <x:c r="F147" s="26" t="str">
        <x:v>Sterilization / Disinfection Chemicals</x:v>
      </x:c>
      <x:c r="G147" s="35" t="n">
        <x:v>15</x:v>
      </x:c>
      <x:c r="H147" s="35" t="n">
        <x:v>2</x:v>
      </x:c>
      <x:c r="I147" s="35" t="n">
        <x:v>1</x:v>
      </x:c>
      <x:c r="J147" s="35" t="n">
        <x:v>3</x:v>
      </x:c>
      <x:c r="K147" s="36" t="n">
        <x:f>IF(AND(S147=TRUE,ISNUMBER(I147),I147=INT(I147),I147&gt;=1,I147&lt;=3,ISNUMBER(J147),J147=INT(J147),J147&gt;=1,J147&lt;=3),I147*J147,"")</x:f>
        <x:v>3</x:v>
      </x:c>
      <x:c r="L147" s="26" t="str">
        <x:f>IF(K147="","",IF(K147&lt;=2,"LOW",IF(K147&lt;=4,"MEDIUM","HIGH")))</x:f>
        <x:v>MEDIUM</x:v>
      </x:c>
      <x:c r="M147" s="25" t="str">
        <x:v>Safety data, labeled containers, local procedures, ventilation, and chemical-resistant PPE are available.</x:v>
      </x:c>
      <x:c r="N147" s="25" t="str">
        <x:v>Review substitution, ventilation, storage, spill response, and staff competency for this chemical task.</x:v>
      </x:c>
      <x:c r="O147" s="30" t="b">
        <x:v>0</x:v>
      </x:c>
      <x:c r="P147" s="27" t="str">
        <x:v>CHEMICAL</x:v>
      </x:c>
      <x:c r="Q147" s="27" t="str">
        <x:v>sterilization_disinfection_chemicals</x:v>
      </x:c>
      <x:c r="R147" s="27" t="str"/>
      <x:c r="S147" s="31" t="b">
        <x:v>1</x:v>
      </x:c>
      <x:c r="T147" s="27" t="str">
        <x:v>ASM-2026-021</x:v>
      </x:c>
      <x:c r="U147" s="27" t="str">
        <x:v>HZ-2026-021-04</x:v>
      </x:c>
    </x:row>
    <x:row r="148">
      <x:c r="A148" s="28" t="str">
        <x:v>Hematology</x:v>
      </x:c>
      <x:c r="B148" s="37" t="n">
        <x:v>46095</x:v>
      </x:c>
      <x:c r="C148" s="26" t="str">
        <x:v>RAH01-2026-021</x:v>
      </x:c>
      <x:c r="D148" s="36" t="n">
        <x:v>5</x:v>
      </x:c>
      <x:c r="E148" s="26" t="str">
        <x:v>Ergonomic Hazards</x:v>
      </x:c>
      <x:c r="F148" s="26" t="str">
        <x:v>Repetitive Tasks</x:v>
      </x:c>
      <x:c r="G148" s="35" t="n">
        <x:v>18</x:v>
      </x:c>
      <x:c r="H148" s="35" t="n">
        <x:v>9</x:v>
      </x:c>
      <x:c r="I148" s="35" t="n">
        <x:v>3</x:v>
      </x:c>
      <x:c r="J148" s="35" t="n">
        <x:v>1</x:v>
      </x:c>
      <x:c r="K148" s="36" t="n">
        <x:f>IF(AND(S148=TRUE,ISNUMBER(I148),I148=INT(I148),I148&gt;=1,I148&lt;=3,ISNUMBER(J148),J148=INT(J148),J148&gt;=1,J148&lt;=3),I148*J148,"")</x:f>
        <x:v>3</x:v>
      </x:c>
      <x:c r="L148" s="26" t="str">
        <x:f>IF(K148="","",IF(K148&lt;=2,"LOW",IF(K148&lt;=4,"MEDIUM","HIGH")))</x:f>
        <x:v>MEDIUM</x:v>
      </x:c>
      <x:c r="M148" s="25" t="str">
        <x:v>Task rotation, adjustable equipment, team lifting, and safe-patient-handling guidance are used.</x:v>
      </x:c>
      <x:c r="N148" s="25" t="str">
        <x:v>Complete an ergonomic task assessment and implement equipment or workflow changes to reduce force and repetition.</x:v>
      </x:c>
      <x:c r="O148" s="30" t="b">
        <x:v>0</x:v>
      </x:c>
      <x:c r="P148" s="27" t="str">
        <x:v>ERGONOMIC</x:v>
      </x:c>
      <x:c r="Q148" s="27" t="str">
        <x:v>repetitive_tasks</x:v>
      </x:c>
      <x:c r="R148" s="27" t="str"/>
      <x:c r="S148" s="31" t="b">
        <x:v>1</x:v>
      </x:c>
      <x:c r="T148" s="27" t="str">
        <x:v>ASM-2026-021</x:v>
      </x:c>
      <x:c r="U148" s="27" t="str">
        <x:v>HZ-2026-021-05</x:v>
      </x:c>
    </x:row>
    <x:row r="149">
      <x:c r="A149" s="28" t="str">
        <x:v>Hematology</x:v>
      </x:c>
      <x:c r="B149" s="37" t="n">
        <x:v>46095</x:v>
      </x:c>
      <x:c r="C149" s="26" t="str">
        <x:v>RAH01-2026-021</x:v>
      </x:c>
      <x:c r="D149" s="36" t="n">
        <x:v>6</x:v>
      </x:c>
      <x:c r="E149" s="26" t="str">
        <x:v>Indoor Air Quality Hazards</x:v>
      </x:c>
      <x:c r="F149" s="26" t="str">
        <x:v>Pungent Chemical Odor</x:v>
      </x:c>
      <x:c r="G149" s="35" t="n">
        <x:v>21</x:v>
      </x:c>
      <x:c r="H149" s="35" t="n">
        <x:v>16</x:v>
      </x:c>
      <x:c r="I149" s="35" t="n">
        <x:v>2</x:v>
      </x:c>
      <x:c r="J149" s="35" t="n">
        <x:v>2</x:v>
      </x:c>
      <x:c r="K149" s="36" t="n">
        <x:f>IF(AND(S149=TRUE,ISNUMBER(I149),I149=INT(I149),I149&gt;=1,I149&lt;=3,ISNUMBER(J149),J149=INT(J149),J149&gt;=1,J149&lt;=3),I149*J149,"")</x:f>
        <x:v>4</x:v>
      </x:c>
      <x:c r="L149" s="26" t="str">
        <x:f>IF(K149="","",IF(K149&lt;=2,"LOW",IF(K149&lt;=4,"MEDIUM","HIGH")))</x:f>
        <x:v>MEDIUM</x:v>
      </x:c>
      <x:c r="M149" s="25" t="str">
        <x:v>Ventilation, cleaning, occupancy management, and environmental inspection are performed.</x:v>
      </x:c>
      <x:c r="N149" s="25" t="str">
        <x:v>Inspect ventilation and moisture sources, then document corrective action and environmental recheck.</x:v>
      </x:c>
      <x:c r="O149" s="30" t="b">
        <x:v>0</x:v>
      </x:c>
      <x:c r="P149" s="27" t="str">
        <x:v>INDOOR_AIR_QUALITY</x:v>
      </x:c>
      <x:c r="Q149" s="27" t="str">
        <x:v>chemical_odor</x:v>
      </x:c>
      <x:c r="R149" s="27" t="str"/>
      <x:c r="S149" s="31" t="b">
        <x:v>1</x:v>
      </x:c>
      <x:c r="T149" s="27" t="str">
        <x:v>ASM-2026-021</x:v>
      </x:c>
      <x:c r="U149" s="27" t="str">
        <x:v>HZ-2026-021-06</x:v>
      </x:c>
    </x:row>
    <x:row r="150">
      <x:c r="A150" s="28" t="str">
        <x:v>Hematology</x:v>
      </x:c>
      <x:c r="B150" s="37" t="n">
        <x:v>46095</x:v>
      </x:c>
      <x:c r="C150" s="26" t="str">
        <x:v>RAH01-2026-021</x:v>
      </x:c>
      <x:c r="D150" s="36" t="n">
        <x:v>7</x:v>
      </x:c>
      <x:c r="E150" s="26" t="str">
        <x:v>Fire and Disaster Hazards</x:v>
      </x:c>
      <x:c r="F150" s="26" t="str">
        <x:v>Electrical Equipment</x:v>
      </x:c>
      <x:c r="G150" s="35" t="n">
        <x:v>24</x:v>
      </x:c>
      <x:c r="H150" s="35" t="n">
        <x:v>23</x:v>
      </x:c>
      <x:c r="I150" s="35" t="n">
        <x:v>1</x:v>
      </x:c>
      <x:c r="J150" s="35" t="n">
        <x:v>3</x:v>
      </x:c>
      <x:c r="K150" s="36" t="n">
        <x:f>IF(AND(S150=TRUE,ISNUMBER(I150),I150=INT(I150),I150&gt;=1,I150&lt;=3,ISNUMBER(J150),J150=INT(J150),J150&gt;=1,J150&lt;=3),I150*J150,"")</x:f>
        <x:v>3</x:v>
      </x:c>
      <x:c r="L150" s="26" t="str">
        <x:f>IF(K150="","",IF(K150&lt;=2,"LOW",IF(K150&lt;=4,"MEDIUM","HIGH")))</x:f>
        <x:v>MEDIUM</x:v>
      </x:c>
      <x:c r="M150" s="25" t="str">
        <x:v>Electrical inspection, isolation procedures, alarms, extinguishers, and emergency response plans are maintained.</x:v>
      </x:c>
      <x:c r="N150" s="25" t="str">
        <x:v>Complete an engineering inspection and emergency-readiness check before the next scheduled review.</x:v>
      </x:c>
      <x:c r="O150" s="30" t="b">
        <x:v>0</x:v>
      </x:c>
      <x:c r="P150" s="27" t="str">
        <x:v>FIRE_DISASTER</x:v>
      </x:c>
      <x:c r="Q150" s="27" t="str">
        <x:v>electrical_equipment</x:v>
      </x:c>
      <x:c r="R150" s="27" t="str"/>
      <x:c r="S150" s="31" t="b">
        <x:v>1</x:v>
      </x:c>
      <x:c r="T150" s="27" t="str">
        <x:v>ASM-2026-021</x:v>
      </x:c>
      <x:c r="U150" s="27" t="str">
        <x:v>HZ-2026-021-07</x:v>
      </x:c>
    </x:row>
    <x:row r="151">
      <x:c r="A151" s="28" t="str">
        <x:v>Hematology</x:v>
      </x:c>
      <x:c r="B151" s="37" t="n">
        <x:v>46095</x:v>
      </x:c>
      <x:c r="C151" s="26" t="str">
        <x:v>RAH01-2026-021</x:v>
      </x:c>
      <x:c r="D151" s="36" t="n">
        <x:v>8</x:v>
      </x:c>
      <x:c r="E151" s="26" t="str">
        <x:v>Psychosocial Hazards</x:v>
      </x:c>
      <x:c r="F151" s="26" t="str">
        <x:v>Insufficient Rest</x:v>
      </x:c>
      <x:c r="G151" s="35" t="n">
        <x:v>27</x:v>
      </x:c>
      <x:c r="H151" s="35" t="n">
        <x:v>30</x:v>
      </x:c>
      <x:c r="I151" s="35" t="n">
        <x:v>3</x:v>
      </x:c>
      <x:c r="J151" s="35" t="n">
        <x:v>1</x:v>
      </x:c>
      <x:c r="K151" s="36" t="n">
        <x:f>IF(AND(S151=TRUE,ISNUMBER(I151),I151=INT(I151),I151&gt;=1,I151&lt;=3,ISNUMBER(J151),J151=INT(J151),J151&gt;=1,J151&lt;=3),I151*J151,"")</x:f>
        <x:v>3</x:v>
      </x:c>
      <x:c r="L151" s="26" t="str">
        <x:f>IF(K151="","",IF(K151&lt;=2,"LOW",IF(K151&lt;=4,"MEDIUM","HIGH")))</x:f>
        <x:v>MEDIUM</x:v>
      </x:c>
      <x:c r="M151" s="25" t="str">
        <x:v>Shift planning, escalation pathways, security support, breaks, and supervisor check-ins are available.</x:v>
      </x:c>
      <x:c r="N151" s="25" t="str">
        <x:v>Review staffing, breaks, escalation support, and violence-prevention controls with the department manager.</x:v>
      </x:c>
      <x:c r="O151" s="30" t="b">
        <x:v>0</x:v>
      </x:c>
      <x:c r="P151" s="27" t="str">
        <x:v>PSYCHOSOCIAL</x:v>
      </x:c>
      <x:c r="Q151" s="27" t="str">
        <x:v>insufficient_rest</x:v>
      </x:c>
      <x:c r="R151" s="27" t="str"/>
      <x:c r="S151" s="31" t="b">
        <x:v>1</x:v>
      </x:c>
      <x:c r="T151" s="27" t="str">
        <x:v>ASM-2026-021</x:v>
      </x:c>
      <x:c r="U151" s="27" t="str">
        <x:v>HZ-2026-021-08</x:v>
      </x:c>
    </x:row>
    <x:row r="152">
      <x:c r="A152" s="28" t="str">
        <x:v>ICU 1</x:v>
      </x:c>
      <x:c r="B152" s="37" t="n">
        <x:v>46129</x:v>
      </x:c>
      <x:c r="C152" s="26" t="str">
        <x:v>RAH01-2026-022</x:v>
      </x:c>
      <x:c r="D152" s="36" t="n">
        <x:v>1</x:v>
      </x:c>
      <x:c r="E152" s="26" t="str">
        <x:v>Biological Hazards</x:v>
      </x:c>
      <x:c r="F152" s="26" t="str">
        <x:v>Bacteria</x:v>
      </x:c>
      <x:c r="G152" s="35" t="n">
        <x:v>1</x:v>
      </x:c>
      <x:c r="H152" s="35" t="n">
        <x:v>17</x:v>
      </x:c>
      <x:c r="I152" s="35" t="n">
        <x:v>3</x:v>
      </x:c>
      <x:c r="J152" s="35" t="n">
        <x:v>2</x:v>
      </x:c>
      <x:c r="K152" s="36" t="n">
        <x:f>IF(AND(S152=TRUE,ISNUMBER(I152),I152=INT(I152),I152&gt;=1,I152&lt;=3,ISNUMBER(J152),J152=INT(J152),J152&gt;=1,J152&lt;=3),I152*J152,"")</x:f>
        <x:v>6</x:v>
      </x:c>
      <x:c r="L152" s="26" t="str">
        <x:f>IF(K152="","",IF(K152&lt;=2,"LOW",IF(K152&lt;=4,"MEDIUM","HIGH")))</x:f>
        <x:v>HIGH</x:v>
      </x:c>
      <x:c r="M152" s="25" t="str">
        <x:v>Standard precautions, hand hygiene, vaccination, cleaning, and appropriate PPE are implemented.</x:v>
      </x:c>
      <x:c r="N152" s="25" t="str">
        <x:v>Audit compliance, investigate exposure incidents, and reinforce source-control and PPE practice.</x:v>
      </x:c>
      <x:c r="O152" s="30" t="b">
        <x:v>0</x:v>
      </x:c>
      <x:c r="P152" s="27" t="str">
        <x:v>BIOLOGICAL</x:v>
      </x:c>
      <x:c r="Q152" s="27" t="str">
        <x:v>bacteria</x:v>
      </x:c>
      <x:c r="R152" s="27" t="str"/>
      <x:c r="S152" s="31" t="b">
        <x:v>1</x:v>
      </x:c>
      <x:c r="T152" s="27" t="str">
        <x:v>ASM-2026-022</x:v>
      </x:c>
      <x:c r="U152" s="27" t="str">
        <x:v>HZ-2026-022-01</x:v>
      </x:c>
    </x:row>
    <x:row r="153">
      <x:c r="A153" s="28" t="str">
        <x:v>ICU 1</x:v>
      </x:c>
      <x:c r="B153" s="37" t="n">
        <x:v>46129</x:v>
      </x:c>
      <x:c r="C153" s="26" t="str">
        <x:v>RAH01-2026-022</x:v>
      </x:c>
      <x:c r="D153" s="36" t="n">
        <x:v>2</x:v>
      </x:c>
      <x:c r="E153" s="26" t="str">
        <x:v>Biological Hazards</x:v>
      </x:c>
      <x:c r="F153" s="26" t="str">
        <x:v>Viruses</x:v>
      </x:c>
      <x:c r="G153" s="35" t="n">
        <x:v>4</x:v>
      </x:c>
      <x:c r="H153" s="35" t="n">
        <x:v>24</x:v>
      </x:c>
      <x:c r="I153" s="35" t="n">
        <x:v>2</x:v>
      </x:c>
      <x:c r="J153" s="35" t="n">
        <x:v>3</x:v>
      </x:c>
      <x:c r="K153" s="36" t="n">
        <x:f>IF(AND(S153=TRUE,ISNUMBER(I153),I153=INT(I153),I153&gt;=1,I153&lt;=3,ISNUMBER(J153),J153=INT(J153),J153&gt;=1,J153&lt;=3),I153*J153,"")</x:f>
        <x:v>6</x:v>
      </x:c>
      <x:c r="L153" s="26" t="str">
        <x:f>IF(K153="","",IF(K153&lt;=2,"LOW",IF(K153&lt;=4,"MEDIUM","HIGH")))</x:f>
        <x:v>HIGH</x:v>
      </x:c>
      <x:c r="M153" s="25" t="str">
        <x:v>Standard precautions, hand hygiene, vaccination, cleaning, and appropriate PPE are implemented.</x:v>
      </x:c>
      <x:c r="N153" s="25" t="str">
        <x:v>Audit compliance, investigate exposure incidents, and reinforce source-control and PPE practice.</x:v>
      </x:c>
      <x:c r="O153" s="30" t="b">
        <x:v>0</x:v>
      </x:c>
      <x:c r="P153" s="27" t="str">
        <x:v>BIOLOGICAL</x:v>
      </x:c>
      <x:c r="Q153" s="27" t="str">
        <x:v>viruses</x:v>
      </x:c>
      <x:c r="R153" s="27" t="str"/>
      <x:c r="S153" s="31" t="b">
        <x:v>1</x:v>
      </x:c>
      <x:c r="T153" s="27" t="str">
        <x:v>ASM-2026-022</x:v>
      </x:c>
      <x:c r="U153" s="27" t="str">
        <x:v>HZ-2026-022-02</x:v>
      </x:c>
    </x:row>
    <x:row r="154">
      <x:c r="A154" s="28" t="str">
        <x:v>ICU 1</x:v>
      </x:c>
      <x:c r="B154" s="37" t="n">
        <x:v>46129</x:v>
      </x:c>
      <x:c r="C154" s="26" t="str">
        <x:v>RAH01-2026-022</x:v>
      </x:c>
      <x:c r="D154" s="36" t="n">
        <x:v>3</x:v>
      </x:c>
      <x:c r="E154" s="26" t="str">
        <x:v>Safety and Accident Hazards</x:v>
      </x:c>
      <x:c r="F154" s="26" t="str">
        <x:v>Sharps / Needlestick</x:v>
      </x:c>
      <x:c r="G154" s="35" t="n">
        <x:v>7</x:v>
      </x:c>
      <x:c r="H154" s="35" t="n">
        <x:v>0</x:v>
      </x:c>
      <x:c r="I154" s="35" t="n">
        <x:v>3</x:v>
      </x:c>
      <x:c r="J154" s="35" t="n">
        <x:v>3</x:v>
      </x:c>
      <x:c r="K154" s="36" t="n">
        <x:f>IF(AND(S154=TRUE,ISNUMBER(I154),I154=INT(I154),I154&gt;=1,I154&lt;=3,ISNUMBER(J154),J154=INT(J154),J154&gt;=1,J154&lt;=3),I154*J154,"")</x:f>
        <x:v>9</x:v>
      </x:c>
      <x:c r="L154" s="26" t="str">
        <x:f>IF(K154="","",IF(K154&lt;=2,"LOW",IF(K154&lt;=4,"MEDIUM","HIGH")))</x:f>
        <x:v>HIGH</x:v>
      </x:c>
      <x:c r="M154" s="25" t="str">
        <x:v>Safe-work procedures, inspection, housekeeping, guards, and incident reporting are implemented.</x:v>
      </x:c>
      <x:c r="N154" s="25" t="str">
        <x:v>Correct the unsafe condition, document ownership, and verify effectiveness through a follow-up inspection.</x:v>
      </x:c>
      <x:c r="O154" s="30" t="b">
        <x:v>1</x:v>
      </x:c>
      <x:c r="P154" s="27" t="str">
        <x:v>SAFETY_ACCIDENT</x:v>
      </x:c>
      <x:c r="Q154" s="27" t="str">
        <x:v>sharps</x:v>
      </x:c>
      <x:c r="R154" s="27" t="str"/>
      <x:c r="S154" s="31" t="b">
        <x:v>1</x:v>
      </x:c>
      <x:c r="T154" s="27" t="str">
        <x:v>ASM-2026-022</x:v>
      </x:c>
      <x:c r="U154" s="27" t="str">
        <x:v>HZ-2026-022-03</x:v>
      </x:c>
    </x:row>
    <x:row r="155">
      <x:c r="A155" s="28" t="str">
        <x:v>ICU 1</x:v>
      </x:c>
      <x:c r="B155" s="37" t="n">
        <x:v>46129</x:v>
      </x:c>
      <x:c r="C155" s="26" t="str">
        <x:v>RAH01-2026-022</x:v>
      </x:c>
      <x:c r="D155" s="36" t="n">
        <x:v>4</x:v>
      </x:c>
      <x:c r="E155" s="26" t="str">
        <x:v>Chemical Hazards</x:v>
      </x:c>
      <x:c r="F155" s="26" t="str">
        <x:v>Sterilization / Disinfection Chemicals</x:v>
      </x:c>
      <x:c r="G155" s="35" t="n">
        <x:v>10</x:v>
      </x:c>
      <x:c r="H155" s="35" t="n">
        <x:v>7</x:v>
      </x:c>
      <x:c r="I155" s="35" t="n">
        <x:v>3</x:v>
      </x:c>
      <x:c r="J155" s="35" t="n">
        <x:v>2</x:v>
      </x:c>
      <x:c r="K155" s="36" t="n">
        <x:f>IF(AND(S155=TRUE,ISNUMBER(I155),I155=INT(I155),I155&gt;=1,I155&lt;=3,ISNUMBER(J155),J155=INT(J155),J155&gt;=1,J155&lt;=3),I155*J155,"")</x:f>
        <x:v>6</x:v>
      </x:c>
      <x:c r="L155" s="26" t="str">
        <x:f>IF(K155="","",IF(K155&lt;=2,"LOW",IF(K155&lt;=4,"MEDIUM","HIGH")))</x:f>
        <x:v>HIGH</x:v>
      </x:c>
      <x:c r="M155" s="25" t="str">
        <x:v>Safety data, labeled containers, local procedures, ventilation, and chemical-resistant PPE are available.</x:v>
      </x:c>
      <x:c r="N155" s="25" t="str">
        <x:v>Review substitution, ventilation, storage, spill response, and staff competency for this chemical task.</x:v>
      </x:c>
      <x:c r="O155" s="30" t="b">
        <x:v>0</x:v>
      </x:c>
      <x:c r="P155" s="27" t="str">
        <x:v>CHEMICAL</x:v>
      </x:c>
      <x:c r="Q155" s="27" t="str">
        <x:v>sterilization_disinfection_chemicals</x:v>
      </x:c>
      <x:c r="R155" s="27" t="str"/>
      <x:c r="S155" s="31" t="b">
        <x:v>1</x:v>
      </x:c>
      <x:c r="T155" s="27" t="str">
        <x:v>ASM-2026-022</x:v>
      </x:c>
      <x:c r="U155" s="27" t="str">
        <x:v>HZ-2026-022-04</x:v>
      </x:c>
    </x:row>
    <x:row r="156">
      <x:c r="A156" s="28" t="str">
        <x:v>ICU 1</x:v>
      </x:c>
      <x:c r="B156" s="37" t="n">
        <x:v>46129</x:v>
      </x:c>
      <x:c r="C156" s="26" t="str">
        <x:v>RAH01-2026-022</x:v>
      </x:c>
      <x:c r="D156" s="36" t="n">
        <x:v>5</x:v>
      </x:c>
      <x:c r="E156" s="26" t="str">
        <x:v>Ergonomic Hazards</x:v>
      </x:c>
      <x:c r="F156" s="26" t="str">
        <x:v>Repetitive Tasks</x:v>
      </x:c>
      <x:c r="G156" s="35" t="n">
        <x:v>13</x:v>
      </x:c>
      <x:c r="H156" s="35" t="n">
        <x:v>14</x:v>
      </x:c>
      <x:c r="I156" s="35" t="n">
        <x:v>2</x:v>
      </x:c>
      <x:c r="J156" s="35" t="n">
        <x:v>3</x:v>
      </x:c>
      <x:c r="K156" s="36" t="n">
        <x:f>IF(AND(S156=TRUE,ISNUMBER(I156),I156=INT(I156),I156&gt;=1,I156&lt;=3,ISNUMBER(J156),J156=INT(J156),J156&gt;=1,J156&lt;=3),I156*J156,"")</x:f>
        <x:v>6</x:v>
      </x:c>
      <x:c r="L156" s="26" t="str">
        <x:f>IF(K156="","",IF(K156&lt;=2,"LOW",IF(K156&lt;=4,"MEDIUM","HIGH")))</x:f>
        <x:v>HIGH</x:v>
      </x:c>
      <x:c r="M156" s="25" t="str">
        <x:v>Task rotation, adjustable equipment, team lifting, and safe-patient-handling guidance are used.</x:v>
      </x:c>
      <x:c r="N156" s="25" t="str">
        <x:v>Complete an ergonomic task assessment and implement equipment or workflow changes to reduce force and repetition.</x:v>
      </x:c>
      <x:c r="O156" s="30" t="b">
        <x:v>0</x:v>
      </x:c>
      <x:c r="P156" s="27" t="str">
        <x:v>ERGONOMIC</x:v>
      </x:c>
      <x:c r="Q156" s="27" t="str">
        <x:v>repetitive_tasks</x:v>
      </x:c>
      <x:c r="R156" s="27" t="str"/>
      <x:c r="S156" s="31" t="b">
        <x:v>1</x:v>
      </x:c>
      <x:c r="T156" s="27" t="str">
        <x:v>ASM-2026-022</x:v>
      </x:c>
      <x:c r="U156" s="27" t="str">
        <x:v>HZ-2026-022-05</x:v>
      </x:c>
    </x:row>
    <x:row r="157">
      <x:c r="A157" s="28" t="str">
        <x:v>ICU 1</x:v>
      </x:c>
      <x:c r="B157" s="37" t="n">
        <x:v>46129</x:v>
      </x:c>
      <x:c r="C157" s="26" t="str">
        <x:v>RAH01-2026-022</x:v>
      </x:c>
      <x:c r="D157" s="36" t="n">
        <x:v>6</x:v>
      </x:c>
      <x:c r="E157" s="26" t="str">
        <x:v>Indoor Air Quality Hazards</x:v>
      </x:c>
      <x:c r="F157" s="26" t="str">
        <x:v>Pungent Chemical Odor</x:v>
      </x:c>
      <x:c r="G157" s="35" t="n">
        <x:v>16</x:v>
      </x:c>
      <x:c r="H157" s="35" t="n">
        <x:v>21</x:v>
      </x:c>
      <x:c r="I157" s="35" t="n">
        <x:v>3</x:v>
      </x:c>
      <x:c r="J157" s="35" t="n">
        <x:v>3</x:v>
      </x:c>
      <x:c r="K157" s="36" t="n">
        <x:f>IF(AND(S157=TRUE,ISNUMBER(I157),I157=INT(I157),I157&gt;=1,I157&lt;=3,ISNUMBER(J157),J157=INT(J157),J157&gt;=1,J157&lt;=3),I157*J157,"")</x:f>
        <x:v>9</x:v>
      </x:c>
      <x:c r="L157" s="26" t="str">
        <x:f>IF(K157="","",IF(K157&lt;=2,"LOW",IF(K157&lt;=4,"MEDIUM","HIGH")))</x:f>
        <x:v>HIGH</x:v>
      </x:c>
      <x:c r="M157" s="25" t="str">
        <x:v>Ventilation, cleaning, occupancy management, and environmental inspection are performed.</x:v>
      </x:c>
      <x:c r="N157" s="25" t="str">
        <x:v>Inspect ventilation and moisture sources, then document corrective action and environmental recheck.</x:v>
      </x:c>
      <x:c r="O157" s="30" t="b">
        <x:v>1</x:v>
      </x:c>
      <x:c r="P157" s="27" t="str">
        <x:v>INDOOR_AIR_QUALITY</x:v>
      </x:c>
      <x:c r="Q157" s="27" t="str">
        <x:v>chemical_odor</x:v>
      </x:c>
      <x:c r="R157" s="27" t="str"/>
      <x:c r="S157" s="31" t="b">
        <x:v>1</x:v>
      </x:c>
      <x:c r="T157" s="27" t="str">
        <x:v>ASM-2026-022</x:v>
      </x:c>
      <x:c r="U157" s="27" t="str">
        <x:v>HZ-2026-022-06</x:v>
      </x:c>
    </x:row>
    <x:row r="158">
      <x:c r="A158" s="28" t="str">
        <x:v>ICU 1</x:v>
      </x:c>
      <x:c r="B158" s="37" t="n">
        <x:v>46129</x:v>
      </x:c>
      <x:c r="C158" s="26" t="str">
        <x:v>RAH01-2026-022</x:v>
      </x:c>
      <x:c r="D158" s="36" t="n">
        <x:v>7</x:v>
      </x:c>
      <x:c r="E158" s="26" t="str">
        <x:v>Fire and Disaster Hazards</x:v>
      </x:c>
      <x:c r="F158" s="26" t="str">
        <x:v>Electrical Equipment</x:v>
      </x:c>
      <x:c r="G158" s="35" t="n">
        <x:v>19</x:v>
      </x:c>
      <x:c r="H158" s="35" t="n">
        <x:v>28</x:v>
      </x:c>
      <x:c r="I158" s="35" t="n">
        <x:v>3</x:v>
      </x:c>
      <x:c r="J158" s="35" t="n">
        <x:v>2</x:v>
      </x:c>
      <x:c r="K158" s="36" t="n">
        <x:f>IF(AND(S158=TRUE,ISNUMBER(I158),I158=INT(I158),I158&gt;=1,I158&lt;=3,ISNUMBER(J158),J158=INT(J158),J158&gt;=1,J158&lt;=3),I158*J158,"")</x:f>
        <x:v>6</x:v>
      </x:c>
      <x:c r="L158" s="26" t="str">
        <x:f>IF(K158="","",IF(K158&lt;=2,"LOW",IF(K158&lt;=4,"MEDIUM","HIGH")))</x:f>
        <x:v>HIGH</x:v>
      </x:c>
      <x:c r="M158" s="25" t="str">
        <x:v>Electrical inspection, isolation procedures, alarms, extinguishers, and emergency response plans are maintained.</x:v>
      </x:c>
      <x:c r="N158" s="25" t="str">
        <x:v>Complete an engineering inspection and emergency-readiness check before the next scheduled review.</x:v>
      </x:c>
      <x:c r="O158" s="30" t="b">
        <x:v>0</x:v>
      </x:c>
      <x:c r="P158" s="27" t="str">
        <x:v>FIRE_DISASTER</x:v>
      </x:c>
      <x:c r="Q158" s="27" t="str">
        <x:v>electrical_equipment</x:v>
      </x:c>
      <x:c r="R158" s="27" t="str"/>
      <x:c r="S158" s="31" t="b">
        <x:v>1</x:v>
      </x:c>
      <x:c r="T158" s="27" t="str">
        <x:v>ASM-2026-022</x:v>
      </x:c>
      <x:c r="U158" s="27" t="str">
        <x:v>HZ-2026-022-07</x:v>
      </x:c>
    </x:row>
    <x:row r="159">
      <x:c r="A159" s="28" t="str">
        <x:v>ICU 1</x:v>
      </x:c>
      <x:c r="B159" s="37" t="n">
        <x:v>46129</x:v>
      </x:c>
      <x:c r="C159" s="26" t="str">
        <x:v>RAH01-2026-022</x:v>
      </x:c>
      <x:c r="D159" s="36" t="n">
        <x:v>8</x:v>
      </x:c>
      <x:c r="E159" s="26" t="str">
        <x:v>Indoor Air Quality Hazards</x:v>
      </x:c>
      <x:c r="F159" s="26" t="str">
        <x:v>Dust</x:v>
      </x:c>
      <x:c r="G159" s="35" t="n">
        <x:v>22</x:v>
      </x:c>
      <x:c r="H159" s="35" t="n">
        <x:v>4</x:v>
      </x:c>
      <x:c r="I159" s="35" t="n">
        <x:v>2</x:v>
      </x:c>
      <x:c r="J159" s="35" t="n">
        <x:v>3</x:v>
      </x:c>
      <x:c r="K159" s="36" t="n">
        <x:f>IF(AND(S159=TRUE,ISNUMBER(I159),I159=INT(I159),I159&gt;=1,I159&lt;=3,ISNUMBER(J159),J159=INT(J159),J159&gt;=1,J159&lt;=3),I159*J159,"")</x:f>
        <x:v>6</x:v>
      </x:c>
      <x:c r="L159" s="26" t="str">
        <x:f>IF(K159="","",IF(K159&lt;=2,"LOW",IF(K159&lt;=4,"MEDIUM","HIGH")))</x:f>
        <x:v>HIGH</x:v>
      </x:c>
      <x:c r="M159" s="25" t="str">
        <x:v>Ventilation, cleaning, occupancy management, and environmental inspection are performed.</x:v>
      </x:c>
      <x:c r="N159" s="25" t="str">
        <x:v>Inspect ventilation and moisture sources, then document corrective action and environmental recheck.</x:v>
      </x:c>
      <x:c r="O159" s="30" t="b">
        <x:v>0</x:v>
      </x:c>
      <x:c r="P159" s="27" t="str">
        <x:v>INDOOR_AIR_QUALITY</x:v>
      </x:c>
      <x:c r="Q159" s="27" t="str">
        <x:v>dust</x:v>
      </x:c>
      <x:c r="R159" s="27" t="str"/>
      <x:c r="S159" s="31" t="b">
        <x:v>1</x:v>
      </x:c>
      <x:c r="T159" s="27" t="str">
        <x:v>ASM-2026-022</x:v>
      </x:c>
      <x:c r="U159" s="27" t="str">
        <x:v>HZ-2026-022-08</x:v>
      </x:c>
    </x:row>
    <x:row r="160">
      <x:c r="A160" s="28" t="str">
        <x:v>ICU 2</x:v>
      </x:c>
      <x:c r="B160" s="37" t="n">
        <x:v>46162</x:v>
      </x:c>
      <x:c r="C160" s="26" t="str">
        <x:v>RAH01-2026-023</x:v>
      </x:c>
      <x:c r="D160" s="36" t="n">
        <x:v>1</x:v>
      </x:c>
      <x:c r="E160" s="26" t="str">
        <x:v>Ergonomic Hazards</x:v>
      </x:c>
      <x:c r="F160" s="26" t="str">
        <x:v>Prolonged Standing or Sitting</x:v>
      </x:c>
      <x:c r="G160" s="35" t="n">
        <x:v>47</x:v>
      </x:c>
      <x:c r="H160" s="35" t="n">
        <x:v>2</x:v>
      </x:c>
      <x:c r="I160" s="35" t="n">
        <x:v>2</x:v>
      </x:c>
      <x:c r="J160" s="35" t="n">
        <x:v>1</x:v>
      </x:c>
      <x:c r="K160" s="36" t="n">
        <x:f>IF(AND(S160=TRUE,ISNUMBER(I160),I160=INT(I160),I160&gt;=1,I160&lt;=3,ISNUMBER(J160),J160=INT(J160),J160&gt;=1,J160&lt;=3),I160*J160,"")</x:f>
        <x:v>2</x:v>
      </x:c>
      <x:c r="L160" s="26" t="str">
        <x:f>IF(K160="","",IF(K160&lt;=2,"LOW",IF(K160&lt;=4,"MEDIUM","HIGH")))</x:f>
        <x:v>LOW</x:v>
      </x:c>
      <x:c r="M160" s="25" t="str">
        <x:v>Task rotation, adjustable equipment, team lifting, and safe-patient-handling guidance are used.</x:v>
      </x:c>
      <x:c r="N160" s="25" t="str"/>
      <x:c r="O160" s="30" t="b">
        <x:v>0</x:v>
      </x:c>
      <x:c r="P160" s="27" t="str">
        <x:v>ERGONOMIC</x:v>
      </x:c>
      <x:c r="Q160" s="27" t="str">
        <x:v>prolonged_standing_sitting</x:v>
      </x:c>
      <x:c r="R160" s="27" t="str"/>
      <x:c r="S160" s="31" t="b">
        <x:v>1</x:v>
      </x:c>
      <x:c r="T160" s="27" t="str">
        <x:v>ASM-2026-023</x:v>
      </x:c>
      <x:c r="U160" s="27" t="str">
        <x:v>HZ-2026-023-01</x:v>
      </x:c>
    </x:row>
    <x:row r="161">
      <x:c r="A161" s="28" t="str">
        <x:v>ICU 2</x:v>
      </x:c>
      <x:c r="B161" s="37" t="n">
        <x:v>46162</x:v>
      </x:c>
      <x:c r="C161" s="26" t="str">
        <x:v>RAH01-2026-023</x:v>
      </x:c>
      <x:c r="D161" s="36" t="n">
        <x:v>2</x:v>
      </x:c>
      <x:c r="E161" s="26" t="str">
        <x:v>Ergonomic Hazards</x:v>
      </x:c>
      <x:c r="F161" s="26" t="str">
        <x:v>Unsuitable Desk or Chair</x:v>
      </x:c>
      <x:c r="G161" s="35" t="n">
        <x:v>50</x:v>
      </x:c>
      <x:c r="H161" s="35" t="n">
        <x:v>0</x:v>
      </x:c>
      <x:c r="I161" s="35" t="n">
        <x:v>1</x:v>
      </x:c>
      <x:c r="J161" s="35" t="n">
        <x:v>2</x:v>
      </x:c>
      <x:c r="K161" s="36" t="n">
        <x:f>IF(AND(S161=TRUE,ISNUMBER(I161),I161=INT(I161),I161&gt;=1,I161&lt;=3,ISNUMBER(J161),J161=INT(J161),J161&gt;=1,J161&lt;=3),I161*J161,"")</x:f>
        <x:v>2</x:v>
      </x:c>
      <x:c r="L161" s="26" t="str">
        <x:f>IF(K161="","",IF(K161&lt;=2,"LOW",IF(K161&lt;=4,"MEDIUM","HIGH")))</x:f>
        <x:v>LOW</x:v>
      </x:c>
      <x:c r="M161" s="25" t="str">
        <x:v>Task rotation, adjustable equipment, team lifting, and safe-patient-handling guidance are used.</x:v>
      </x:c>
      <x:c r="N161" s="25" t="str"/>
      <x:c r="O161" s="30" t="b">
        <x:v>0</x:v>
      </x:c>
      <x:c r="P161" s="27" t="str">
        <x:v>ERGONOMIC</x:v>
      </x:c>
      <x:c r="Q161" s="27" t="str">
        <x:v>unsuitable_desk_chair</x:v>
      </x:c>
      <x:c r="R161" s="27" t="str"/>
      <x:c r="S161" s="31" t="b">
        <x:v>1</x:v>
      </x:c>
      <x:c r="T161" s="27" t="str">
        <x:v>ASM-2026-023</x:v>
      </x:c>
      <x:c r="U161" s="27" t="str">
        <x:v>HZ-2026-023-02</x:v>
      </x:c>
    </x:row>
    <x:row r="162">
      <x:c r="A162" s="28" t="str">
        <x:v>ICU 2</x:v>
      </x:c>
      <x:c r="B162" s="37" t="n">
        <x:v>46162</x:v>
      </x:c>
      <x:c r="C162" s="26" t="str">
        <x:v>RAH01-2026-023</x:v>
      </x:c>
      <x:c r="D162" s="36" t="n">
        <x:v>3</x:v>
      </x:c>
      <x:c r="E162" s="26" t="str">
        <x:v>Ergonomic Hazards</x:v>
      </x:c>
      <x:c r="F162" s="26" t="str">
        <x:v>Repetitive Tasks</x:v>
      </x:c>
      <x:c r="G162" s="35" t="n">
        <x:v>2</x:v>
      </x:c>
      <x:c r="H162" s="35" t="n">
        <x:v>1</x:v>
      </x:c>
      <x:c r="I162" s="35" t="n">
        <x:v>1</x:v>
      </x:c>
      <x:c r="J162" s="35" t="n">
        <x:v>1</x:v>
      </x:c>
      <x:c r="K162" s="36" t="n">
        <x:f>IF(AND(S162=TRUE,ISNUMBER(I162),I162=INT(I162),I162&gt;=1,I162&lt;=3,ISNUMBER(J162),J162=INT(J162),J162&gt;=1,J162&lt;=3),I162*J162,"")</x:f>
        <x:v>1</x:v>
      </x:c>
      <x:c r="L162" s="26" t="str">
        <x:f>IF(K162="","",IF(K162&lt;=2,"LOW",IF(K162&lt;=4,"MEDIUM","HIGH")))</x:f>
        <x:v>LOW</x:v>
      </x:c>
      <x:c r="M162" s="25" t="str">
        <x:v>Task rotation, adjustable equipment, team lifting, and safe-patient-handling guidance are used.</x:v>
      </x:c>
      <x:c r="N162" s="25" t="str"/>
      <x:c r="O162" s="30" t="b">
        <x:v>0</x:v>
      </x:c>
      <x:c r="P162" s="27" t="str">
        <x:v>ERGONOMIC</x:v>
      </x:c>
      <x:c r="Q162" s="27" t="str">
        <x:v>repetitive_tasks</x:v>
      </x:c>
      <x:c r="R162" s="27" t="str"/>
      <x:c r="S162" s="31" t="b">
        <x:v>1</x:v>
      </x:c>
      <x:c r="T162" s="27" t="str">
        <x:v>ASM-2026-023</x:v>
      </x:c>
      <x:c r="U162" s="27" t="str">
        <x:v>HZ-2026-023-03</x:v>
      </x:c>
    </x:row>
    <x:row r="163">
      <x:c r="A163" s="28" t="str">
        <x:v>ICU 2</x:v>
      </x:c>
      <x:c r="B163" s="37" t="n">
        <x:v>46162</x:v>
      </x:c>
      <x:c r="C163" s="26" t="str">
        <x:v>RAH01-2026-023</x:v>
      </x:c>
      <x:c r="D163" s="36" t="n">
        <x:v>4</x:v>
      </x:c>
      <x:c r="E163" s="26" t="str">
        <x:v>Psychosocial Hazards</x:v>
      </x:c>
      <x:c r="F163" s="26" t="str">
        <x:v>Work Stress</x:v>
      </x:c>
      <x:c r="G163" s="35" t="n">
        <x:v>5</x:v>
      </x:c>
      <x:c r="H163" s="35" t="n">
        <x:v>2</x:v>
      </x:c>
      <x:c r="I163" s="35" t="n">
        <x:v>2</x:v>
      </x:c>
      <x:c r="J163" s="35" t="n">
        <x:v>1</x:v>
      </x:c>
      <x:c r="K163" s="36" t="n">
        <x:f>IF(AND(S163=TRUE,ISNUMBER(I163),I163=INT(I163),I163&gt;=1,I163&lt;=3,ISNUMBER(J163),J163=INT(J163),J163&gt;=1,J163&lt;=3),I163*J163,"")</x:f>
        <x:v>2</x:v>
      </x:c>
      <x:c r="L163" s="26" t="str">
        <x:f>IF(K163="","",IF(K163&lt;=2,"LOW",IF(K163&lt;=4,"MEDIUM","HIGH")))</x:f>
        <x:v>LOW</x:v>
      </x:c>
      <x:c r="M163" s="25" t="str">
        <x:v>Shift planning, escalation pathways, security support, breaks, and supervisor check-ins are available.</x:v>
      </x:c>
      <x:c r="N163" s="25" t="str"/>
      <x:c r="O163" s="30" t="b">
        <x:v>0</x:v>
      </x:c>
      <x:c r="P163" s="27" t="str">
        <x:v>PSYCHOSOCIAL</x:v>
      </x:c>
      <x:c r="Q163" s="27" t="str">
        <x:v>work_stress</x:v>
      </x:c>
      <x:c r="R163" s="27" t="str"/>
      <x:c r="S163" s="31" t="b">
        <x:v>1</x:v>
      </x:c>
      <x:c r="T163" s="27" t="str">
        <x:v>ASM-2026-023</x:v>
      </x:c>
      <x:c r="U163" s="27" t="str">
        <x:v>HZ-2026-023-04</x:v>
      </x:c>
    </x:row>
    <x:row r="164">
      <x:c r="A164" s="28" t="str">
        <x:v>ICU 2</x:v>
      </x:c>
      <x:c r="B164" s="37" t="n">
        <x:v>46162</x:v>
      </x:c>
      <x:c r="C164" s="26" t="str">
        <x:v>RAH01-2026-023</x:v>
      </x:c>
      <x:c r="D164" s="36" t="n">
        <x:v>5</x:v>
      </x:c>
      <x:c r="E164" s="26" t="str">
        <x:v>Physical Hazards</x:v>
      </x:c>
      <x:c r="F164" s="26" t="str">
        <x:v>Lighting</x:v>
      </x:c>
      <x:c r="G164" s="35" t="n">
        <x:v>8</x:v>
      </x:c>
      <x:c r="H164" s="35" t="n">
        <x:v>0</x:v>
      </x:c>
      <x:c r="I164" s="35" t="n">
        <x:v>1</x:v>
      </x:c>
      <x:c r="J164" s="35" t="n">
        <x:v>2</x:v>
      </x:c>
      <x:c r="K164" s="36" t="n">
        <x:f>IF(AND(S164=TRUE,ISNUMBER(I164),I164=INT(I164),I164&gt;=1,I164&lt;=3,ISNUMBER(J164),J164=INT(J164),J164&gt;=1,J164&lt;=3),I164*J164,"")</x:f>
        <x:v>2</x:v>
      </x:c>
      <x:c r="L164" s="26" t="str">
        <x:f>IF(K164="","",IF(K164&lt;=2,"LOW",IF(K164&lt;=4,"MEDIUM","HIGH")))</x:f>
        <x:v>LOW</x:v>
      </x:c>
      <x:c r="M164" s="25" t="str">
        <x:v>Engineering controls, preventive maintenance, posted limits, and periodic exposure monitoring are in place.</x:v>
      </x:c>
      <x:c r="N164" s="25" t="str"/>
      <x:c r="O164" s="30" t="b">
        <x:v>0</x:v>
      </x:c>
      <x:c r="P164" s="27" t="str">
        <x:v>PHYSICAL</x:v>
      </x:c>
      <x:c r="Q164" s="27" t="str">
        <x:v>lighting</x:v>
      </x:c>
      <x:c r="R164" s="27" t="str"/>
      <x:c r="S164" s="31" t="b">
        <x:v>1</x:v>
      </x:c>
      <x:c r="T164" s="27" t="str">
        <x:v>ASM-2026-023</x:v>
      </x:c>
      <x:c r="U164" s="27" t="str">
        <x:v>HZ-2026-023-05</x:v>
      </x:c>
    </x:row>
    <x:row r="165">
      <x:c r="A165" s="28" t="str">
        <x:v>ICU 2</x:v>
      </x:c>
      <x:c r="B165" s="37" t="n">
        <x:v>46162</x:v>
      </x:c>
      <x:c r="C165" s="26" t="str">
        <x:v>RAH01-2026-023</x:v>
      </x:c>
      <x:c r="D165" s="36" t="n">
        <x:v>6</x:v>
      </x:c>
      <x:c r="E165" s="26" t="str">
        <x:v>Fire and Disaster Hazards</x:v>
      </x:c>
      <x:c r="F165" s="26" t="str">
        <x:v>Electrical Equipment</x:v>
      </x:c>
      <x:c r="G165" s="35" t="n">
        <x:v>11</x:v>
      </x:c>
      <x:c r="H165" s="35" t="n">
        <x:v>1</x:v>
      </x:c>
      <x:c r="I165" s="35" t="n">
        <x:v>1</x:v>
      </x:c>
      <x:c r="J165" s="35" t="n">
        <x:v>1</x:v>
      </x:c>
      <x:c r="K165" s="36" t="n">
        <x:f>IF(AND(S165=TRUE,ISNUMBER(I165),I165=INT(I165),I165&gt;=1,I165&lt;=3,ISNUMBER(J165),J165=INT(J165),J165&gt;=1,J165&lt;=3),I165*J165,"")</x:f>
        <x:v>1</x:v>
      </x:c>
      <x:c r="L165" s="26" t="str">
        <x:f>IF(K165="","",IF(K165&lt;=2,"LOW",IF(K165&lt;=4,"MEDIUM","HIGH")))</x:f>
        <x:v>LOW</x:v>
      </x:c>
      <x:c r="M165" s="25" t="str">
        <x:v>Electrical inspection, isolation procedures, alarms, extinguishers, and emergency response plans are maintained.</x:v>
      </x:c>
      <x:c r="N165" s="25" t="str"/>
      <x:c r="O165" s="30" t="b">
        <x:v>0</x:v>
      </x:c>
      <x:c r="P165" s="27" t="str">
        <x:v>FIRE_DISASTER</x:v>
      </x:c>
      <x:c r="Q165" s="27" t="str">
        <x:v>electrical_equipment</x:v>
      </x:c>
      <x:c r="R165" s="27" t="str"/>
      <x:c r="S165" s="31" t="b">
        <x:v>1</x:v>
      </x:c>
      <x:c r="T165" s="27" t="str">
        <x:v>ASM-2026-023</x:v>
      </x:c>
      <x:c r="U165" s="27" t="str">
        <x:v>HZ-2026-023-06</x:v>
      </x:c>
    </x:row>
    <x:row r="166">
      <x:c r="A166" s="28" t="str">
        <x:v>Infectious Diseases</x:v>
      </x:c>
      <x:c r="B166" s="37" t="n">
        <x:v>46196</x:v>
      </x:c>
      <x:c r="C166" s="26" t="str">
        <x:v>RAH01-2026-024</x:v>
      </x:c>
      <x:c r="D166" s="36" t="n">
        <x:v>1</x:v>
      </x:c>
      <x:c r="E166" s="26" t="str">
        <x:v>Biological Hazards</x:v>
      </x:c>
      <x:c r="F166" s="26" t="str">
        <x:v>Viruses</x:v>
      </x:c>
      <x:c r="G166" s="35" t="n">
        <x:v>49</x:v>
      </x:c>
      <x:c r="H166" s="35" t="n">
        <x:v>27</x:v>
      </x:c>
      <x:c r="I166" s="35" t="n">
        <x:v>2</x:v>
      </x:c>
      <x:c r="J166" s="35" t="n">
        <x:v>3</x:v>
      </x:c>
      <x:c r="K166" s="36" t="n">
        <x:f>IF(AND(S166=TRUE,ISNUMBER(I166),I166=INT(I166),I166&gt;=1,I166&lt;=3,ISNUMBER(J166),J166=INT(J166),J166&gt;=1,J166&lt;=3),I166*J166,"")</x:f>
        <x:v>6</x:v>
      </x:c>
      <x:c r="L166" s="26" t="str">
        <x:f>IF(K166="","",IF(K166&lt;=2,"LOW",IF(K166&lt;=4,"MEDIUM","HIGH")))</x:f>
        <x:v>HIGH</x:v>
      </x:c>
      <x:c r="M166" s="25" t="str">
        <x:v>Standard precautions, hand hygiene, vaccination, cleaning, and appropriate PPE are implemented.</x:v>
      </x:c>
      <x:c r="N166" s="25" t="str">
        <x:v>Audit compliance, investigate exposure incidents, and reinforce source-control and PPE practice.</x:v>
      </x:c>
      <x:c r="O166" s="30" t="b">
        <x:v>1</x:v>
      </x:c>
      <x:c r="P166" s="27" t="str">
        <x:v>BIOLOGICAL</x:v>
      </x:c>
      <x:c r="Q166" s="27" t="str">
        <x:v>viruses</x:v>
      </x:c>
      <x:c r="R166" s="27" t="str"/>
      <x:c r="S166" s="31" t="b">
        <x:v>1</x:v>
      </x:c>
      <x:c r="T166" s="27" t="str">
        <x:v>ASM-2026-024</x:v>
      </x:c>
      <x:c r="U166" s="27" t="str">
        <x:v>HZ-2026-024-01</x:v>
      </x:c>
    </x:row>
    <x:row r="167">
      <x:c r="A167" s="28" t="str">
        <x:v>Infectious Diseases</x:v>
      </x:c>
      <x:c r="B167" s="37" t="n">
        <x:v>46196</x:v>
      </x:c>
      <x:c r="C167" s="26" t="str">
        <x:v>RAH01-2026-024</x:v>
      </x:c>
      <x:c r="D167" s="36" t="n">
        <x:v>2</x:v>
      </x:c>
      <x:c r="E167" s="26" t="str">
        <x:v>Indoor Air Quality Hazards</x:v>
      </x:c>
      <x:c r="F167" s="26" t="str">
        <x:v>Crowded / Stuffy Conditions</x:v>
      </x:c>
      <x:c r="G167" s="35" t="n">
        <x:v>52</x:v>
      </x:c>
      <x:c r="H167" s="35" t="n">
        <x:v>3</x:v>
      </x:c>
      <x:c r="I167" s="35" t="n">
        <x:v>3</x:v>
      </x:c>
      <x:c r="J167" s="35" t="n">
        <x:v>3</x:v>
      </x:c>
      <x:c r="K167" s="36" t="n">
        <x:f>IF(AND(S167=TRUE,ISNUMBER(I167),I167=INT(I167),I167&gt;=1,I167&lt;=3,ISNUMBER(J167),J167=INT(J167),J167&gt;=1,J167&lt;=3),I167*J167,"")</x:f>
        <x:v>9</x:v>
      </x:c>
      <x:c r="L167" s="26" t="str">
        <x:f>IF(K167="","",IF(K167&lt;=2,"LOW",IF(K167&lt;=4,"MEDIUM","HIGH")))</x:f>
        <x:v>HIGH</x:v>
      </x:c>
      <x:c r="M167" s="25" t="str">
        <x:v>Ventilation, cleaning, occupancy management, and environmental inspection are performed.</x:v>
      </x:c>
      <x:c r="N167" s="25" t="str">
        <x:v>Inspect ventilation and moisture sources, then document corrective action and environmental recheck.</x:v>
      </x:c>
      <x:c r="O167" s="30" t="b">
        <x:v>0</x:v>
      </x:c>
      <x:c r="P167" s="27" t="str">
        <x:v>INDOOR_AIR_QUALITY</x:v>
      </x:c>
      <x:c r="Q167" s="27" t="str">
        <x:v>crowded_stuffy</x:v>
      </x:c>
      <x:c r="R167" s="27" t="str"/>
      <x:c r="S167" s="31" t="b">
        <x:v>1</x:v>
      </x:c>
      <x:c r="T167" s="27" t="str">
        <x:v>ASM-2026-024</x:v>
      </x:c>
      <x:c r="U167" s="27" t="str">
        <x:v>HZ-2026-024-02</x:v>
      </x:c>
    </x:row>
    <x:row r="168">
      <x:c r="A168" s="28" t="str">
        <x:v>Infectious Diseases</x:v>
      </x:c>
      <x:c r="B168" s="37" t="n">
        <x:v>46196</x:v>
      </x:c>
      <x:c r="C168" s="26" t="str">
        <x:v>RAH01-2026-024</x:v>
      </x:c>
      <x:c r="D168" s="36" t="n">
        <x:v>3</x:v>
      </x:c>
      <x:c r="E168" s="26" t="str">
        <x:v>Ergonomic Hazards</x:v>
      </x:c>
      <x:c r="F168" s="26" t="str">
        <x:v>Prolonged Standing or Sitting</x:v>
      </x:c>
      <x:c r="G168" s="35" t="n">
        <x:v>55</x:v>
      </x:c>
      <x:c r="H168" s="35" t="n">
        <x:v>10</x:v>
      </x:c>
      <x:c r="I168" s="35" t="n">
        <x:v>3</x:v>
      </x:c>
      <x:c r="J168" s="35" t="n">
        <x:v>2</x:v>
      </x:c>
      <x:c r="K168" s="36" t="n">
        <x:f>IF(AND(S168=TRUE,ISNUMBER(I168),I168=INT(I168),I168&gt;=1,I168&lt;=3,ISNUMBER(J168),J168=INT(J168),J168&gt;=1,J168&lt;=3),I168*J168,"")</x:f>
        <x:v>6</x:v>
      </x:c>
      <x:c r="L168" s="26" t="str">
        <x:f>IF(K168="","",IF(K168&lt;=2,"LOW",IF(K168&lt;=4,"MEDIUM","HIGH")))</x:f>
        <x:v>HIGH</x:v>
      </x:c>
      <x:c r="M168" s="25" t="str">
        <x:v>Task rotation, adjustable equipment, team lifting, and safe-patient-handling guidance are used.</x:v>
      </x:c>
      <x:c r="N168" s="25" t="str">
        <x:v>Complete an ergonomic task assessment and implement equipment or workflow changes to reduce force and repetition.</x:v>
      </x:c>
      <x:c r="O168" s="30" t="b">
        <x:v>0</x:v>
      </x:c>
      <x:c r="P168" s="27" t="str">
        <x:v>ERGONOMIC</x:v>
      </x:c>
      <x:c r="Q168" s="27" t="str">
        <x:v>prolonged_standing_sitting</x:v>
      </x:c>
      <x:c r="R168" s="27" t="str"/>
      <x:c r="S168" s="31" t="b">
        <x:v>1</x:v>
      </x:c>
      <x:c r="T168" s="27" t="str">
        <x:v>ASM-2026-024</x:v>
      </x:c>
      <x:c r="U168" s="27" t="str">
        <x:v>HZ-2026-024-03</x:v>
      </x:c>
    </x:row>
    <x:row r="169">
      <x:c r="A169" s="28" t="str">
        <x:v>Infectious Diseases</x:v>
      </x:c>
      <x:c r="B169" s="37" t="n">
        <x:v>46196</x:v>
      </x:c>
      <x:c r="C169" s="26" t="str">
        <x:v>RAH01-2026-024</x:v>
      </x:c>
      <x:c r="D169" s="36" t="n">
        <x:v>4</x:v>
      </x:c>
      <x:c r="E169" s="26" t="str">
        <x:v>Psychosocial Hazards</x:v>
      </x:c>
      <x:c r="F169" s="26" t="str">
        <x:v>Violence from Patients or Relatives</x:v>
      </x:c>
      <x:c r="G169" s="35" t="n">
        <x:v>58</x:v>
      </x:c>
      <x:c r="H169" s="35" t="n">
        <x:v>17</x:v>
      </x:c>
      <x:c r="I169" s="35" t="n">
        <x:v>2</x:v>
      </x:c>
      <x:c r="J169" s="35" t="n">
        <x:v>3</x:v>
      </x:c>
      <x:c r="K169" s="36" t="n">
        <x:f>IF(AND(S169=TRUE,ISNUMBER(I169),I169=INT(I169),I169&gt;=1,I169&lt;=3,ISNUMBER(J169),J169=INT(J169),J169&gt;=1,J169&lt;=3),I169*J169,"")</x:f>
        <x:v>6</x:v>
      </x:c>
      <x:c r="L169" s="26" t="str">
        <x:f>IF(K169="","",IF(K169&lt;=2,"LOW",IF(K169&lt;=4,"MEDIUM","HIGH")))</x:f>
        <x:v>HIGH</x:v>
      </x:c>
      <x:c r="M169" s="25" t="str">
        <x:v>Shift planning, escalation pathways, security support, breaks, and supervisor check-ins are available.</x:v>
      </x:c>
      <x:c r="N169" s="25" t="str">
        <x:v>Review staffing, breaks, escalation support, and violence-prevention controls with the department manager.</x:v>
      </x:c>
      <x:c r="O169" s="30" t="b">
        <x:v>1</x:v>
      </x:c>
      <x:c r="P169" s="27" t="str">
        <x:v>PSYCHOSOCIAL</x:v>
      </x:c>
      <x:c r="Q169" s="27" t="str">
        <x:v>patient_relative_violence</x:v>
      </x:c>
      <x:c r="R169" s="27" t="str"/>
      <x:c r="S169" s="31" t="b">
        <x:v>1</x:v>
      </x:c>
      <x:c r="T169" s="27" t="str">
        <x:v>ASM-2026-024</x:v>
      </x:c>
      <x:c r="U169" s="27" t="str">
        <x:v>HZ-2026-024-04</x:v>
      </x:c>
    </x:row>
    <x:row r="170">
      <x:c r="A170" s="28" t="str">
        <x:v>Infectious Diseases</x:v>
      </x:c>
      <x:c r="B170" s="37" t="n">
        <x:v>46196</x:v>
      </x:c>
      <x:c r="C170" s="26" t="str">
        <x:v>RAH01-2026-024</x:v>
      </x:c>
      <x:c r="D170" s="36" t="n">
        <x:v>5</x:v>
      </x:c>
      <x:c r="E170" s="26" t="str">
        <x:v>Psychosocial Hazards</x:v>
      </x:c>
      <x:c r="F170" s="26" t="str">
        <x:v>Work Stress</x:v>
      </x:c>
      <x:c r="G170" s="35" t="n">
        <x:v>3</x:v>
      </x:c>
      <x:c r="H170" s="35" t="n">
        <x:v>24</x:v>
      </x:c>
      <x:c r="I170" s="35" t="n">
        <x:v>3</x:v>
      </x:c>
      <x:c r="J170" s="35" t="n">
        <x:v>3</x:v>
      </x:c>
      <x:c r="K170" s="36" t="n">
        <x:f>IF(AND(S170=TRUE,ISNUMBER(I170),I170=INT(I170),I170&gt;=1,I170&lt;=3,ISNUMBER(J170),J170=INT(J170),J170&gt;=1,J170&lt;=3),I170*J170,"")</x:f>
        <x:v>9</x:v>
      </x:c>
      <x:c r="L170" s="26" t="str">
        <x:f>IF(K170="","",IF(K170&lt;=2,"LOW",IF(K170&lt;=4,"MEDIUM","HIGH")))</x:f>
        <x:v>HIGH</x:v>
      </x:c>
      <x:c r="M170" s="25" t="str">
        <x:v>Shift planning, escalation pathways, security support, breaks, and supervisor check-ins are available.</x:v>
      </x:c>
      <x:c r="N170" s="25" t="str">
        <x:v>Review staffing, breaks, escalation support, and violence-prevention controls with the department manager.</x:v>
      </x:c>
      <x:c r="O170" s="30" t="b">
        <x:v>0</x:v>
      </x:c>
      <x:c r="P170" s="27" t="str">
        <x:v>PSYCHOSOCIAL</x:v>
      </x:c>
      <x:c r="Q170" s="27" t="str">
        <x:v>work_stress</x:v>
      </x:c>
      <x:c r="R170" s="27" t="str"/>
      <x:c r="S170" s="31" t="b">
        <x:v>1</x:v>
      </x:c>
      <x:c r="T170" s="27" t="str">
        <x:v>ASM-2026-024</x:v>
      </x:c>
      <x:c r="U170" s="27" t="str">
        <x:v>HZ-2026-024-05</x:v>
      </x:c>
    </x:row>
    <x:row r="171">
      <x:c r="A171" s="28" t="str">
        <x:v>Infectious Diseases</x:v>
      </x:c>
      <x:c r="B171" s="37" t="n">
        <x:v>46196</x:v>
      </x:c>
      <x:c r="C171" s="26" t="str">
        <x:v>RAH01-2026-024</x:v>
      </x:c>
      <x:c r="D171" s="36" t="n">
        <x:v>6</x:v>
      </x:c>
      <x:c r="E171" s="26" t="str">
        <x:v>Indoor Air Quality Hazards</x:v>
      </x:c>
      <x:c r="F171" s="26" t="str">
        <x:v>Poor Ventilation</x:v>
      </x:c>
      <x:c r="G171" s="35" t="n">
        <x:v>6</x:v>
      </x:c>
      <x:c r="H171" s="35" t="n">
        <x:v>0</x:v>
      </x:c>
      <x:c r="I171" s="35" t="n">
        <x:v>3</x:v>
      </x:c>
      <x:c r="J171" s="35" t="n">
        <x:v>2</x:v>
      </x:c>
      <x:c r="K171" s="36" t="n">
        <x:f>IF(AND(S171=TRUE,ISNUMBER(I171),I171=INT(I171),I171&gt;=1,I171&lt;=3,ISNUMBER(J171),J171=INT(J171),J171&gt;=1,J171&lt;=3),I171*J171,"")</x:f>
        <x:v>6</x:v>
      </x:c>
      <x:c r="L171" s="26" t="str">
        <x:f>IF(K171="","",IF(K171&lt;=2,"LOW",IF(K171&lt;=4,"MEDIUM","HIGH")))</x:f>
        <x:v>HIGH</x:v>
      </x:c>
      <x:c r="M171" s="25" t="str">
        <x:v>Ventilation, cleaning, occupancy management, and environmental inspection are performed.</x:v>
      </x:c>
      <x:c r="N171" s="25" t="str">
        <x:v>Inspect ventilation and moisture sources, then document corrective action and environmental recheck.</x:v>
      </x:c>
      <x:c r="O171" s="30" t="b">
        <x:v>0</x:v>
      </x:c>
      <x:c r="P171" s="27" t="str">
        <x:v>INDOOR_AIR_QUALITY</x:v>
      </x:c>
      <x:c r="Q171" s="27" t="str">
        <x:v>poor_ventilation</x:v>
      </x:c>
      <x:c r="R171" s="27" t="str"/>
      <x:c r="S171" s="31" t="b">
        <x:v>1</x:v>
      </x:c>
      <x:c r="T171" s="27" t="str">
        <x:v>ASM-2026-024</x:v>
      </x:c>
      <x:c r="U171" s="27" t="str">
        <x:v>HZ-2026-024-06</x:v>
      </x:c>
    </x:row>
    <x:row r="172">
      <x:c r="A172" s="28" t="str">
        <x:v>Internal Medicine</x:v>
      </x:c>
      <x:c r="B172" s="37" t="n">
        <x:v>46023</x:v>
      </x:c>
      <x:c r="C172" s="26" t="str">
        <x:v>RAH01-2026-025</x:v>
      </x:c>
      <x:c r="D172" s="36" t="n">
        <x:v>1</x:v>
      </x:c>
      <x:c r="E172" s="26" t="str">
        <x:v>Biological Hazards</x:v>
      </x:c>
      <x:c r="F172" s="26" t="str">
        <x:v>Viruses</x:v>
      </x:c>
      <x:c r="G172" s="35" t="n">
        <x:v>2</x:v>
      </x:c>
      <x:c r="H172" s="35" t="n">
        <x:v>1</x:v>
      </x:c>
      <x:c r="I172" s="35" t="n">
        <x:v>2</x:v>
      </x:c>
      <x:c r="J172" s="35" t="n">
        <x:v>2</x:v>
      </x:c>
      <x:c r="K172" s="36" t="n">
        <x:f>IF(AND(S172=TRUE,ISNUMBER(I172),I172=INT(I172),I172&gt;=1,I172&lt;=3,ISNUMBER(J172),J172=INT(J172),J172&gt;=1,J172&lt;=3),I172*J172,"")</x:f>
        <x:v>4</x:v>
      </x:c>
      <x:c r="L172" s="26" t="str">
        <x:f>IF(K172="","",IF(K172&lt;=2,"LOW",IF(K172&lt;=4,"MEDIUM","HIGH")))</x:f>
        <x:v>MEDIUM</x:v>
      </x:c>
      <x:c r="M172" s="25" t="str">
        <x:v>Standard precautions, hand hygiene, vaccination, cleaning, and appropriate PPE are implemented.</x:v>
      </x:c>
      <x:c r="N172" s="25" t="str">
        <x:v>Audit compliance, investigate exposure incidents, and reinforce source-control and PPE practice.</x:v>
      </x:c>
      <x:c r="O172" s="30" t="b">
        <x:v>0</x:v>
      </x:c>
      <x:c r="P172" s="27" t="str">
        <x:v>BIOLOGICAL</x:v>
      </x:c>
      <x:c r="Q172" s="27" t="str">
        <x:v>viruses</x:v>
      </x:c>
      <x:c r="R172" s="27" t="str"/>
      <x:c r="S172" s="31" t="b">
        <x:v>1</x:v>
      </x:c>
      <x:c r="T172" s="27" t="str">
        <x:v>ASM-2026-025</x:v>
      </x:c>
      <x:c r="U172" s="27" t="str">
        <x:v>HZ-2026-025-01</x:v>
      </x:c>
    </x:row>
    <x:row r="173">
      <x:c r="A173" s="28" t="str">
        <x:v>Internal Medicine</x:v>
      </x:c>
      <x:c r="B173" s="37" t="n">
        <x:v>46023</x:v>
      </x:c>
      <x:c r="C173" s="26" t="str">
        <x:v>RAH01-2026-025</x:v>
      </x:c>
      <x:c r="D173" s="36" t="n">
        <x:v>2</x:v>
      </x:c>
      <x:c r="E173" s="26" t="str">
        <x:v>Indoor Air Quality Hazards</x:v>
      </x:c>
      <x:c r="F173" s="26" t="str">
        <x:v>Crowded / Stuffy Conditions</x:v>
      </x:c>
      <x:c r="G173" s="35" t="n">
        <x:v>5</x:v>
      </x:c>
      <x:c r="H173" s="35" t="n">
        <x:v>8</x:v>
      </x:c>
      <x:c r="I173" s="35" t="n">
        <x:v>1</x:v>
      </x:c>
      <x:c r="J173" s="35" t="n">
        <x:v>3</x:v>
      </x:c>
      <x:c r="K173" s="36" t="n">
        <x:f>IF(AND(S173=TRUE,ISNUMBER(I173),I173=INT(I173),I173&gt;=1,I173&lt;=3,ISNUMBER(J173),J173=INT(J173),J173&gt;=1,J173&lt;=3),I173*J173,"")</x:f>
        <x:v>3</x:v>
      </x:c>
      <x:c r="L173" s="26" t="str">
        <x:f>IF(K173="","",IF(K173&lt;=2,"LOW",IF(K173&lt;=4,"MEDIUM","HIGH")))</x:f>
        <x:v>MEDIUM</x:v>
      </x:c>
      <x:c r="M173" s="25" t="str">
        <x:v>Ventilation, cleaning, occupancy management, and environmental inspection are performed.</x:v>
      </x:c>
      <x:c r="N173" s="25" t="str">
        <x:v>Inspect ventilation and moisture sources, then document corrective action and environmental recheck.</x:v>
      </x:c>
      <x:c r="O173" s="30" t="b">
        <x:v>0</x:v>
      </x:c>
      <x:c r="P173" s="27" t="str">
        <x:v>INDOOR_AIR_QUALITY</x:v>
      </x:c>
      <x:c r="Q173" s="27" t="str">
        <x:v>crowded_stuffy</x:v>
      </x:c>
      <x:c r="R173" s="27" t="str"/>
      <x:c r="S173" s="31" t="b">
        <x:v>1</x:v>
      </x:c>
      <x:c r="T173" s="27" t="str">
        <x:v>ASM-2026-025</x:v>
      </x:c>
      <x:c r="U173" s="27" t="str">
        <x:v>HZ-2026-025-02</x:v>
      </x:c>
    </x:row>
    <x:row r="174">
      <x:c r="A174" s="28" t="str">
        <x:v>Internal Medicine</x:v>
      </x:c>
      <x:c r="B174" s="37" t="n">
        <x:v>46023</x:v>
      </x:c>
      <x:c r="C174" s="26" t="str">
        <x:v>RAH01-2026-025</x:v>
      </x:c>
      <x:c r="D174" s="36" t="n">
        <x:v>3</x:v>
      </x:c>
      <x:c r="E174" s="26" t="str">
        <x:v>Ergonomic Hazards</x:v>
      </x:c>
      <x:c r="F174" s="26" t="str">
        <x:v>Prolonged Standing or Sitting</x:v>
      </x:c>
      <x:c r="G174" s="35" t="n">
        <x:v>1</x:v>
      </x:c>
      <x:c r="H174" s="35" t="n">
        <x:v>15</x:v>
      </x:c>
      <x:c r="I174" s="35" t="n">
        <x:v>3</x:v>
      </x:c>
      <x:c r="J174" s="35" t="n">
        <x:v>1</x:v>
      </x:c>
      <x:c r="K174" s="36" t="n">
        <x:f>IF(AND(S174=TRUE,ISNUMBER(I174),I174=INT(I174),I174&gt;=1,I174&lt;=3,ISNUMBER(J174),J174=INT(J174),J174&gt;=1,J174&lt;=3),I174*J174,"")</x:f>
        <x:v>3</x:v>
      </x:c>
      <x:c r="L174" s="26" t="str">
        <x:f>IF(K174="","",IF(K174&lt;=2,"LOW",IF(K174&lt;=4,"MEDIUM","HIGH")))</x:f>
        <x:v>MEDIUM</x:v>
      </x:c>
      <x:c r="M174" s="25" t="str">
        <x:v>Task rotation, adjustable equipment, team lifting, and safe-patient-handling guidance are used.</x:v>
      </x:c>
      <x:c r="N174" s="25" t="str">
        <x:v>Complete an ergonomic task assessment and implement equipment or workflow changes to reduce force and repetition.</x:v>
      </x:c>
      <x:c r="O174" s="30" t="b">
        <x:v>0</x:v>
      </x:c>
      <x:c r="P174" s="27" t="str">
        <x:v>ERGONOMIC</x:v>
      </x:c>
      <x:c r="Q174" s="27" t="str">
        <x:v>prolonged_standing_sitting</x:v>
      </x:c>
      <x:c r="R174" s="27" t="str"/>
      <x:c r="S174" s="31" t="b">
        <x:v>1</x:v>
      </x:c>
      <x:c r="T174" s="27" t="str">
        <x:v>ASM-2026-025</x:v>
      </x:c>
      <x:c r="U174" s="27" t="str">
        <x:v>HZ-2026-025-03</x:v>
      </x:c>
    </x:row>
    <x:row r="175">
      <x:c r="A175" s="28" t="str">
        <x:v>Internal Medicine</x:v>
      </x:c>
      <x:c r="B175" s="37" t="n">
        <x:v>46023</x:v>
      </x:c>
      <x:c r="C175" s="26" t="str">
        <x:v>RAH01-2026-025</x:v>
      </x:c>
      <x:c r="D175" s="36" t="n">
        <x:v>4</x:v>
      </x:c>
      <x:c r="E175" s="26" t="str">
        <x:v>Psychosocial Hazards</x:v>
      </x:c>
      <x:c r="F175" s="26" t="str">
        <x:v>Violence from Patients or Relatives</x:v>
      </x:c>
      <x:c r="G175" s="35" t="n">
        <x:v>4</x:v>
      </x:c>
      <x:c r="H175" s="35" t="n">
        <x:v>22</x:v>
      </x:c>
      <x:c r="I175" s="35" t="n">
        <x:v>2</x:v>
      </x:c>
      <x:c r="J175" s="35" t="n">
        <x:v>2</x:v>
      </x:c>
      <x:c r="K175" s="36" t="n">
        <x:f>IF(AND(S175=TRUE,ISNUMBER(I175),I175=INT(I175),I175&gt;=1,I175&lt;=3,ISNUMBER(J175),J175=INT(J175),J175&gt;=1,J175&lt;=3),I175*J175,"")</x:f>
        <x:v>4</x:v>
      </x:c>
      <x:c r="L175" s="26" t="str">
        <x:f>IF(K175="","",IF(K175&lt;=2,"LOW",IF(K175&lt;=4,"MEDIUM","HIGH")))</x:f>
        <x:v>MEDIUM</x:v>
      </x:c>
      <x:c r="M175" s="25" t="str">
        <x:v>Shift planning, escalation pathways, security support, breaks, and supervisor check-ins are available.</x:v>
      </x:c>
      <x:c r="N175" s="25" t="str">
        <x:v>Review staffing, breaks, escalation support, and violence-prevention controls with the department manager.</x:v>
      </x:c>
      <x:c r="O175" s="30" t="b">
        <x:v>0</x:v>
      </x:c>
      <x:c r="P175" s="27" t="str">
        <x:v>PSYCHOSOCIAL</x:v>
      </x:c>
      <x:c r="Q175" s="27" t="str">
        <x:v>patient_relative_violence</x:v>
      </x:c>
      <x:c r="R175" s="27" t="str"/>
      <x:c r="S175" s="31" t="b">
        <x:v>1</x:v>
      </x:c>
      <x:c r="T175" s="27" t="str">
        <x:v>ASM-2026-025</x:v>
      </x:c>
      <x:c r="U175" s="27" t="str">
        <x:v>HZ-2026-025-04</x:v>
      </x:c>
    </x:row>
    <x:row r="176">
      <x:c r="A176" s="28" t="str">
        <x:v>Internal Medicine</x:v>
      </x:c>
      <x:c r="B176" s="37" t="n">
        <x:v>46023</x:v>
      </x:c>
      <x:c r="C176" s="26" t="str">
        <x:v>RAH01-2026-025</x:v>
      </x:c>
      <x:c r="D176" s="36" t="n">
        <x:v>5</x:v>
      </x:c>
      <x:c r="E176" s="26" t="str">
        <x:v>Psychosocial Hazards</x:v>
      </x:c>
      <x:c r="F176" s="26" t="str">
        <x:v>Work Stress</x:v>
      </x:c>
      <x:c r="G176" s="35" t="n">
        <x:v>7</x:v>
      </x:c>
      <x:c r="H176" s="35" t="n">
        <x:v>29</x:v>
      </x:c>
      <x:c r="I176" s="35" t="n">
        <x:v>1</x:v>
      </x:c>
      <x:c r="J176" s="35" t="n">
        <x:v>3</x:v>
      </x:c>
      <x:c r="K176" s="36" t="n">
        <x:f>IF(AND(S176=TRUE,ISNUMBER(I176),I176=INT(I176),I176&gt;=1,I176&lt;=3,ISNUMBER(J176),J176=INT(J176),J176&gt;=1,J176&lt;=3),I176*J176,"")</x:f>
        <x:v>3</x:v>
      </x:c>
      <x:c r="L176" s="26" t="str">
        <x:f>IF(K176="","",IF(K176&lt;=2,"LOW",IF(K176&lt;=4,"MEDIUM","HIGH")))</x:f>
        <x:v>MEDIUM</x:v>
      </x:c>
      <x:c r="M176" s="25" t="str">
        <x:v>Shift planning, escalation pathways, security support, breaks, and supervisor check-ins are available.</x:v>
      </x:c>
      <x:c r="N176" s="25" t="str">
        <x:v>Review staffing, breaks, escalation support, and violence-prevention controls with the department manager.</x:v>
      </x:c>
      <x:c r="O176" s="30" t="b">
        <x:v>0</x:v>
      </x:c>
      <x:c r="P176" s="27" t="str">
        <x:v>PSYCHOSOCIAL</x:v>
      </x:c>
      <x:c r="Q176" s="27" t="str">
        <x:v>work_stress</x:v>
      </x:c>
      <x:c r="R176" s="27" t="str"/>
      <x:c r="S176" s="31" t="b">
        <x:v>1</x:v>
      </x:c>
      <x:c r="T176" s="27" t="str">
        <x:v>ASM-2026-025</x:v>
      </x:c>
      <x:c r="U176" s="27" t="str">
        <x:v>HZ-2026-025-05</x:v>
      </x:c>
    </x:row>
    <x:row r="177">
      <x:c r="A177" s="28" t="str">
        <x:v>Internal Medicine</x:v>
      </x:c>
      <x:c r="B177" s="37" t="n">
        <x:v>46023</x:v>
      </x:c>
      <x:c r="C177" s="26" t="str">
        <x:v>RAH01-2026-025</x:v>
      </x:c>
      <x:c r="D177" s="36" t="n">
        <x:v>6</x:v>
      </x:c>
      <x:c r="E177" s="26" t="str">
        <x:v>Safety and Accident Hazards</x:v>
      </x:c>
      <x:c r="F177" s="26" t="str">
        <x:v>Pathway Obstruction</x:v>
      </x:c>
      <x:c r="G177" s="35" t="n">
        <x:v>3</x:v>
      </x:c>
      <x:c r="H177" s="35" t="n">
        <x:v>5</x:v>
      </x:c>
      <x:c r="I177" s="35" t="n">
        <x:v>3</x:v>
      </x:c>
      <x:c r="J177" s="35" t="n">
        <x:v>1</x:v>
      </x:c>
      <x:c r="K177" s="36" t="n">
        <x:f>IF(AND(S177=TRUE,ISNUMBER(I177),I177=INT(I177),I177&gt;=1,I177&lt;=3,ISNUMBER(J177),J177=INT(J177),J177&gt;=1,J177&lt;=3),I177*J177,"")</x:f>
        <x:v>3</x:v>
      </x:c>
      <x:c r="L177" s="26" t="str">
        <x:f>IF(K177="","",IF(K177&lt;=2,"LOW",IF(K177&lt;=4,"MEDIUM","HIGH")))</x:f>
        <x:v>MEDIUM</x:v>
      </x:c>
      <x:c r="M177" s="25" t="str">
        <x:v>Safe-work procedures, inspection, housekeeping, guards, and incident reporting are implemented.</x:v>
      </x:c>
      <x:c r="N177" s="25" t="str">
        <x:v>Correct the unsafe condition, document ownership, and verify effectiveness through a follow-up inspection.</x:v>
      </x:c>
      <x:c r="O177" s="30" t="b">
        <x:v>0</x:v>
      </x:c>
      <x:c r="P177" s="27" t="str">
        <x:v>SAFETY_ACCIDENT</x:v>
      </x:c>
      <x:c r="Q177" s="27" t="str">
        <x:v>pathway_obstruction</x:v>
      </x:c>
      <x:c r="R177" s="27" t="str"/>
      <x:c r="S177" s="31" t="b">
        <x:v>1</x:v>
      </x:c>
      <x:c r="T177" s="27" t="str">
        <x:v>ASM-2026-025</x:v>
      </x:c>
      <x:c r="U177" s="27" t="str">
        <x:v>HZ-2026-025-06</x:v>
      </x:c>
    </x:row>
    <x:row r="178">
      <x:c r="A178" s="28" t="str">
        <x:v>Laboratory</x:v>
      </x:c>
      <x:c r="B178" s="37" t="n">
        <x:v>46057</x:v>
      </x:c>
      <x:c r="C178" s="26" t="str">
        <x:v>RAH01-2026-026</x:v>
      </x:c>
      <x:c r="D178" s="36" t="n">
        <x:v>1</x:v>
      </x:c>
      <x:c r="E178" s="26" t="str">
        <x:v>Safety and Accident Hazards</x:v>
      </x:c>
      <x:c r="F178" s="26" t="str">
        <x:v>Sharps / Needlestick</x:v>
      </x:c>
      <x:c r="G178" s="35" t="n">
        <x:v>11</x:v>
      </x:c>
      <x:c r="H178" s="35" t="n">
        <x:v>6</x:v>
      </x:c>
      <x:c r="I178" s="35" t="n">
        <x:v>3</x:v>
      </x:c>
      <x:c r="J178" s="35" t="n">
        <x:v>3</x:v>
      </x:c>
      <x:c r="K178" s="36" t="n">
        <x:f>IF(AND(S178=TRUE,ISNUMBER(I178),I178=INT(I178),I178&gt;=1,I178&lt;=3,ISNUMBER(J178),J178=INT(J178),J178&gt;=1,J178&lt;=3),I178*J178,"")</x:f>
        <x:v>9</x:v>
      </x:c>
      <x:c r="L178" s="26" t="str">
        <x:f>IF(K178="","",IF(K178&lt;=2,"LOW",IF(K178&lt;=4,"MEDIUM","HIGH")))</x:f>
        <x:v>HIGH</x:v>
      </x:c>
      <x:c r="M178" s="25" t="str">
        <x:v>Safe-work procedures, inspection, housekeeping, guards, and incident reporting are implemented.</x:v>
      </x:c>
      <x:c r="N178" s="25" t="str">
        <x:v>Correct the unsafe condition, document ownership, and verify effectiveness through a follow-up inspection.</x:v>
      </x:c>
      <x:c r="O178" s="30" t="b">
        <x:v>0</x:v>
      </x:c>
      <x:c r="P178" s="27" t="str">
        <x:v>SAFETY_ACCIDENT</x:v>
      </x:c>
      <x:c r="Q178" s="27" t="str">
        <x:v>sharps</x:v>
      </x:c>
      <x:c r="R178" s="27" t="str"/>
      <x:c r="S178" s="31" t="b">
        <x:v>1</x:v>
      </x:c>
      <x:c r="T178" s="27" t="str">
        <x:v>ASM-2026-026</x:v>
      </x:c>
      <x:c r="U178" s="27" t="str">
        <x:v>HZ-2026-026-01</x:v>
      </x:c>
    </x:row>
    <x:row r="179">
      <x:c r="A179" s="28" t="str">
        <x:v>Laboratory</x:v>
      </x:c>
      <x:c r="B179" s="37" t="n">
        <x:v>46057</x:v>
      </x:c>
      <x:c r="C179" s="26" t="str">
        <x:v>RAH01-2026-026</x:v>
      </x:c>
      <x:c r="D179" s="36" t="n">
        <x:v>2</x:v>
      </x:c>
      <x:c r="E179" s="26" t="str">
        <x:v>Biological Hazards</x:v>
      </x:c>
      <x:c r="F179" s="26" t="str">
        <x:v>Bacteria</x:v>
      </x:c>
      <x:c r="G179" s="35" t="n">
        <x:v>14</x:v>
      </x:c>
      <x:c r="H179" s="35" t="n">
        <x:v>13</x:v>
      </x:c>
      <x:c r="I179" s="35" t="n">
        <x:v>3</x:v>
      </x:c>
      <x:c r="J179" s="35" t="n">
        <x:v>2</x:v>
      </x:c>
      <x:c r="K179" s="36" t="n">
        <x:f>IF(AND(S179=TRUE,ISNUMBER(I179),I179=INT(I179),I179&gt;=1,I179&lt;=3,ISNUMBER(J179),J179=INT(J179),J179&gt;=1,J179&lt;=3),I179*J179,"")</x:f>
        <x:v>6</x:v>
      </x:c>
      <x:c r="L179" s="26" t="str">
        <x:f>IF(K179="","",IF(K179&lt;=2,"LOW",IF(K179&lt;=4,"MEDIUM","HIGH")))</x:f>
        <x:v>HIGH</x:v>
      </x:c>
      <x:c r="M179" s="25" t="str">
        <x:v>Standard precautions, hand hygiene, vaccination, cleaning, and appropriate PPE are implemented.</x:v>
      </x:c>
      <x:c r="N179" s="25" t="str">
        <x:v>Audit compliance, investigate exposure incidents, and reinforce source-control and PPE practice.</x:v>
      </x:c>
      <x:c r="O179" s="30" t="b">
        <x:v>1</x:v>
      </x:c>
      <x:c r="P179" s="27" t="str">
        <x:v>BIOLOGICAL</x:v>
      </x:c>
      <x:c r="Q179" s="27" t="str">
        <x:v>bacteria</x:v>
      </x:c>
      <x:c r="R179" s="27" t="str"/>
      <x:c r="S179" s="31" t="b">
        <x:v>1</x:v>
      </x:c>
      <x:c r="T179" s="27" t="str">
        <x:v>ASM-2026-026</x:v>
      </x:c>
      <x:c r="U179" s="27" t="str">
        <x:v>HZ-2026-026-02</x:v>
      </x:c>
    </x:row>
    <x:row r="180">
      <x:c r="A180" s="28" t="str">
        <x:v>Laboratory</x:v>
      </x:c>
      <x:c r="B180" s="37" t="n">
        <x:v>46057</x:v>
      </x:c>
      <x:c r="C180" s="26" t="str">
        <x:v>RAH01-2026-026</x:v>
      </x:c>
      <x:c r="D180" s="36" t="n">
        <x:v>3</x:v>
      </x:c>
      <x:c r="E180" s="26" t="str">
        <x:v>Biological Hazards</x:v>
      </x:c>
      <x:c r="F180" s="26" t="str">
        <x:v>Viruses</x:v>
      </x:c>
      <x:c r="G180" s="35" t="n">
        <x:v>3</x:v>
      </x:c>
      <x:c r="H180" s="35" t="n">
        <x:v>20</x:v>
      </x:c>
      <x:c r="I180" s="35" t="n">
        <x:v>2</x:v>
      </x:c>
      <x:c r="J180" s="35" t="n">
        <x:v>3</x:v>
      </x:c>
      <x:c r="K180" s="36" t="n">
        <x:f>IF(AND(S180=TRUE,ISNUMBER(I180),I180=INT(I180),I180&gt;=1,I180&lt;=3,ISNUMBER(J180),J180=INT(J180),J180&gt;=1,J180&lt;=3),I180*J180,"")</x:f>
        <x:v>6</x:v>
      </x:c>
      <x:c r="L180" s="26" t="str">
        <x:f>IF(K180="","",IF(K180&lt;=2,"LOW",IF(K180&lt;=4,"MEDIUM","HIGH")))</x:f>
        <x:v>HIGH</x:v>
      </x:c>
      <x:c r="M180" s="25" t="str">
        <x:v>Standard precautions, hand hygiene, vaccination, cleaning, and appropriate PPE are implemented.</x:v>
      </x:c>
      <x:c r="N180" s="25" t="str">
        <x:v>Audit compliance, investigate exposure incidents, and reinforce source-control and PPE practice.</x:v>
      </x:c>
      <x:c r="O180" s="30" t="b">
        <x:v>0</x:v>
      </x:c>
      <x:c r="P180" s="27" t="str">
        <x:v>BIOLOGICAL</x:v>
      </x:c>
      <x:c r="Q180" s="27" t="str">
        <x:v>viruses</x:v>
      </x:c>
      <x:c r="R180" s="27" t="str"/>
      <x:c r="S180" s="31" t="b">
        <x:v>1</x:v>
      </x:c>
      <x:c r="T180" s="27" t="str">
        <x:v>ASM-2026-026</x:v>
      </x:c>
      <x:c r="U180" s="27" t="str">
        <x:v>HZ-2026-026-03</x:v>
      </x:c>
    </x:row>
    <x:row r="181">
      <x:c r="A181" s="28" t="str">
        <x:v>Laboratory</x:v>
      </x:c>
      <x:c r="B181" s="37" t="n">
        <x:v>46057</x:v>
      </x:c>
      <x:c r="C181" s="26" t="str">
        <x:v>RAH01-2026-026</x:v>
      </x:c>
      <x:c r="D181" s="36" t="n">
        <x:v>4</x:v>
      </x:c>
      <x:c r="E181" s="26" t="str">
        <x:v>Chemical Hazards</x:v>
      </x:c>
      <x:c r="F181" s="26" t="str">
        <x:v>Sterilization / Disinfection Chemicals</x:v>
      </x:c>
      <x:c r="G181" s="35" t="n">
        <x:v>6</x:v>
      </x:c>
      <x:c r="H181" s="35" t="n">
        <x:v>27</x:v>
      </x:c>
      <x:c r="I181" s="35" t="n">
        <x:v>3</x:v>
      </x:c>
      <x:c r="J181" s="35" t="n">
        <x:v>3</x:v>
      </x:c>
      <x:c r="K181" s="36" t="n">
        <x:f>IF(AND(S181=TRUE,ISNUMBER(I181),I181=INT(I181),I181&gt;=1,I181&lt;=3,ISNUMBER(J181),J181=INT(J181),J181&gt;=1,J181&lt;=3),I181*J181,"")</x:f>
        <x:v>9</x:v>
      </x:c>
      <x:c r="L181" s="26" t="str">
        <x:f>IF(K181="","",IF(K181&lt;=2,"LOW",IF(K181&lt;=4,"MEDIUM","HIGH")))</x:f>
        <x:v>HIGH</x:v>
      </x:c>
      <x:c r="M181" s="25" t="str">
        <x:v>Safety data, labeled containers, local procedures, ventilation, and chemical-resistant PPE are available.</x:v>
      </x:c>
      <x:c r="N181" s="25" t="str">
        <x:v>Review substitution, ventilation, storage, spill response, and staff competency for this chemical task.</x:v>
      </x:c>
      <x:c r="O181" s="30" t="b">
        <x:v>0</x:v>
      </x:c>
      <x:c r="P181" s="27" t="str">
        <x:v>CHEMICAL</x:v>
      </x:c>
      <x:c r="Q181" s="27" t="str">
        <x:v>sterilization_disinfection_chemicals</x:v>
      </x:c>
      <x:c r="R181" s="27" t="str"/>
      <x:c r="S181" s="31" t="b">
        <x:v>1</x:v>
      </x:c>
      <x:c r="T181" s="27" t="str">
        <x:v>ASM-2026-026</x:v>
      </x:c>
      <x:c r="U181" s="27" t="str">
        <x:v>HZ-2026-026-04</x:v>
      </x:c>
    </x:row>
    <x:row r="182">
      <x:c r="A182" s="28" t="str">
        <x:v>Laboratory</x:v>
      </x:c>
      <x:c r="B182" s="37" t="n">
        <x:v>46057</x:v>
      </x:c>
      <x:c r="C182" s="26" t="str">
        <x:v>RAH01-2026-026</x:v>
      </x:c>
      <x:c r="D182" s="36" t="n">
        <x:v>5</x:v>
      </x:c>
      <x:c r="E182" s="26" t="str">
        <x:v>Ergonomic Hazards</x:v>
      </x:c>
      <x:c r="F182" s="26" t="str">
        <x:v>Unnatural Posture or Movement</x:v>
      </x:c>
      <x:c r="G182" s="35" t="n">
        <x:v>9</x:v>
      </x:c>
      <x:c r="H182" s="35" t="n">
        <x:v>3</x:v>
      </x:c>
      <x:c r="I182" s="35" t="n">
        <x:v>3</x:v>
      </x:c>
      <x:c r="J182" s="35" t="n">
        <x:v>2</x:v>
      </x:c>
      <x:c r="K182" s="36" t="n">
        <x:f>IF(AND(S182=TRUE,ISNUMBER(I182),I182=INT(I182),I182&gt;=1,I182&lt;=3,ISNUMBER(J182),J182=INT(J182),J182&gt;=1,J182&lt;=3),I182*J182,"")</x:f>
        <x:v>6</x:v>
      </x:c>
      <x:c r="L182" s="26" t="str">
        <x:f>IF(K182="","",IF(K182&lt;=2,"LOW",IF(K182&lt;=4,"MEDIUM","HIGH")))</x:f>
        <x:v>HIGH</x:v>
      </x:c>
      <x:c r="M182" s="25" t="str">
        <x:v>Task rotation, adjustable equipment, team lifting, and safe-patient-handling guidance are used.</x:v>
      </x:c>
      <x:c r="N182" s="25" t="str">
        <x:v>Complete an ergonomic task assessment and implement equipment or workflow changes to reduce force and repetition.</x:v>
      </x:c>
      <x:c r="O182" s="30" t="b">
        <x:v>1</x:v>
      </x:c>
      <x:c r="P182" s="27" t="str">
        <x:v>ERGONOMIC</x:v>
      </x:c>
      <x:c r="Q182" s="27" t="str">
        <x:v>unnatural_posture</x:v>
      </x:c>
      <x:c r="R182" s="27" t="str"/>
      <x:c r="S182" s="31" t="b">
        <x:v>1</x:v>
      </x:c>
      <x:c r="T182" s="27" t="str">
        <x:v>ASM-2026-026</x:v>
      </x:c>
      <x:c r="U182" s="27" t="str">
        <x:v>HZ-2026-026-05</x:v>
      </x:c>
    </x:row>
    <x:row r="183">
      <x:c r="A183" s="28" t="str">
        <x:v>Laboratory</x:v>
      </x:c>
      <x:c r="B183" s="37" t="n">
        <x:v>46057</x:v>
      </x:c>
      <x:c r="C183" s="26" t="str">
        <x:v>RAH01-2026-026</x:v>
      </x:c>
      <x:c r="D183" s="36" t="n">
        <x:v>6</x:v>
      </x:c>
      <x:c r="E183" s="26" t="str">
        <x:v>Ergonomic Hazards</x:v>
      </x:c>
      <x:c r="F183" s="26" t="str">
        <x:v>Prolonged Standing or Sitting</x:v>
      </x:c>
      <x:c r="G183" s="35" t="n">
        <x:v>12</x:v>
      </x:c>
      <x:c r="H183" s="35" t="n">
        <x:v>10</x:v>
      </x:c>
      <x:c r="I183" s="35" t="n">
        <x:v>2</x:v>
      </x:c>
      <x:c r="J183" s="35" t="n">
        <x:v>3</x:v>
      </x:c>
      <x:c r="K183" s="36" t="n">
        <x:f>IF(AND(S183=TRUE,ISNUMBER(I183),I183=INT(I183),I183&gt;=1,I183&lt;=3,ISNUMBER(J183),J183=INT(J183),J183&gt;=1,J183&lt;=3),I183*J183,"")</x:f>
        <x:v>6</x:v>
      </x:c>
      <x:c r="L183" s="26" t="str">
        <x:f>IF(K183="","",IF(K183&lt;=2,"LOW",IF(K183&lt;=4,"MEDIUM","HIGH")))</x:f>
        <x:v>HIGH</x:v>
      </x:c>
      <x:c r="M183" s="25" t="str">
        <x:v>Task rotation, adjustable equipment, team lifting, and safe-patient-handling guidance are used.</x:v>
      </x:c>
      <x:c r="N183" s="25" t="str">
        <x:v>Complete an ergonomic task assessment and implement equipment or workflow changes to reduce force and repetition.</x:v>
      </x:c>
      <x:c r="O183" s="30" t="b">
        <x:v>0</x:v>
      </x:c>
      <x:c r="P183" s="27" t="str">
        <x:v>ERGONOMIC</x:v>
      </x:c>
      <x:c r="Q183" s="27" t="str">
        <x:v>prolonged_standing_sitting</x:v>
      </x:c>
      <x:c r="R183" s="27" t="str"/>
      <x:c r="S183" s="31" t="b">
        <x:v>1</x:v>
      </x:c>
      <x:c r="T183" s="27" t="str">
        <x:v>ASM-2026-026</x:v>
      </x:c>
      <x:c r="U183" s="27" t="str">
        <x:v>HZ-2026-026-06</x:v>
      </x:c>
    </x:row>
    <x:row r="184">
      <x:c r="A184" s="28" t="str">
        <x:v>Laboratory</x:v>
      </x:c>
      <x:c r="B184" s="37" t="n">
        <x:v>46057</x:v>
      </x:c>
      <x:c r="C184" s="26" t="str">
        <x:v>RAH01-2026-026</x:v>
      </x:c>
      <x:c r="D184" s="36" t="n">
        <x:v>7</x:v>
      </x:c>
      <x:c r="E184" s="26" t="str">
        <x:v>Fire and Disaster Hazards</x:v>
      </x:c>
      <x:c r="F184" s="26" t="str">
        <x:v>Electrical Equipment</x:v>
      </x:c>
      <x:c r="G184" s="35" t="n">
        <x:v>1</x:v>
      </x:c>
      <x:c r="H184" s="35" t="n">
        <x:v>17</x:v>
      </x:c>
      <x:c r="I184" s="35" t="n">
        <x:v>3</x:v>
      </x:c>
      <x:c r="J184" s="35" t="n">
        <x:v>3</x:v>
      </x:c>
      <x:c r="K184" s="36" t="n">
        <x:f>IF(AND(S184=TRUE,ISNUMBER(I184),I184=INT(I184),I184&gt;=1,I184&lt;=3,ISNUMBER(J184),J184=INT(J184),J184&gt;=1,J184&lt;=3),I184*J184,"")</x:f>
        <x:v>9</x:v>
      </x:c>
      <x:c r="L184" s="26" t="str">
        <x:f>IF(K184="","",IF(K184&lt;=2,"LOW",IF(K184&lt;=4,"MEDIUM","HIGH")))</x:f>
        <x:v>HIGH</x:v>
      </x:c>
      <x:c r="M184" s="25" t="str">
        <x:v>Electrical inspection, isolation procedures, alarms, extinguishers, and emergency response plans are maintained.</x:v>
      </x:c>
      <x:c r="N184" s="25" t="str">
        <x:v>Complete an engineering inspection and emergency-readiness check before the next scheduled review.</x:v>
      </x:c>
      <x:c r="O184" s="30" t="b">
        <x:v>0</x:v>
      </x:c>
      <x:c r="P184" s="27" t="str">
        <x:v>FIRE_DISASTER</x:v>
      </x:c>
      <x:c r="Q184" s="27" t="str">
        <x:v>electrical_equipment</x:v>
      </x:c>
      <x:c r="R184" s="27" t="str"/>
      <x:c r="S184" s="31" t="b">
        <x:v>1</x:v>
      </x:c>
      <x:c r="T184" s="27" t="str">
        <x:v>ASM-2026-026</x:v>
      </x:c>
      <x:c r="U184" s="27" t="str">
        <x:v>HZ-2026-026-07</x:v>
      </x:c>
    </x:row>
    <x:row r="185">
      <x:c r="A185" s="28" t="str">
        <x:v>Laboratory</x:v>
      </x:c>
      <x:c r="B185" s="37" t="n">
        <x:v>46057</x:v>
      </x:c>
      <x:c r="C185" s="26" t="str">
        <x:v>RAH01-2026-026</x:v>
      </x:c>
      <x:c r="D185" s="36" t="n">
        <x:v>8</x:v>
      </x:c>
      <x:c r="E185" s="26" t="str">
        <x:v>Physical Hazards</x:v>
      </x:c>
      <x:c r="F185" s="26" t="str">
        <x:v>Lighting</x:v>
      </x:c>
      <x:c r="G185" s="35" t="n">
        <x:v>4</x:v>
      </x:c>
      <x:c r="H185" s="35" t="n">
        <x:v>24</x:v>
      </x:c>
      <x:c r="I185" s="35" t="n">
        <x:v>3</x:v>
      </x:c>
      <x:c r="J185" s="35" t="n">
        <x:v>2</x:v>
      </x:c>
      <x:c r="K185" s="36" t="n">
        <x:f>IF(AND(S185=TRUE,ISNUMBER(I185),I185=INT(I185),I185&gt;=1,I185&lt;=3,ISNUMBER(J185),J185=INT(J185),J185&gt;=1,J185&lt;=3),I185*J185,"")</x:f>
        <x:v>6</x:v>
      </x:c>
      <x:c r="L185" s="26" t="str">
        <x:f>IF(K185="","",IF(K185&lt;=2,"LOW",IF(K185&lt;=4,"MEDIUM","HIGH")))</x:f>
        <x:v>HIGH</x:v>
      </x:c>
      <x:c r="M185" s="25" t="str">
        <x:v>Engineering controls, preventive maintenance, posted limits, and periodic exposure monitoring are in place.</x:v>
      </x:c>
      <x:c r="N185" s="25" t="str">
        <x:v>Measure exposure against the hospital standard and close any engineering-control gap within 90 days.</x:v>
      </x:c>
      <x:c r="O185" s="30" t="b">
        <x:v>1</x:v>
      </x:c>
      <x:c r="P185" s="27" t="str">
        <x:v>PHYSICAL</x:v>
      </x:c>
      <x:c r="Q185" s="27" t="str">
        <x:v>lighting</x:v>
      </x:c>
      <x:c r="R185" s="27" t="str"/>
      <x:c r="S185" s="31" t="b">
        <x:v>1</x:v>
      </x:c>
      <x:c r="T185" s="27" t="str">
        <x:v>ASM-2026-026</x:v>
      </x:c>
      <x:c r="U185" s="27" t="str">
        <x:v>HZ-2026-026-08</x:v>
      </x:c>
    </x:row>
    <x:row r="186">
      <x:c r="A186" s="28" t="str">
        <x:v>Laundry</x:v>
      </x:c>
      <x:c r="B186" s="37" t="n">
        <x:v>46088</x:v>
      </x:c>
      <x:c r="C186" s="26" t="str">
        <x:v>RAH01-2026-027</x:v>
      </x:c>
      <x:c r="D186" s="36" t="n">
        <x:v>1</x:v>
      </x:c>
      <x:c r="E186" s="26" t="str">
        <x:v>Safety and Accident Hazards</x:v>
      </x:c>
      <x:c r="F186" s="26" t="str">
        <x:v>Sharps / Needlestick</x:v>
      </x:c>
      <x:c r="G186" s="35" t="n">
        <x:v>13</x:v>
      </x:c>
      <x:c r="H186" s="35" t="n">
        <x:v>11</x:v>
      </x:c>
      <x:c r="I186" s="35" t="n">
        <x:v>2</x:v>
      </x:c>
      <x:c r="J186" s="35" t="n">
        <x:v>3</x:v>
      </x:c>
      <x:c r="K186" s="36" t="n">
        <x:f>IF(AND(S186=TRUE,ISNUMBER(I186),I186=INT(I186),I186&gt;=1,I186&lt;=3,ISNUMBER(J186),J186=INT(J186),J186&gt;=1,J186&lt;=3),I186*J186,"")</x:f>
        <x:v>6</x:v>
      </x:c>
      <x:c r="L186" s="26" t="str">
        <x:f>IF(K186="","",IF(K186&lt;=2,"LOW",IF(K186&lt;=4,"MEDIUM","HIGH")))</x:f>
        <x:v>HIGH</x:v>
      </x:c>
      <x:c r="M186" s="25" t="str">
        <x:v>Safe-work procedures, inspection, housekeeping, guards, and incident reporting are implemented.</x:v>
      </x:c>
      <x:c r="N186" s="25" t="str">
        <x:v>Correct the unsafe condition, document ownership, and verify effectiveness through a follow-up inspection.</x:v>
      </x:c>
      <x:c r="O186" s="30" t="b">
        <x:v>1</x:v>
      </x:c>
      <x:c r="P186" s="27" t="str">
        <x:v>SAFETY_ACCIDENT</x:v>
      </x:c>
      <x:c r="Q186" s="27" t="str">
        <x:v>sharps</x:v>
      </x:c>
      <x:c r="R186" s="27" t="str"/>
      <x:c r="S186" s="31" t="b">
        <x:v>1</x:v>
      </x:c>
      <x:c r="T186" s="27" t="str">
        <x:v>ASM-2026-027</x:v>
      </x:c>
      <x:c r="U186" s="27" t="str">
        <x:v>HZ-2026-027-01</x:v>
      </x:c>
    </x:row>
    <x:row r="187">
      <x:c r="A187" s="28" t="str">
        <x:v>Laundry</x:v>
      </x:c>
      <x:c r="B187" s="37" t="n">
        <x:v>46088</x:v>
      </x:c>
      <x:c r="C187" s="26" t="str">
        <x:v>RAH01-2026-027</x:v>
      </x:c>
      <x:c r="D187" s="36" t="n">
        <x:v>2</x:v>
      </x:c>
      <x:c r="E187" s="26" t="str">
        <x:v>Biological Hazards</x:v>
      </x:c>
      <x:c r="F187" s="26" t="str">
        <x:v>Bacteria</x:v>
      </x:c>
      <x:c r="G187" s="35" t="n">
        <x:v>16</x:v>
      </x:c>
      <x:c r="H187" s="35" t="n">
        <x:v>18</x:v>
      </x:c>
      <x:c r="I187" s="35" t="n">
        <x:v>3</x:v>
      </x:c>
      <x:c r="J187" s="35" t="n">
        <x:v>3</x:v>
      </x:c>
      <x:c r="K187" s="36" t="n">
        <x:f>IF(AND(S187=TRUE,ISNUMBER(I187),I187=INT(I187),I187&gt;=1,I187&lt;=3,ISNUMBER(J187),J187=INT(J187),J187&gt;=1,J187&lt;=3),I187*J187,"")</x:f>
        <x:v>9</x:v>
      </x:c>
      <x:c r="L187" s="26" t="str">
        <x:f>IF(K187="","",IF(K187&lt;=2,"LOW",IF(K187&lt;=4,"MEDIUM","HIGH")))</x:f>
        <x:v>HIGH</x:v>
      </x:c>
      <x:c r="M187" s="25" t="str">
        <x:v>Standard precautions, hand hygiene, vaccination, cleaning, and appropriate PPE are implemented.</x:v>
      </x:c>
      <x:c r="N187" s="25" t="str">
        <x:v>Audit compliance, investigate exposure incidents, and reinforce source-control and PPE practice.</x:v>
      </x:c>
      <x:c r="O187" s="30" t="b">
        <x:v>0</x:v>
      </x:c>
      <x:c r="P187" s="27" t="str">
        <x:v>BIOLOGICAL</x:v>
      </x:c>
      <x:c r="Q187" s="27" t="str">
        <x:v>bacteria</x:v>
      </x:c>
      <x:c r="R187" s="27" t="str"/>
      <x:c r="S187" s="31" t="b">
        <x:v>1</x:v>
      </x:c>
      <x:c r="T187" s="27" t="str">
        <x:v>ASM-2026-027</x:v>
      </x:c>
      <x:c r="U187" s="27" t="str">
        <x:v>HZ-2026-027-02</x:v>
      </x:c>
    </x:row>
    <x:row r="188">
      <x:c r="A188" s="28" t="str">
        <x:v>Laundry</x:v>
      </x:c>
      <x:c r="B188" s="37" t="n">
        <x:v>46088</x:v>
      </x:c>
      <x:c r="C188" s="26" t="str">
        <x:v>RAH01-2026-027</x:v>
      </x:c>
      <x:c r="D188" s="36" t="n">
        <x:v>3</x:v>
      </x:c>
      <x:c r="E188" s="26" t="str">
        <x:v>Physical Hazards</x:v>
      </x:c>
      <x:c r="F188" s="26" t="str">
        <x:v>Heat</x:v>
      </x:c>
      <x:c r="G188" s="35" t="n">
        <x:v>19</x:v>
      </x:c>
      <x:c r="H188" s="35" t="n">
        <x:v>25</x:v>
      </x:c>
      <x:c r="I188" s="35" t="n">
        <x:v>3</x:v>
      </x:c>
      <x:c r="J188" s="35" t="n">
        <x:v>2</x:v>
      </x:c>
      <x:c r="K188" s="36" t="n">
        <x:f>IF(AND(S188=TRUE,ISNUMBER(I188),I188=INT(I188),I188&gt;=1,I188&lt;=3,ISNUMBER(J188),J188=INT(J188),J188&gt;=1,J188&lt;=3),I188*J188,"")</x:f>
        <x:v>6</x:v>
      </x:c>
      <x:c r="L188" s="26" t="str">
        <x:f>IF(K188="","",IF(K188&lt;=2,"LOW",IF(K188&lt;=4,"MEDIUM","HIGH")))</x:f>
        <x:v>HIGH</x:v>
      </x:c>
      <x:c r="M188" s="25" t="str">
        <x:v>Engineering controls, preventive maintenance, posted limits, and periodic exposure monitoring are in place.</x:v>
      </x:c>
      <x:c r="N188" s="25" t="str">
        <x:v>Measure exposure against the hospital standard and close any engineering-control gap within 90 days.</x:v>
      </x:c>
      <x:c r="O188" s="30" t="b">
        <x:v>0</x:v>
      </x:c>
      <x:c r="P188" s="27" t="str">
        <x:v>PHYSICAL</x:v>
      </x:c>
      <x:c r="Q188" s="27" t="str">
        <x:v>heat</x:v>
      </x:c>
      <x:c r="R188" s="27" t="str"/>
      <x:c r="S188" s="31" t="b">
        <x:v>1</x:v>
      </x:c>
      <x:c r="T188" s="27" t="str">
        <x:v>ASM-2026-027</x:v>
      </x:c>
      <x:c r="U188" s="27" t="str">
        <x:v>HZ-2026-027-03</x:v>
      </x:c>
    </x:row>
    <x:row r="189">
      <x:c r="A189" s="28" t="str">
        <x:v>Laundry</x:v>
      </x:c>
      <x:c r="B189" s="37" t="n">
        <x:v>46088</x:v>
      </x:c>
      <x:c r="C189" s="26" t="str">
        <x:v>RAH01-2026-027</x:v>
      </x:c>
      <x:c r="D189" s="36" t="n">
        <x:v>4</x:v>
      </x:c>
      <x:c r="E189" s="26" t="str">
        <x:v>Chemical Hazards</x:v>
      </x:c>
      <x:c r="F189" s="26" t="str">
        <x:v>Sterilization / Disinfection Chemicals</x:v>
      </x:c>
      <x:c r="G189" s="35" t="n">
        <x:v>1</x:v>
      </x:c>
      <x:c r="H189" s="35" t="n">
        <x:v>1</x:v>
      </x:c>
      <x:c r="I189" s="35" t="n">
        <x:v>2</x:v>
      </x:c>
      <x:c r="J189" s="35" t="n">
        <x:v>3</x:v>
      </x:c>
      <x:c r="K189" s="36" t="n">
        <x:f>IF(AND(S189=TRUE,ISNUMBER(I189),I189=INT(I189),I189&gt;=1,I189&lt;=3,ISNUMBER(J189),J189=INT(J189),J189&gt;=1,J189&lt;=3),I189*J189,"")</x:f>
        <x:v>6</x:v>
      </x:c>
      <x:c r="L189" s="26" t="str">
        <x:f>IF(K189="","",IF(K189&lt;=2,"LOW",IF(K189&lt;=4,"MEDIUM","HIGH")))</x:f>
        <x:v>HIGH</x:v>
      </x:c>
      <x:c r="M189" s="25" t="str">
        <x:v>Safety data, labeled containers, local procedures, ventilation, and chemical-resistant PPE are available.</x:v>
      </x:c>
      <x:c r="N189" s="25" t="str">
        <x:v>Review substitution, ventilation, storage, spill response, and staff competency for this chemical task.</x:v>
      </x:c>
      <x:c r="O189" s="30" t="b">
        <x:v>1</x:v>
      </x:c>
      <x:c r="P189" s="27" t="str">
        <x:v>CHEMICAL</x:v>
      </x:c>
      <x:c r="Q189" s="27" t="str">
        <x:v>sterilization_disinfection_chemicals</x:v>
      </x:c>
      <x:c r="R189" s="27" t="str"/>
      <x:c r="S189" s="31" t="b">
        <x:v>1</x:v>
      </x:c>
      <x:c r="T189" s="27" t="str">
        <x:v>ASM-2026-027</x:v>
      </x:c>
      <x:c r="U189" s="27" t="str">
        <x:v>HZ-2026-027-04</x:v>
      </x:c>
    </x:row>
    <x:row r="190">
      <x:c r="A190" s="28" t="str">
        <x:v>Laundry</x:v>
      </x:c>
      <x:c r="B190" s="37" t="n">
        <x:v>46088</x:v>
      </x:c>
      <x:c r="C190" s="26" t="str">
        <x:v>RAH01-2026-027</x:v>
      </x:c>
      <x:c r="D190" s="36" t="n">
        <x:v>5</x:v>
      </x:c>
      <x:c r="E190" s="26" t="str">
        <x:v>Safety and Accident Hazards</x:v>
      </x:c>
      <x:c r="F190" s="26" t="str">
        <x:v>Work with Hot Objects</x:v>
      </x:c>
      <x:c r="G190" s="35" t="n">
        <x:v>4</x:v>
      </x:c>
      <x:c r="H190" s="35" t="n">
        <x:v>8</x:v>
      </x:c>
      <x:c r="I190" s="35" t="n">
        <x:v>3</x:v>
      </x:c>
      <x:c r="J190" s="35" t="n">
        <x:v>3</x:v>
      </x:c>
      <x:c r="K190" s="36" t="n">
        <x:f>IF(AND(S190=TRUE,ISNUMBER(I190),I190=INT(I190),I190&gt;=1,I190&lt;=3,ISNUMBER(J190),J190=INT(J190),J190&gt;=1,J190&lt;=3),I190*J190,"")</x:f>
        <x:v>9</x:v>
      </x:c>
      <x:c r="L190" s="26" t="str">
        <x:f>IF(K190="","",IF(K190&lt;=2,"LOW",IF(K190&lt;=4,"MEDIUM","HIGH")))</x:f>
        <x:v>HIGH</x:v>
      </x:c>
      <x:c r="M190" s="25" t="str">
        <x:v>Safe-work procedures, inspection, housekeeping, guards, and incident reporting are implemented.</x:v>
      </x:c>
      <x:c r="N190" s="25" t="str">
        <x:v>Correct the unsafe condition, document ownership, and verify effectiveness through a follow-up inspection.</x:v>
      </x:c>
      <x:c r="O190" s="30" t="b">
        <x:v>0</x:v>
      </x:c>
      <x:c r="P190" s="27" t="str">
        <x:v>SAFETY_ACCIDENT</x:v>
      </x:c>
      <x:c r="Q190" s="27" t="str">
        <x:v>hot_objects</x:v>
      </x:c>
      <x:c r="R190" s="27" t="str"/>
      <x:c r="S190" s="31" t="b">
        <x:v>1</x:v>
      </x:c>
      <x:c r="T190" s="27" t="str">
        <x:v>ASM-2026-027</x:v>
      </x:c>
      <x:c r="U190" s="27" t="str">
        <x:v>HZ-2026-027-05</x:v>
      </x:c>
    </x:row>
    <x:row r="191">
      <x:c r="A191" s="28" t="str">
        <x:v>Laundry</x:v>
      </x:c>
      <x:c r="B191" s="37" t="n">
        <x:v>46088</x:v>
      </x:c>
      <x:c r="C191" s="26" t="str">
        <x:v>RAH01-2026-027</x:v>
      </x:c>
      <x:c r="D191" s="36" t="n">
        <x:v>6</x:v>
      </x:c>
      <x:c r="E191" s="26" t="str">
        <x:v>Ergonomic Hazards</x:v>
      </x:c>
      <x:c r="F191" s="26" t="str">
        <x:v>Repetitive Tasks</x:v>
      </x:c>
      <x:c r="G191" s="35" t="n">
        <x:v>7</x:v>
      </x:c>
      <x:c r="H191" s="35" t="n">
        <x:v>15</x:v>
      </x:c>
      <x:c r="I191" s="35" t="n">
        <x:v>3</x:v>
      </x:c>
      <x:c r="J191" s="35" t="n">
        <x:v>2</x:v>
      </x:c>
      <x:c r="K191" s="36" t="n">
        <x:f>IF(AND(S191=TRUE,ISNUMBER(I191),I191=INT(I191),I191&gt;=1,I191&lt;=3,ISNUMBER(J191),J191=INT(J191),J191&gt;=1,J191&lt;=3),I191*J191,"")</x:f>
        <x:v>6</x:v>
      </x:c>
      <x:c r="L191" s="26" t="str">
        <x:f>IF(K191="","",IF(K191&lt;=2,"LOW",IF(K191&lt;=4,"MEDIUM","HIGH")))</x:f>
        <x:v>HIGH</x:v>
      </x:c>
      <x:c r="M191" s="25" t="str">
        <x:v>Task rotation, adjustable equipment, team lifting, and safe-patient-handling guidance are used.</x:v>
      </x:c>
      <x:c r="N191" s="25" t="str">
        <x:v>Complete an ergonomic task assessment and implement equipment or workflow changes to reduce force and repetition.</x:v>
      </x:c>
      <x:c r="O191" s="30" t="b">
        <x:v>0</x:v>
      </x:c>
      <x:c r="P191" s="27" t="str">
        <x:v>ERGONOMIC</x:v>
      </x:c>
      <x:c r="Q191" s="27" t="str">
        <x:v>repetitive_tasks</x:v>
      </x:c>
      <x:c r="R191" s="27" t="str"/>
      <x:c r="S191" s="31" t="b">
        <x:v>1</x:v>
      </x:c>
      <x:c r="T191" s="27" t="str">
        <x:v>ASM-2026-027</x:v>
      </x:c>
      <x:c r="U191" s="27" t="str">
        <x:v>HZ-2026-027-06</x:v>
      </x:c>
    </x:row>
    <x:row r="192">
      <x:c r="A192" s="28" t="str">
        <x:v>Laundry</x:v>
      </x:c>
      <x:c r="B192" s="37" t="n">
        <x:v>46088</x:v>
      </x:c>
      <x:c r="C192" s="26" t="str">
        <x:v>RAH01-2026-027</x:v>
      </x:c>
      <x:c r="D192" s="36" t="n">
        <x:v>7</x:v>
      </x:c>
      <x:c r="E192" s="26" t="str">
        <x:v>Safety and Accident Hazards</x:v>
      </x:c>
      <x:c r="F192" s="26" t="str">
        <x:v>Machinery Operation</x:v>
      </x:c>
      <x:c r="G192" s="35" t="n">
        <x:v>10</x:v>
      </x:c>
      <x:c r="H192" s="35" t="n">
        <x:v>22</x:v>
      </x:c>
      <x:c r="I192" s="35" t="n">
        <x:v>2</x:v>
      </x:c>
      <x:c r="J192" s="35" t="n">
        <x:v>3</x:v>
      </x:c>
      <x:c r="K192" s="36" t="n">
        <x:f>IF(AND(S192=TRUE,ISNUMBER(I192),I192=INT(I192),I192&gt;=1,I192&lt;=3,ISNUMBER(J192),J192=INT(J192),J192&gt;=1,J192&lt;=3),I192*J192,"")</x:f>
        <x:v>6</x:v>
      </x:c>
      <x:c r="L192" s="26" t="str">
        <x:f>IF(K192="","",IF(K192&lt;=2,"LOW",IF(K192&lt;=4,"MEDIUM","HIGH")))</x:f>
        <x:v>HIGH</x:v>
      </x:c>
      <x:c r="M192" s="25" t="str">
        <x:v>Safe-work procedures, inspection, housekeeping, guards, and incident reporting are implemented.</x:v>
      </x:c>
      <x:c r="N192" s="25" t="str">
        <x:v>Correct the unsafe condition, document ownership, and verify effectiveness through a follow-up inspection.</x:v>
      </x:c>
      <x:c r="O192" s="30" t="b">
        <x:v>1</x:v>
      </x:c>
      <x:c r="P192" s="27" t="str">
        <x:v>SAFETY_ACCIDENT</x:v>
      </x:c>
      <x:c r="Q192" s="27" t="str">
        <x:v>machinery</x:v>
      </x:c>
      <x:c r="R192" s="27" t="str"/>
      <x:c r="S192" s="31" t="b">
        <x:v>1</x:v>
      </x:c>
      <x:c r="T192" s="27" t="str">
        <x:v>ASM-2026-027</x:v>
      </x:c>
      <x:c r="U192" s="27" t="str">
        <x:v>HZ-2026-027-07</x:v>
      </x:c>
    </x:row>
    <x:row r="193">
      <x:c r="A193" s="28" t="str">
        <x:v>Laundry</x:v>
      </x:c>
      <x:c r="B193" s="37" t="n">
        <x:v>46088</x:v>
      </x:c>
      <x:c r="C193" s="26" t="str">
        <x:v>RAH01-2026-027</x:v>
      </x:c>
      <x:c r="D193" s="36" t="n">
        <x:v>8</x:v>
      </x:c>
      <x:c r="E193" s="26" t="str">
        <x:v>Psychosocial Hazards</x:v>
      </x:c>
      <x:c r="F193" s="26" t="str">
        <x:v>Insufficient Rest</x:v>
      </x:c>
      <x:c r="G193" s="35" t="n">
        <x:v>13</x:v>
      </x:c>
      <x:c r="H193" s="35" t="n">
        <x:v>29</x:v>
      </x:c>
      <x:c r="I193" s="35" t="n">
        <x:v>3</x:v>
      </x:c>
      <x:c r="J193" s="35" t="n">
        <x:v>3</x:v>
      </x:c>
      <x:c r="K193" s="36" t="n">
        <x:f>IF(AND(S193=TRUE,ISNUMBER(I193),I193=INT(I193),I193&gt;=1,I193&lt;=3,ISNUMBER(J193),J193=INT(J193),J193&gt;=1,J193&lt;=3),I193*J193,"")</x:f>
        <x:v>9</x:v>
      </x:c>
      <x:c r="L193" s="26" t="str">
        <x:f>IF(K193="","",IF(K193&lt;=2,"LOW",IF(K193&lt;=4,"MEDIUM","HIGH")))</x:f>
        <x:v>HIGH</x:v>
      </x:c>
      <x:c r="M193" s="25" t="str">
        <x:v>Shift planning, escalation pathways, security support, breaks, and supervisor check-ins are available.</x:v>
      </x:c>
      <x:c r="N193" s="25" t="str">
        <x:v>Review staffing, breaks, escalation support, and violence-prevention controls with the department manager.</x:v>
      </x:c>
      <x:c r="O193" s="30" t="b">
        <x:v>0</x:v>
      </x:c>
      <x:c r="P193" s="27" t="str">
        <x:v>PSYCHOSOCIAL</x:v>
      </x:c>
      <x:c r="Q193" s="27" t="str">
        <x:v>insufficient_rest</x:v>
      </x:c>
      <x:c r="R193" s="27" t="str"/>
      <x:c r="S193" s="31" t="b">
        <x:v>1</x:v>
      </x:c>
      <x:c r="T193" s="27" t="str">
        <x:v>ASM-2026-027</x:v>
      </x:c>
      <x:c r="U193" s="27" t="str">
        <x:v>HZ-2026-027-08</x:v>
      </x:c>
    </x:row>
    <x:row r="194">
      <x:c r="A194" s="28" t="str">
        <x:v>Medical Records</x:v>
      </x:c>
      <x:c r="B194" s="37" t="n">
        <x:v>46122</x:v>
      </x:c>
      <x:c r="C194" s="26" t="str">
        <x:v>RAH01-2026-028</x:v>
      </x:c>
      <x:c r="D194" s="36" t="n">
        <x:v>1</x:v>
      </x:c>
      <x:c r="E194" s="26" t="str">
        <x:v>Safety and Accident Hazards</x:v>
      </x:c>
      <x:c r="F194" s="26" t="str">
        <x:v>Sharps / Needlestick</x:v>
      </x:c>
      <x:c r="G194" s="35" t="n">
        <x:v>1</x:v>
      </x:c>
      <x:c r="H194" s="35" t="n">
        <x:v>1</x:v>
      </x:c>
      <x:c r="I194" s="35" t="n">
        <x:v>3</x:v>
      </x:c>
      <x:c r="J194" s="35" t="n">
        <x:v>2</x:v>
      </x:c>
      <x:c r="K194" s="36" t="n">
        <x:f>IF(AND(S194=TRUE,ISNUMBER(I194),I194=INT(I194),I194&gt;=1,I194&lt;=3,ISNUMBER(J194),J194=INT(J194),J194&gt;=1,J194&lt;=3),I194*J194,"")</x:f>
        <x:v>6</x:v>
      </x:c>
      <x:c r="L194" s="26" t="str">
        <x:f>IF(K194="","",IF(K194&lt;=2,"LOW",IF(K194&lt;=4,"MEDIUM","HIGH")))</x:f>
        <x:v>HIGH</x:v>
      </x:c>
      <x:c r="M194" s="25" t="str">
        <x:v>Safe-work procedures, inspection, housekeeping, guards, and incident reporting are implemented.</x:v>
      </x:c>
      <x:c r="N194" s="25" t="str">
        <x:v>Correct the unsafe condition, document ownership, and verify effectiveness through a follow-up inspection.</x:v>
      </x:c>
      <x:c r="O194" s="30" t="b">
        <x:v>0</x:v>
      </x:c>
      <x:c r="P194" s="27" t="str">
        <x:v>SAFETY_ACCIDENT</x:v>
      </x:c>
      <x:c r="Q194" s="27" t="str">
        <x:v>sharps</x:v>
      </x:c>
      <x:c r="R194" s="27" t="str"/>
      <x:c r="S194" s="31" t="b">
        <x:v>1</x:v>
      </x:c>
      <x:c r="T194" s="27" t="str">
        <x:v>ASM-2026-028</x:v>
      </x:c>
      <x:c r="U194" s="27" t="str">
        <x:v>HZ-2026-028-01</x:v>
      </x:c>
    </x:row>
    <x:row r="195">
      <x:c r="A195" s="28" t="str">
        <x:v>Medical Records</x:v>
      </x:c>
      <x:c r="B195" s="37" t="n">
        <x:v>46122</x:v>
      </x:c>
      <x:c r="C195" s="26" t="str">
        <x:v>RAH01-2026-028</x:v>
      </x:c>
      <x:c r="D195" s="36" t="n">
        <x:v>2</x:v>
      </x:c>
      <x:c r="E195" s="26" t="str">
        <x:v>Physical Hazards</x:v>
      </x:c>
      <x:c r="F195" s="26" t="str">
        <x:v>Heat</x:v>
      </x:c>
      <x:c r="G195" s="35" t="n">
        <x:v>4</x:v>
      </x:c>
      <x:c r="H195" s="35" t="n">
        <x:v>2</x:v>
      </x:c>
      <x:c r="I195" s="35" t="n">
        <x:v>2</x:v>
      </x:c>
      <x:c r="J195" s="35" t="n">
        <x:v>3</x:v>
      </x:c>
      <x:c r="K195" s="36" t="n">
        <x:f>IF(AND(S195=TRUE,ISNUMBER(I195),I195=INT(I195),I195&gt;=1,I195&lt;=3,ISNUMBER(J195),J195=INT(J195),J195&gt;=1,J195&lt;=3),I195*J195,"")</x:f>
        <x:v>6</x:v>
      </x:c>
      <x:c r="L195" s="26" t="str">
        <x:f>IF(K195="","",IF(K195&lt;=2,"LOW",IF(K195&lt;=4,"MEDIUM","HIGH")))</x:f>
        <x:v>HIGH</x:v>
      </x:c>
      <x:c r="M195" s="25" t="str">
        <x:v>Engineering controls, preventive maintenance, posted limits, and periodic exposure monitoring are in place.</x:v>
      </x:c>
      <x:c r="N195" s="25" t="str">
        <x:v>Measure exposure against the hospital standard and close any engineering-control gap within 90 days.</x:v>
      </x:c>
      <x:c r="O195" s="30" t="b">
        <x:v>0</x:v>
      </x:c>
      <x:c r="P195" s="27" t="str">
        <x:v>PHYSICAL</x:v>
      </x:c>
      <x:c r="Q195" s="27" t="str">
        <x:v>heat</x:v>
      </x:c>
      <x:c r="R195" s="27" t="str"/>
      <x:c r="S195" s="31" t="b">
        <x:v>1</x:v>
      </x:c>
      <x:c r="T195" s="27" t="str">
        <x:v>ASM-2026-028</x:v>
      </x:c>
      <x:c r="U195" s="27" t="str">
        <x:v>HZ-2026-028-02</x:v>
      </x:c>
    </x:row>
    <x:row r="196">
      <x:c r="A196" s="28" t="str">
        <x:v>Medical Records</x:v>
      </x:c>
      <x:c r="B196" s="37" t="n">
        <x:v>46122</x:v>
      </x:c>
      <x:c r="C196" s="26" t="str">
        <x:v>RAH01-2026-028</x:v>
      </x:c>
      <x:c r="D196" s="36" t="n">
        <x:v>3</x:v>
      </x:c>
      <x:c r="E196" s="26" t="str">
        <x:v>Safety and Accident Hazards</x:v>
      </x:c>
      <x:c r="F196" s="26" t="str">
        <x:v>Work with Hot Objects</x:v>
      </x:c>
      <x:c r="G196" s="35" t="n">
        <x:v>7</x:v>
      </x:c>
      <x:c r="H196" s="35" t="n">
        <x:v>0</x:v>
      </x:c>
      <x:c r="I196" s="35" t="n">
        <x:v>3</x:v>
      </x:c>
      <x:c r="J196" s="35" t="n">
        <x:v>3</x:v>
      </x:c>
      <x:c r="K196" s="36" t="n">
        <x:f>IF(AND(S196=TRUE,ISNUMBER(I196),I196=INT(I196),I196&gt;=1,I196&lt;=3,ISNUMBER(J196),J196=INT(J196),J196&gt;=1,J196&lt;=3),I196*J196,"")</x:f>
        <x:v>9</x:v>
      </x:c>
      <x:c r="L196" s="26" t="str">
        <x:f>IF(K196="","",IF(K196&lt;=2,"LOW",IF(K196&lt;=4,"MEDIUM","HIGH")))</x:f>
        <x:v>HIGH</x:v>
      </x:c>
      <x:c r="M196" s="25" t="str">
        <x:v>Safe-work procedures, inspection, housekeeping, guards, and incident reporting are implemented.</x:v>
      </x:c>
      <x:c r="N196" s="25" t="str">
        <x:v>Correct the unsafe condition, document ownership, and verify effectiveness through a follow-up inspection.</x:v>
      </x:c>
      <x:c r="O196" s="30" t="b">
        <x:v>1</x:v>
      </x:c>
      <x:c r="P196" s="27" t="str">
        <x:v>SAFETY_ACCIDENT</x:v>
      </x:c>
      <x:c r="Q196" s="27" t="str">
        <x:v>hot_objects</x:v>
      </x:c>
      <x:c r="R196" s="27" t="str"/>
      <x:c r="S196" s="31" t="b">
        <x:v>1</x:v>
      </x:c>
      <x:c r="T196" s="27" t="str">
        <x:v>ASM-2026-028</x:v>
      </x:c>
      <x:c r="U196" s="27" t="str">
        <x:v>HZ-2026-028-03</x:v>
      </x:c>
    </x:row>
    <x:row r="197">
      <x:c r="A197" s="28" t="str">
        <x:v>Medical Records</x:v>
      </x:c>
      <x:c r="B197" s="37" t="n">
        <x:v>46122</x:v>
      </x:c>
      <x:c r="C197" s="26" t="str">
        <x:v>RAH01-2026-028</x:v>
      </x:c>
      <x:c r="D197" s="36" t="n">
        <x:v>4</x:v>
      </x:c>
      <x:c r="E197" s="26" t="str">
        <x:v>Safety and Accident Hazards</x:v>
      </x:c>
      <x:c r="F197" s="26" t="str">
        <x:v>Slippery Surface</x:v>
      </x:c>
      <x:c r="G197" s="35" t="n">
        <x:v>10</x:v>
      </x:c>
      <x:c r="H197" s="35" t="n">
        <x:v>1</x:v>
      </x:c>
      <x:c r="I197" s="35" t="n">
        <x:v>3</x:v>
      </x:c>
      <x:c r="J197" s="35" t="n">
        <x:v>2</x:v>
      </x:c>
      <x:c r="K197" s="36" t="n">
        <x:f>IF(AND(S197=TRUE,ISNUMBER(I197),I197=INT(I197),I197&gt;=1,I197&lt;=3,ISNUMBER(J197),J197=INT(J197),J197&gt;=1,J197&lt;=3),I197*J197,"")</x:f>
        <x:v>6</x:v>
      </x:c>
      <x:c r="L197" s="26" t="str">
        <x:f>IF(K197="","",IF(K197&lt;=2,"LOW",IF(K197&lt;=4,"MEDIUM","HIGH")))</x:f>
        <x:v>HIGH</x:v>
      </x:c>
      <x:c r="M197" s="25" t="str">
        <x:v>Safe-work procedures, inspection, housekeeping, guards, and incident reporting are implemented.</x:v>
      </x:c>
      <x:c r="N197" s="25" t="str">
        <x:v>Correct the unsafe condition, document ownership, and verify effectiveness through a follow-up inspection.</x:v>
      </x:c>
      <x:c r="O197" s="30" t="b">
        <x:v>0</x:v>
      </x:c>
      <x:c r="P197" s="27" t="str">
        <x:v>SAFETY_ACCIDENT</x:v>
      </x:c>
      <x:c r="Q197" s="27" t="str">
        <x:v>slippery_surface</x:v>
      </x:c>
      <x:c r="R197" s="27" t="str"/>
      <x:c r="S197" s="31" t="b">
        <x:v>1</x:v>
      </x:c>
      <x:c r="T197" s="27" t="str">
        <x:v>ASM-2026-028</x:v>
      </x:c>
      <x:c r="U197" s="27" t="str">
        <x:v>HZ-2026-028-04</x:v>
      </x:c>
    </x:row>
    <x:row r="198">
      <x:c r="A198" s="28" t="str">
        <x:v>Medical Records</x:v>
      </x:c>
      <x:c r="B198" s="37" t="n">
        <x:v>46122</x:v>
      </x:c>
      <x:c r="C198" s="26" t="str">
        <x:v>RAH01-2026-028</x:v>
      </x:c>
      <x:c r="D198" s="36" t="n">
        <x:v>5</x:v>
      </x:c>
      <x:c r="E198" s="26" t="str">
        <x:v>Ergonomic Hazards</x:v>
      </x:c>
      <x:c r="F198" s="26" t="str">
        <x:v>Repetitive Tasks</x:v>
      </x:c>
      <x:c r="G198" s="35" t="n">
        <x:v>13</x:v>
      </x:c>
      <x:c r="H198" s="35" t="n">
        <x:v>2</x:v>
      </x:c>
      <x:c r="I198" s="35" t="n">
        <x:v>2</x:v>
      </x:c>
      <x:c r="J198" s="35" t="n">
        <x:v>3</x:v>
      </x:c>
      <x:c r="K198" s="36" t="n">
        <x:f>IF(AND(S198=TRUE,ISNUMBER(I198),I198=INT(I198),I198&gt;=1,I198&lt;=3,ISNUMBER(J198),J198=INT(J198),J198&gt;=1,J198&lt;=3),I198*J198,"")</x:f>
        <x:v>6</x:v>
      </x:c>
      <x:c r="L198" s="26" t="str">
        <x:f>IF(K198="","",IF(K198&lt;=2,"LOW",IF(K198&lt;=4,"MEDIUM","HIGH")))</x:f>
        <x:v>HIGH</x:v>
      </x:c>
      <x:c r="M198" s="25" t="str">
        <x:v>Task rotation, adjustable equipment, team lifting, and safe-patient-handling guidance are used.</x:v>
      </x:c>
      <x:c r="N198" s="25" t="str">
        <x:v>Complete an ergonomic task assessment and implement equipment or workflow changes to reduce force and repetition.</x:v>
      </x:c>
      <x:c r="O198" s="30" t="b">
        <x:v>0</x:v>
      </x:c>
      <x:c r="P198" s="27" t="str">
        <x:v>ERGONOMIC</x:v>
      </x:c>
      <x:c r="Q198" s="27" t="str">
        <x:v>repetitive_tasks</x:v>
      </x:c>
      <x:c r="R198" s="27" t="str"/>
      <x:c r="S198" s="31" t="b">
        <x:v>1</x:v>
      </x:c>
      <x:c r="T198" s="27" t="str">
        <x:v>ASM-2026-028</x:v>
      </x:c>
      <x:c r="U198" s="27" t="str">
        <x:v>HZ-2026-028-05</x:v>
      </x:c>
    </x:row>
    <x:row r="199">
      <x:c r="A199" s="28" t="str">
        <x:v>Medical Records</x:v>
      </x:c>
      <x:c r="B199" s="37" t="n">
        <x:v>46122</x:v>
      </x:c>
      <x:c r="C199" s="26" t="str">
        <x:v>RAH01-2026-028</x:v>
      </x:c>
      <x:c r="D199" s="36" t="n">
        <x:v>6</x:v>
      </x:c>
      <x:c r="E199" s="26" t="str">
        <x:v>Chemical Hazards</x:v>
      </x:c>
      <x:c r="F199" s="26" t="str">
        <x:v>Floor Cleaner</x:v>
      </x:c>
      <x:c r="G199" s="35" t="n">
        <x:v>16</x:v>
      </x:c>
      <x:c r="H199" s="35" t="n">
        <x:v>0</x:v>
      </x:c>
      <x:c r="I199" s="35" t="n">
        <x:v>3</x:v>
      </x:c>
      <x:c r="J199" s="35" t="n">
        <x:v>3</x:v>
      </x:c>
      <x:c r="K199" s="36" t="n">
        <x:f>IF(AND(S199=TRUE,ISNUMBER(I199),I199=INT(I199),I199&gt;=1,I199&lt;=3,ISNUMBER(J199),J199=INT(J199),J199&gt;=1,J199&lt;=3),I199*J199,"")</x:f>
        <x:v>9</x:v>
      </x:c>
      <x:c r="L199" s="26" t="str">
        <x:f>IF(K199="","",IF(K199&lt;=2,"LOW",IF(K199&lt;=4,"MEDIUM","HIGH")))</x:f>
        <x:v>HIGH</x:v>
      </x:c>
      <x:c r="M199" s="25" t="str">
        <x:v>Safety data, labeled containers, local procedures, ventilation, and chemical-resistant PPE are available.</x:v>
      </x:c>
      <x:c r="N199" s="25" t="str">
        <x:v>Review substitution, ventilation, storage, spill response, and staff competency for this chemical task.</x:v>
      </x:c>
      <x:c r="O199" s="30" t="b">
        <x:v>1</x:v>
      </x:c>
      <x:c r="P199" s="27" t="str">
        <x:v>CHEMICAL</x:v>
      </x:c>
      <x:c r="Q199" s="27" t="str">
        <x:v>floor_cleaner</x:v>
      </x:c>
      <x:c r="R199" s="27" t="str"/>
      <x:c r="S199" s="31" t="b">
        <x:v>1</x:v>
      </x:c>
      <x:c r="T199" s="27" t="str">
        <x:v>ASM-2026-028</x:v>
      </x:c>
      <x:c r="U199" s="27" t="str">
        <x:v>HZ-2026-028-06</x:v>
      </x:c>
    </x:row>
    <x:row r="200">
      <x:c r="A200" s="28" t="str">
        <x:v>Medical Records</x:v>
      </x:c>
      <x:c r="B200" s="37" t="n">
        <x:v>46122</x:v>
      </x:c>
      <x:c r="C200" s="26" t="str">
        <x:v>RAH01-2026-028</x:v>
      </x:c>
      <x:c r="D200" s="36" t="n">
        <x:v>7</x:v>
      </x:c>
      <x:c r="E200" s="26" t="str">
        <x:v>Indoor Air Quality Hazards</x:v>
      </x:c>
      <x:c r="F200" s="26" t="str">
        <x:v>Dust</x:v>
      </x:c>
      <x:c r="G200" s="35" t="n">
        <x:v>19</x:v>
      </x:c>
      <x:c r="H200" s="35" t="n">
        <x:v>1</x:v>
      </x:c>
      <x:c r="I200" s="35" t="n">
        <x:v>3</x:v>
      </x:c>
      <x:c r="J200" s="35" t="n">
        <x:v>2</x:v>
      </x:c>
      <x:c r="K200" s="36" t="n">
        <x:f>IF(AND(S200=TRUE,ISNUMBER(I200),I200=INT(I200),I200&gt;=1,I200&lt;=3,ISNUMBER(J200),J200=INT(J200),J200&gt;=1,J200&lt;=3),I200*J200,"")</x:f>
        <x:v>6</x:v>
      </x:c>
      <x:c r="L200" s="26" t="str">
        <x:f>IF(K200="","",IF(K200&lt;=2,"LOW",IF(K200&lt;=4,"MEDIUM","HIGH")))</x:f>
        <x:v>HIGH</x:v>
      </x:c>
      <x:c r="M200" s="25" t="str">
        <x:v>Ventilation, cleaning, occupancy management, and environmental inspection are performed.</x:v>
      </x:c>
      <x:c r="N200" s="25" t="str">
        <x:v>Inspect ventilation and moisture sources, then document corrective action and environmental recheck.</x:v>
      </x:c>
      <x:c r="O200" s="30" t="b">
        <x:v>0</x:v>
      </x:c>
      <x:c r="P200" s="27" t="str">
        <x:v>INDOOR_AIR_QUALITY</x:v>
      </x:c>
      <x:c r="Q200" s="27" t="str">
        <x:v>dust</x:v>
      </x:c>
      <x:c r="R200" s="27" t="str"/>
      <x:c r="S200" s="31" t="b">
        <x:v>1</x:v>
      </x:c>
      <x:c r="T200" s="27" t="str">
        <x:v>ASM-2026-028</x:v>
      </x:c>
      <x:c r="U200" s="27" t="str">
        <x:v>HZ-2026-028-07</x:v>
      </x:c>
    </x:row>
    <x:row r="201">
      <x:c r="A201" s="28" t="str">
        <x:v>Neonatal ICU</x:v>
      </x:c>
      <x:c r="B201" s="37" t="n">
        <x:v>46155</x:v>
      </x:c>
      <x:c r="C201" s="26" t="str">
        <x:v>RAH01-2026-029</x:v>
      </x:c>
      <x:c r="D201" s="36" t="n">
        <x:v>1</x:v>
      </x:c>
      <x:c r="E201" s="26" t="str">
        <x:v>Ergonomic Hazards</x:v>
      </x:c>
      <x:c r="F201" s="26" t="str">
        <x:v>Prolonged Standing or Sitting</x:v>
      </x:c>
      <x:c r="G201" s="35" t="n">
        <x:v>24</x:v>
      </x:c>
      <x:c r="H201" s="35" t="n">
        <x:v>2</x:v>
      </x:c>
      <x:c r="I201" s="35" t="n">
        <x:v>2</x:v>
      </x:c>
      <x:c r="J201" s="35" t="n">
        <x:v>1</x:v>
      </x:c>
      <x:c r="K201" s="36" t="n">
        <x:f>IF(AND(S201=TRUE,ISNUMBER(I201),I201=INT(I201),I201&gt;=1,I201&lt;=3,ISNUMBER(J201),J201=INT(J201),J201&gt;=1,J201&lt;=3),I201*J201,"")</x:f>
        <x:v>2</x:v>
      </x:c>
      <x:c r="L201" s="26" t="str">
        <x:f>IF(K201="","",IF(K201&lt;=2,"LOW",IF(K201&lt;=4,"MEDIUM","HIGH")))</x:f>
        <x:v>LOW</x:v>
      </x:c>
      <x:c r="M201" s="25" t="str">
        <x:v>Task rotation, adjustable equipment, team lifting, and safe-patient-handling guidance are used.</x:v>
      </x:c>
      <x:c r="N201" s="25" t="str"/>
      <x:c r="O201" s="30" t="b">
        <x:v>0</x:v>
      </x:c>
      <x:c r="P201" s="27" t="str">
        <x:v>ERGONOMIC</x:v>
      </x:c>
      <x:c r="Q201" s="27" t="str">
        <x:v>prolonged_standing_sitting</x:v>
      </x:c>
      <x:c r="R201" s="27" t="str"/>
      <x:c r="S201" s="31" t="b">
        <x:v>1</x:v>
      </x:c>
      <x:c r="T201" s="27" t="str">
        <x:v>ASM-2026-029</x:v>
      </x:c>
      <x:c r="U201" s="27" t="str">
        <x:v>HZ-2026-029-01</x:v>
      </x:c>
    </x:row>
    <x:row r="202">
      <x:c r="A202" s="28" t="str">
        <x:v>Neonatal ICU</x:v>
      </x:c>
      <x:c r="B202" s="37" t="n">
        <x:v>46155</x:v>
      </x:c>
      <x:c r="C202" s="26" t="str">
        <x:v>RAH01-2026-029</x:v>
      </x:c>
      <x:c r="D202" s="36" t="n">
        <x:v>2</x:v>
      </x:c>
      <x:c r="E202" s="26" t="str">
        <x:v>Ergonomic Hazards</x:v>
      </x:c>
      <x:c r="F202" s="26" t="str">
        <x:v>Unsuitable Desk or Chair</x:v>
      </x:c>
      <x:c r="G202" s="35" t="n">
        <x:v>27</x:v>
      </x:c>
      <x:c r="H202" s="35" t="n">
        <x:v>0</x:v>
      </x:c>
      <x:c r="I202" s="35" t="n">
        <x:v>1</x:v>
      </x:c>
      <x:c r="J202" s="35" t="n">
        <x:v>2</x:v>
      </x:c>
      <x:c r="K202" s="36" t="n">
        <x:f>IF(AND(S202=TRUE,ISNUMBER(I202),I202=INT(I202),I202&gt;=1,I202&lt;=3,ISNUMBER(J202),J202=INT(J202),J202&gt;=1,J202&lt;=3),I202*J202,"")</x:f>
        <x:v>2</x:v>
      </x:c>
      <x:c r="L202" s="26" t="str">
        <x:f>IF(K202="","",IF(K202&lt;=2,"LOW",IF(K202&lt;=4,"MEDIUM","HIGH")))</x:f>
        <x:v>LOW</x:v>
      </x:c>
      <x:c r="M202" s="25" t="str">
        <x:v>Task rotation, adjustable equipment, team lifting, and safe-patient-handling guidance are used.</x:v>
      </x:c>
      <x:c r="N202" s="25" t="str"/>
      <x:c r="O202" s="30" t="b">
        <x:v>0</x:v>
      </x:c>
      <x:c r="P202" s="27" t="str">
        <x:v>ERGONOMIC</x:v>
      </x:c>
      <x:c r="Q202" s="27" t="str">
        <x:v>unsuitable_desk_chair</x:v>
      </x:c>
      <x:c r="R202" s="27" t="str"/>
      <x:c r="S202" s="31" t="b">
        <x:v>1</x:v>
      </x:c>
      <x:c r="T202" s="27" t="str">
        <x:v>ASM-2026-029</x:v>
      </x:c>
      <x:c r="U202" s="27" t="str">
        <x:v>HZ-2026-029-02</x:v>
      </x:c>
    </x:row>
    <x:row r="203">
      <x:c r="A203" s="28" t="str">
        <x:v>Neonatal ICU</x:v>
      </x:c>
      <x:c r="B203" s="37" t="n">
        <x:v>46155</x:v>
      </x:c>
      <x:c r="C203" s="26" t="str">
        <x:v>RAH01-2026-029</x:v>
      </x:c>
      <x:c r="D203" s="36" t="n">
        <x:v>3</x:v>
      </x:c>
      <x:c r="E203" s="26" t="str">
        <x:v>Ergonomic Hazards</x:v>
      </x:c>
      <x:c r="F203" s="26" t="str">
        <x:v>Repetitive Tasks</x:v>
      </x:c>
      <x:c r="G203" s="35" t="n">
        <x:v>30</x:v>
      </x:c>
      <x:c r="H203" s="35" t="n">
        <x:v>1</x:v>
      </x:c>
      <x:c r="I203" s="35" t="n">
        <x:v>1</x:v>
      </x:c>
      <x:c r="J203" s="35" t="n">
        <x:v>1</x:v>
      </x:c>
      <x:c r="K203" s="36" t="n">
        <x:f>IF(AND(S203=TRUE,ISNUMBER(I203),I203=INT(I203),I203&gt;=1,I203&lt;=3,ISNUMBER(J203),J203=INT(J203),J203&gt;=1,J203&lt;=3),I203*J203,"")</x:f>
        <x:v>1</x:v>
      </x:c>
      <x:c r="L203" s="26" t="str">
        <x:f>IF(K203="","",IF(K203&lt;=2,"LOW",IF(K203&lt;=4,"MEDIUM","HIGH")))</x:f>
        <x:v>LOW</x:v>
      </x:c>
      <x:c r="M203" s="25" t="str">
        <x:v>Task rotation, adjustable equipment, team lifting, and safe-patient-handling guidance are used.</x:v>
      </x:c>
      <x:c r="N203" s="25" t="str"/>
      <x:c r="O203" s="30" t="b">
        <x:v>0</x:v>
      </x:c>
      <x:c r="P203" s="27" t="str">
        <x:v>ERGONOMIC</x:v>
      </x:c>
      <x:c r="Q203" s="27" t="str">
        <x:v>repetitive_tasks</x:v>
      </x:c>
      <x:c r="R203" s="27" t="str"/>
      <x:c r="S203" s="31" t="b">
        <x:v>1</x:v>
      </x:c>
      <x:c r="T203" s="27" t="str">
        <x:v>ASM-2026-029</x:v>
      </x:c>
      <x:c r="U203" s="27" t="str">
        <x:v>HZ-2026-029-03</x:v>
      </x:c>
    </x:row>
    <x:row r="204">
      <x:c r="A204" s="28" t="str">
        <x:v>Neonatal ICU</x:v>
      </x:c>
      <x:c r="B204" s="37" t="n">
        <x:v>46155</x:v>
      </x:c>
      <x:c r="C204" s="26" t="str">
        <x:v>RAH01-2026-029</x:v>
      </x:c>
      <x:c r="D204" s="36" t="n">
        <x:v>4</x:v>
      </x:c>
      <x:c r="E204" s="26" t="str">
        <x:v>Psychosocial Hazards</x:v>
      </x:c>
      <x:c r="F204" s="26" t="str">
        <x:v>Work Stress</x:v>
      </x:c>
      <x:c r="G204" s="35" t="n">
        <x:v>33</x:v>
      </x:c>
      <x:c r="H204" s="35" t="n">
        <x:v>2</x:v>
      </x:c>
      <x:c r="I204" s="35" t="n">
        <x:v>2</x:v>
      </x:c>
      <x:c r="J204" s="35" t="n">
        <x:v>1</x:v>
      </x:c>
      <x:c r="K204" s="36" t="n">
        <x:f>IF(AND(S204=TRUE,ISNUMBER(I204),I204=INT(I204),I204&gt;=1,I204&lt;=3,ISNUMBER(J204),J204=INT(J204),J204&gt;=1,J204&lt;=3),I204*J204,"")</x:f>
        <x:v>2</x:v>
      </x:c>
      <x:c r="L204" s="26" t="str">
        <x:f>IF(K204="","",IF(K204&lt;=2,"LOW",IF(K204&lt;=4,"MEDIUM","HIGH")))</x:f>
        <x:v>LOW</x:v>
      </x:c>
      <x:c r="M204" s="25" t="str">
        <x:v>Shift planning, escalation pathways, security support, breaks, and supervisor check-ins are available.</x:v>
      </x:c>
      <x:c r="N204" s="25" t="str"/>
      <x:c r="O204" s="30" t="b">
        <x:v>0</x:v>
      </x:c>
      <x:c r="P204" s="27" t="str">
        <x:v>PSYCHOSOCIAL</x:v>
      </x:c>
      <x:c r="Q204" s="27" t="str">
        <x:v>work_stress</x:v>
      </x:c>
      <x:c r="R204" s="27" t="str"/>
      <x:c r="S204" s="31" t="b">
        <x:v>1</x:v>
      </x:c>
      <x:c r="T204" s="27" t="str">
        <x:v>ASM-2026-029</x:v>
      </x:c>
      <x:c r="U204" s="27" t="str">
        <x:v>HZ-2026-029-04</x:v>
      </x:c>
    </x:row>
    <x:row r="205">
      <x:c r="A205" s="28" t="str">
        <x:v>Neonatal ICU</x:v>
      </x:c>
      <x:c r="B205" s="37" t="n">
        <x:v>46155</x:v>
      </x:c>
      <x:c r="C205" s="26" t="str">
        <x:v>RAH01-2026-029</x:v>
      </x:c>
      <x:c r="D205" s="36" t="n">
        <x:v>5</x:v>
      </x:c>
      <x:c r="E205" s="26" t="str">
        <x:v>Physical Hazards</x:v>
      </x:c>
      <x:c r="F205" s="26" t="str">
        <x:v>Lighting</x:v>
      </x:c>
      <x:c r="G205" s="35" t="n">
        <x:v>1</x:v>
      </x:c>
      <x:c r="H205" s="35" t="n">
        <x:v>0</x:v>
      </x:c>
      <x:c r="I205" s="35" t="n">
        <x:v>1</x:v>
      </x:c>
      <x:c r="J205" s="35" t="n">
        <x:v>2</x:v>
      </x:c>
      <x:c r="K205" s="36" t="n">
        <x:f>IF(AND(S205=TRUE,ISNUMBER(I205),I205=INT(I205),I205&gt;=1,I205&lt;=3,ISNUMBER(J205),J205=INT(J205),J205&gt;=1,J205&lt;=3),I205*J205,"")</x:f>
        <x:v>2</x:v>
      </x:c>
      <x:c r="L205" s="26" t="str">
        <x:f>IF(K205="","",IF(K205&lt;=2,"LOW",IF(K205&lt;=4,"MEDIUM","HIGH")))</x:f>
        <x:v>LOW</x:v>
      </x:c>
      <x:c r="M205" s="25" t="str">
        <x:v>Engineering controls, preventive maintenance, posted limits, and periodic exposure monitoring are in place.</x:v>
      </x:c>
      <x:c r="N205" s="25" t="str"/>
      <x:c r="O205" s="30" t="b">
        <x:v>0</x:v>
      </x:c>
      <x:c r="P205" s="27" t="str">
        <x:v>PHYSICAL</x:v>
      </x:c>
      <x:c r="Q205" s="27" t="str">
        <x:v>lighting</x:v>
      </x:c>
      <x:c r="R205" s="27" t="str"/>
      <x:c r="S205" s="31" t="b">
        <x:v>1</x:v>
      </x:c>
      <x:c r="T205" s="27" t="str">
        <x:v>ASM-2026-029</x:v>
      </x:c>
      <x:c r="U205" s="27" t="str">
        <x:v>HZ-2026-029-05</x:v>
      </x:c>
    </x:row>
    <x:row r="206">
      <x:c r="A206" s="28" t="str">
        <x:v>Neonatal ICU</x:v>
      </x:c>
      <x:c r="B206" s="37" t="n">
        <x:v>46155</x:v>
      </x:c>
      <x:c r="C206" s="26" t="str">
        <x:v>RAH01-2026-029</x:v>
      </x:c>
      <x:c r="D206" s="36" t="n">
        <x:v>6</x:v>
      </x:c>
      <x:c r="E206" s="26" t="str">
        <x:v>Fire and Disaster Hazards</x:v>
      </x:c>
      <x:c r="F206" s="26" t="str">
        <x:v>Electrical Equipment</x:v>
      </x:c>
      <x:c r="G206" s="35" t="n">
        <x:v>4</x:v>
      </x:c>
      <x:c r="H206" s="35" t="n">
        <x:v>1</x:v>
      </x:c>
      <x:c r="I206" s="35" t="n">
        <x:v>1</x:v>
      </x:c>
      <x:c r="J206" s="35" t="n">
        <x:v>1</x:v>
      </x:c>
      <x:c r="K206" s="36" t="n">
        <x:f>IF(AND(S206=TRUE,ISNUMBER(I206),I206=INT(I206),I206&gt;=1,I206&lt;=3,ISNUMBER(J206),J206=INT(J206),J206&gt;=1,J206&lt;=3),I206*J206,"")</x:f>
        <x:v>1</x:v>
      </x:c>
      <x:c r="L206" s="26" t="str">
        <x:f>IF(K206="","",IF(K206&lt;=2,"LOW",IF(K206&lt;=4,"MEDIUM","HIGH")))</x:f>
        <x:v>LOW</x:v>
      </x:c>
      <x:c r="M206" s="25" t="str">
        <x:v>Electrical inspection, isolation procedures, alarms, extinguishers, and emergency response plans are maintained.</x:v>
      </x:c>
      <x:c r="N206" s="25" t="str"/>
      <x:c r="O206" s="30" t="b">
        <x:v>0</x:v>
      </x:c>
      <x:c r="P206" s="27" t="str">
        <x:v>FIRE_DISASTER</x:v>
      </x:c>
      <x:c r="Q206" s="27" t="str">
        <x:v>electrical_equipment</x:v>
      </x:c>
      <x:c r="R206" s="27" t="str"/>
      <x:c r="S206" s="31" t="b">
        <x:v>1</x:v>
      </x:c>
      <x:c r="T206" s="27" t="str">
        <x:v>ASM-2026-029</x:v>
      </x:c>
      <x:c r="U206" s="27" t="str">
        <x:v>HZ-2026-029-06</x:v>
      </x:c>
    </x:row>
    <x:row r="207">
      <x:c r="A207" s="28" t="str">
        <x:v>Neurology</x:v>
      </x:c>
      <x:c r="B207" s="37" t="n">
        <x:v>46189</x:v>
      </x:c>
      <x:c r="C207" s="26" t="str">
        <x:v>RAH01-2026-030</x:v>
      </x:c>
      <x:c r="D207" s="36" t="n">
        <x:v>1</x:v>
      </x:c>
      <x:c r="E207" s="26" t="str">
        <x:v>Ergonomic Hazards</x:v>
      </x:c>
      <x:c r="F207" s="26" t="str">
        <x:v>Prolonged Standing or Sitting</x:v>
      </x:c>
      <x:c r="G207" s="35" t="n">
        <x:v>19</x:v>
      </x:c>
      <x:c r="H207" s="35" t="n">
        <x:v>0</x:v>
      </x:c>
      <x:c r="I207" s="35" t="n">
        <x:v>1</x:v>
      </x:c>
      <x:c r="J207" s="35" t="n">
        <x:v>3</x:v>
      </x:c>
      <x:c r="K207" s="36" t="n">
        <x:f>IF(AND(S207=TRUE,ISNUMBER(I207),I207=INT(I207),I207&gt;=1,I207&lt;=3,ISNUMBER(J207),J207=INT(J207),J207&gt;=1,J207&lt;=3),I207*J207,"")</x:f>
        <x:v>3</x:v>
      </x:c>
      <x:c r="L207" s="26" t="str">
        <x:f>IF(K207="","",IF(K207&lt;=2,"LOW",IF(K207&lt;=4,"MEDIUM","HIGH")))</x:f>
        <x:v>MEDIUM</x:v>
      </x:c>
      <x:c r="M207" s="25" t="str">
        <x:v>Task rotation, adjustable equipment, team lifting, and safe-patient-handling guidance are used.</x:v>
      </x:c>
      <x:c r="N207" s="25" t="str">
        <x:v>Complete an ergonomic task assessment and implement equipment or workflow changes to reduce force and repetition.</x:v>
      </x:c>
      <x:c r="O207" s="30" t="b">
        <x:v>0</x:v>
      </x:c>
      <x:c r="P207" s="27" t="str">
        <x:v>ERGONOMIC</x:v>
      </x:c>
      <x:c r="Q207" s="27" t="str">
        <x:v>prolonged_standing_sitting</x:v>
      </x:c>
      <x:c r="R207" s="27" t="str"/>
      <x:c r="S207" s="31" t="b">
        <x:v>1</x:v>
      </x:c>
      <x:c r="T207" s="27" t="str">
        <x:v>ASM-2026-030</x:v>
      </x:c>
      <x:c r="U207" s="27" t="str">
        <x:v>HZ-2026-030-01</x:v>
      </x:c>
    </x:row>
    <x:row r="208">
      <x:c r="A208" s="28" t="str">
        <x:v>Neurology</x:v>
      </x:c>
      <x:c r="B208" s="37" t="n">
        <x:v>46189</x:v>
      </x:c>
      <x:c r="C208" s="26" t="str">
        <x:v>RAH01-2026-030</x:v>
      </x:c>
      <x:c r="D208" s="36" t="n">
        <x:v>2</x:v>
      </x:c>
      <x:c r="E208" s="26" t="str">
        <x:v>Ergonomic Hazards</x:v>
      </x:c>
      <x:c r="F208" s="26" t="str">
        <x:v>Unsuitable Desk or Chair</x:v>
      </x:c>
      <x:c r="G208" s="35" t="n">
        <x:v>22</x:v>
      </x:c>
      <x:c r="H208" s="35" t="n">
        <x:v>1</x:v>
      </x:c>
      <x:c r="I208" s="35" t="n">
        <x:v>3</x:v>
      </x:c>
      <x:c r="J208" s="35" t="n">
        <x:v>1</x:v>
      </x:c>
      <x:c r="K208" s="36" t="n">
        <x:f>IF(AND(S208=TRUE,ISNUMBER(I208),I208=INT(I208),I208&gt;=1,I208&lt;=3,ISNUMBER(J208),J208=INT(J208),J208&gt;=1,J208&lt;=3),I208*J208,"")</x:f>
        <x:v>3</x:v>
      </x:c>
      <x:c r="L208" s="26" t="str">
        <x:f>IF(K208="","",IF(K208&lt;=2,"LOW",IF(K208&lt;=4,"MEDIUM","HIGH")))</x:f>
        <x:v>MEDIUM</x:v>
      </x:c>
      <x:c r="M208" s="25" t="str">
        <x:v>Task rotation, adjustable equipment, team lifting, and safe-patient-handling guidance are used.</x:v>
      </x:c>
      <x:c r="N208" s="25" t="str">
        <x:v>Complete an ergonomic task assessment and implement equipment or workflow changes to reduce force and repetition.</x:v>
      </x:c>
      <x:c r="O208" s="30" t="b">
        <x:v>0</x:v>
      </x:c>
      <x:c r="P208" s="27" t="str">
        <x:v>ERGONOMIC</x:v>
      </x:c>
      <x:c r="Q208" s="27" t="str">
        <x:v>unsuitable_desk_chair</x:v>
      </x:c>
      <x:c r="R208" s="27" t="str"/>
      <x:c r="S208" s="31" t="b">
        <x:v>1</x:v>
      </x:c>
      <x:c r="T208" s="27" t="str">
        <x:v>ASM-2026-030</x:v>
      </x:c>
      <x:c r="U208" s="27" t="str">
        <x:v>HZ-2026-030-02</x:v>
      </x:c>
    </x:row>
    <x:row r="209">
      <x:c r="A209" s="28" t="str">
        <x:v>Neurology</x:v>
      </x:c>
      <x:c r="B209" s="37" t="n">
        <x:v>46189</x:v>
      </x:c>
      <x:c r="C209" s="26" t="str">
        <x:v>RAH01-2026-030</x:v>
      </x:c>
      <x:c r="D209" s="36" t="n">
        <x:v>3</x:v>
      </x:c>
      <x:c r="E209" s="26" t="str">
        <x:v>Ergonomic Hazards</x:v>
      </x:c>
      <x:c r="F209" s="26" t="str">
        <x:v>Repetitive Tasks</x:v>
      </x:c>
      <x:c r="G209" s="35" t="n">
        <x:v>25</x:v>
      </x:c>
      <x:c r="H209" s="35" t="n">
        <x:v>2</x:v>
      </x:c>
      <x:c r="I209" s="35" t="n">
        <x:v>2</x:v>
      </x:c>
      <x:c r="J209" s="35" t="n">
        <x:v>2</x:v>
      </x:c>
      <x:c r="K209" s="36" t="n">
        <x:f>IF(AND(S209=TRUE,ISNUMBER(I209),I209=INT(I209),I209&gt;=1,I209&lt;=3,ISNUMBER(J209),J209=INT(J209),J209&gt;=1,J209&lt;=3),I209*J209,"")</x:f>
        <x:v>4</x:v>
      </x:c>
      <x:c r="L209" s="26" t="str">
        <x:f>IF(K209="","",IF(K209&lt;=2,"LOW",IF(K209&lt;=4,"MEDIUM","HIGH")))</x:f>
        <x:v>MEDIUM</x:v>
      </x:c>
      <x:c r="M209" s="25" t="str">
        <x:v>Task rotation, adjustable equipment, team lifting, and safe-patient-handling guidance are used.</x:v>
      </x:c>
      <x:c r="N209" s="25" t="str">
        <x:v>Complete an ergonomic task assessment and implement equipment or workflow changes to reduce force and repetition.</x:v>
      </x:c>
      <x:c r="O209" s="30" t="b">
        <x:v>0</x:v>
      </x:c>
      <x:c r="P209" s="27" t="str">
        <x:v>ERGONOMIC</x:v>
      </x:c>
      <x:c r="Q209" s="27" t="str">
        <x:v>repetitive_tasks</x:v>
      </x:c>
      <x:c r="R209" s="27" t="str"/>
      <x:c r="S209" s="31" t="b">
        <x:v>1</x:v>
      </x:c>
      <x:c r="T209" s="27" t="str">
        <x:v>ASM-2026-030</x:v>
      </x:c>
      <x:c r="U209" s="27" t="str">
        <x:v>HZ-2026-030-03</x:v>
      </x:c>
    </x:row>
    <x:row r="210">
      <x:c r="A210" s="28" t="str">
        <x:v>Neurology</x:v>
      </x:c>
      <x:c r="B210" s="37" t="n">
        <x:v>46189</x:v>
      </x:c>
      <x:c r="C210" s="26" t="str">
        <x:v>RAH01-2026-030</x:v>
      </x:c>
      <x:c r="D210" s="36" t="n">
        <x:v>4</x:v>
      </x:c>
      <x:c r="E210" s="26" t="str">
        <x:v>Psychosocial Hazards</x:v>
      </x:c>
      <x:c r="F210" s="26" t="str">
        <x:v>Work Stress</x:v>
      </x:c>
      <x:c r="G210" s="35" t="n">
        <x:v>28</x:v>
      </x:c>
      <x:c r="H210" s="35" t="n">
        <x:v>0</x:v>
      </x:c>
      <x:c r="I210" s="35" t="n">
        <x:v>1</x:v>
      </x:c>
      <x:c r="J210" s="35" t="n">
        <x:v>3</x:v>
      </x:c>
      <x:c r="K210" s="36" t="n">
        <x:f>IF(AND(S210=TRUE,ISNUMBER(I210),I210=INT(I210),I210&gt;=1,I210&lt;=3,ISNUMBER(J210),J210=INT(J210),J210&gt;=1,J210&lt;=3),I210*J210,"")</x:f>
        <x:v>3</x:v>
      </x:c>
      <x:c r="L210" s="26" t="str">
        <x:f>IF(K210="","",IF(K210&lt;=2,"LOW",IF(K210&lt;=4,"MEDIUM","HIGH")))</x:f>
        <x:v>MEDIUM</x:v>
      </x:c>
      <x:c r="M210" s="25" t="str">
        <x:v>Shift planning, escalation pathways, security support, breaks, and supervisor check-ins are available.</x:v>
      </x:c>
      <x:c r="N210" s="25" t="str">
        <x:v>Review staffing, breaks, escalation support, and violence-prevention controls with the department manager.</x:v>
      </x:c>
      <x:c r="O210" s="30" t="b">
        <x:v>0</x:v>
      </x:c>
      <x:c r="P210" s="27" t="str">
        <x:v>PSYCHOSOCIAL</x:v>
      </x:c>
      <x:c r="Q210" s="27" t="str">
        <x:v>work_stress</x:v>
      </x:c>
      <x:c r="R210" s="27" t="str"/>
      <x:c r="S210" s="31" t="b">
        <x:v>1</x:v>
      </x:c>
      <x:c r="T210" s="27" t="str">
        <x:v>ASM-2026-030</x:v>
      </x:c>
      <x:c r="U210" s="27" t="str">
        <x:v>HZ-2026-030-04</x:v>
      </x:c>
    </x:row>
    <x:row r="211">
      <x:c r="A211" s="28" t="str">
        <x:v>Neurology</x:v>
      </x:c>
      <x:c r="B211" s="37" t="n">
        <x:v>46189</x:v>
      </x:c>
      <x:c r="C211" s="26" t="str">
        <x:v>RAH01-2026-030</x:v>
      </x:c>
      <x:c r="D211" s="36" t="n">
        <x:v>5</x:v>
      </x:c>
      <x:c r="E211" s="26" t="str">
        <x:v>Physical Hazards</x:v>
      </x:c>
      <x:c r="F211" s="26" t="str">
        <x:v>Lighting</x:v>
      </x:c>
      <x:c r="G211" s="35" t="n">
        <x:v>31</x:v>
      </x:c>
      <x:c r="H211" s="35" t="n">
        <x:v>1</x:v>
      </x:c>
      <x:c r="I211" s="35" t="n">
        <x:v>3</x:v>
      </x:c>
      <x:c r="J211" s="35" t="n">
        <x:v>1</x:v>
      </x:c>
      <x:c r="K211" s="36" t="n">
        <x:f>IF(AND(S211=TRUE,ISNUMBER(I211),I211=INT(I211),I211&gt;=1,I211&lt;=3,ISNUMBER(J211),J211=INT(J211),J211&gt;=1,J211&lt;=3),I211*J211,"")</x:f>
        <x:v>3</x:v>
      </x:c>
      <x:c r="L211" s="26" t="str">
        <x:f>IF(K211="","",IF(K211&lt;=2,"LOW",IF(K211&lt;=4,"MEDIUM","HIGH")))</x:f>
        <x:v>MEDIUM</x:v>
      </x:c>
      <x:c r="M211" s="25" t="str">
        <x:v>Engineering controls, preventive maintenance, posted limits, and periodic exposure monitoring are in place.</x:v>
      </x:c>
      <x:c r="N211" s="25" t="str">
        <x:v>Measure exposure against the hospital standard and close any engineering-control gap within 90 days.</x:v>
      </x:c>
      <x:c r="O211" s="30" t="b">
        <x:v>0</x:v>
      </x:c>
      <x:c r="P211" s="27" t="str">
        <x:v>PHYSICAL</x:v>
      </x:c>
      <x:c r="Q211" s="27" t="str">
        <x:v>lighting</x:v>
      </x:c>
      <x:c r="R211" s="27" t="str"/>
      <x:c r="S211" s="31" t="b">
        <x:v>1</x:v>
      </x:c>
      <x:c r="T211" s="27" t="str">
        <x:v>ASM-2026-030</x:v>
      </x:c>
      <x:c r="U211" s="27" t="str">
        <x:v>HZ-2026-030-05</x:v>
      </x:c>
    </x:row>
    <x:row r="212">
      <x:c r="A212" s="28" t="str">
        <x:v>Neurology</x:v>
      </x:c>
      <x:c r="B212" s="37" t="n">
        <x:v>46189</x:v>
      </x:c>
      <x:c r="C212" s="26" t="str">
        <x:v>RAH01-2026-030</x:v>
      </x:c>
      <x:c r="D212" s="36" t="n">
        <x:v>6</x:v>
      </x:c>
      <x:c r="E212" s="26" t="str">
        <x:v>Indoor Air Quality Hazards</x:v>
      </x:c>
      <x:c r="F212" s="26" t="str">
        <x:v>Poor Ventilation</x:v>
      </x:c>
      <x:c r="G212" s="35" t="n">
        <x:v>34</x:v>
      </x:c>
      <x:c r="H212" s="35" t="n">
        <x:v>2</x:v>
      </x:c>
      <x:c r="I212" s="35" t="n">
        <x:v>2</x:v>
      </x:c>
      <x:c r="J212" s="35" t="n">
        <x:v>2</x:v>
      </x:c>
      <x:c r="K212" s="36" t="n">
        <x:f>IF(AND(S212=TRUE,ISNUMBER(I212),I212=INT(I212),I212&gt;=1,I212&lt;=3,ISNUMBER(J212),J212=INT(J212),J212&gt;=1,J212&lt;=3),I212*J212,"")</x:f>
        <x:v>4</x:v>
      </x:c>
      <x:c r="L212" s="26" t="str">
        <x:f>IF(K212="","",IF(K212&lt;=2,"LOW",IF(K212&lt;=4,"MEDIUM","HIGH")))</x:f>
        <x:v>MEDIUM</x:v>
      </x:c>
      <x:c r="M212" s="25" t="str">
        <x:v>Ventilation, cleaning, occupancy management, and environmental inspection are performed.</x:v>
      </x:c>
      <x:c r="N212" s="25" t="str">
        <x:v>Inspect ventilation and moisture sources, then document corrective action and environmental recheck.</x:v>
      </x:c>
      <x:c r="O212" s="30" t="b">
        <x:v>0</x:v>
      </x:c>
      <x:c r="P212" s="27" t="str">
        <x:v>INDOOR_AIR_QUALITY</x:v>
      </x:c>
      <x:c r="Q212" s="27" t="str">
        <x:v>poor_ventilation</x:v>
      </x:c>
      <x:c r="R212" s="27" t="str"/>
      <x:c r="S212" s="31" t="b">
        <x:v>1</x:v>
      </x:c>
      <x:c r="T212" s="27" t="str">
        <x:v>ASM-2026-030</x:v>
      </x:c>
      <x:c r="U212" s="27" t="str">
        <x:v>HZ-2026-030-06</x:v>
      </x:c>
    </x:row>
    <x:row r="213">
      <x:c r="A213" s="28" t="str">
        <x:v>Neurology</x:v>
      </x:c>
      <x:c r="B213" s="37" t="n">
        <x:v>46189</x:v>
      </x:c>
      <x:c r="C213" s="26" t="str">
        <x:v>RAH01-2026-030</x:v>
      </x:c>
      <x:c r="D213" s="36" t="n">
        <x:v>7</x:v>
      </x:c>
      <x:c r="E213" s="26" t="str">
        <x:v>Psychosocial Hazards</x:v>
      </x:c>
      <x:c r="F213" s="26" t="str">
        <x:v>Peak-period complaint escalation and emotional demand</x:v>
      </x:c>
      <x:c r="G213" s="35" t="n">
        <x:v>37</x:v>
      </x:c>
      <x:c r="H213" s="35" t="n">
        <x:v>0</x:v>
      </x:c>
      <x:c r="I213" s="35" t="n">
        <x:v>1</x:v>
      </x:c>
      <x:c r="J213" s="35" t="n">
        <x:v>3</x:v>
      </x:c>
      <x:c r="K213" s="36" t="n">
        <x:f>IF(AND(S213=TRUE,ISNUMBER(I213),I213=INT(I213),I213&gt;=1,I213&lt;=3,ISNUMBER(J213),J213=INT(J213),J213&gt;=1,J213&lt;=3),I213*J213,"")</x:f>
        <x:v>3</x:v>
      </x:c>
      <x:c r="L213" s="26" t="str">
        <x:f>IF(K213="","",IF(K213&lt;=2,"LOW",IF(K213&lt;=4,"MEDIUM","HIGH")))</x:f>
        <x:v>MEDIUM</x:v>
      </x:c>
      <x:c r="M213" s="25" t="str">
        <x:v>Shift planning, escalation pathways, security support, breaks, and supervisor check-ins are available.</x:v>
      </x:c>
      <x:c r="N213" s="25" t="str">
        <x:v>Review staffing, breaks, escalation support, and violence-prevention controls with the department manager.</x:v>
      </x:c>
      <x:c r="O213" s="30" t="b">
        <x:v>0</x:v>
      </x:c>
      <x:c r="P213" s="27" t="str">
        <x:v>PSYCHOSOCIAL</x:v>
      </x:c>
      <x:c r="Q213" s="27" t="str">
        <x:v>OTHER</x:v>
      </x:c>
      <x:c r="R213" s="27" t="str">
        <x:v>Peak-period complaint escalation and emotional demand</x:v>
      </x:c>
      <x:c r="S213" s="31" t="b">
        <x:v>1</x:v>
      </x:c>
      <x:c r="T213" s="27" t="str">
        <x:v>ASM-2026-030</x:v>
      </x:c>
      <x:c r="U213" s="27" t="str">
        <x:v>HZ-2026-030-07</x:v>
      </x:c>
    </x:row>
    <x:row r="214">
      <x:c r="A214" s="28" t="str">
        <x:v>Neurosurgery</x:v>
      </x:c>
      <x:c r="B214" s="37" t="n">
        <x:v>46041</x:v>
      </x:c>
      <x:c r="C214" s="26" t="str">
        <x:v>RAH01-2026-031</x:v>
      </x:c>
      <x:c r="D214" s="36" t="n">
        <x:v>1</x:v>
      </x:c>
      <x:c r="E214" s="26" t="str">
        <x:v>Ergonomic Hazards</x:v>
      </x:c>
      <x:c r="F214" s="26" t="str">
        <x:v>Prolonged Standing or Sitting</x:v>
      </x:c>
      <x:c r="G214" s="35" t="n">
        <x:v>14</x:v>
      </x:c>
      <x:c r="H214" s="35" t="n">
        <x:v>1</x:v>
      </x:c>
      <x:c r="I214" s="35" t="n">
        <x:v>1</x:v>
      </x:c>
      <x:c r="J214" s="35" t="n">
        <x:v>2</x:v>
      </x:c>
      <x:c r="K214" s="36" t="n">
        <x:f>IF(AND(S214=TRUE,ISNUMBER(I214),I214=INT(I214),I214&gt;=1,I214&lt;=3,ISNUMBER(J214),J214=INT(J214),J214&gt;=1,J214&lt;=3),I214*J214,"")</x:f>
        <x:v>2</x:v>
      </x:c>
      <x:c r="L214" s="26" t="str">
        <x:f>IF(K214="","",IF(K214&lt;=2,"LOW",IF(K214&lt;=4,"MEDIUM","HIGH")))</x:f>
        <x:v>LOW</x:v>
      </x:c>
      <x:c r="M214" s="25" t="str">
        <x:v>Task rotation, adjustable equipment, team lifting, and safe-patient-handling guidance are used.</x:v>
      </x:c>
      <x:c r="N214" s="25" t="str"/>
      <x:c r="O214" s="30" t="b">
        <x:v>0</x:v>
      </x:c>
      <x:c r="P214" s="27" t="str">
        <x:v>ERGONOMIC</x:v>
      </x:c>
      <x:c r="Q214" s="27" t="str">
        <x:v>prolonged_standing_sitting</x:v>
      </x:c>
      <x:c r="R214" s="27" t="str"/>
      <x:c r="S214" s="31" t="b">
        <x:v>1</x:v>
      </x:c>
      <x:c r="T214" s="27" t="str">
        <x:v>ASM-2026-031</x:v>
      </x:c>
      <x:c r="U214" s="27" t="str">
        <x:v>HZ-2026-031-01</x:v>
      </x:c>
    </x:row>
    <x:row r="215">
      <x:c r="A215" s="28" t="str">
        <x:v>Neurosurgery</x:v>
      </x:c>
      <x:c r="B215" s="37" t="n">
        <x:v>46041</x:v>
      </x:c>
      <x:c r="C215" s="26" t="str">
        <x:v>RAH01-2026-031</x:v>
      </x:c>
      <x:c r="D215" s="36" t="n">
        <x:v>2</x:v>
      </x:c>
      <x:c r="E215" s="26" t="str">
        <x:v>Ergonomic Hazards</x:v>
      </x:c>
      <x:c r="F215" s="26" t="str">
        <x:v>Unsuitable Desk or Chair</x:v>
      </x:c>
      <x:c r="G215" s="35" t="n">
        <x:v>17</x:v>
      </x:c>
      <x:c r="H215" s="35" t="n">
        <x:v>2</x:v>
      </x:c>
      <x:c r="I215" s="35" t="n">
        <x:v>1</x:v>
      </x:c>
      <x:c r="J215" s="35" t="n">
        <x:v>1</x:v>
      </x:c>
      <x:c r="K215" s="36" t="n">
        <x:f>IF(AND(S215=TRUE,ISNUMBER(I215),I215=INT(I215),I215&gt;=1,I215&lt;=3,ISNUMBER(J215),J215=INT(J215),J215&gt;=1,J215&lt;=3),I215*J215,"")</x:f>
        <x:v>1</x:v>
      </x:c>
      <x:c r="L215" s="26" t="str">
        <x:f>IF(K215="","",IF(K215&lt;=2,"LOW",IF(K215&lt;=4,"MEDIUM","HIGH")))</x:f>
        <x:v>LOW</x:v>
      </x:c>
      <x:c r="M215" s="25" t="str">
        <x:v>Task rotation, adjustable equipment, team lifting, and safe-patient-handling guidance are used.</x:v>
      </x:c>
      <x:c r="N215" s="25" t="str"/>
      <x:c r="O215" s="30" t="b">
        <x:v>0</x:v>
      </x:c>
      <x:c r="P215" s="27" t="str">
        <x:v>ERGONOMIC</x:v>
      </x:c>
      <x:c r="Q215" s="27" t="str">
        <x:v>unsuitable_desk_chair</x:v>
      </x:c>
      <x:c r="R215" s="27" t="str"/>
      <x:c r="S215" s="31" t="b">
        <x:v>1</x:v>
      </x:c>
      <x:c r="T215" s="27" t="str">
        <x:v>ASM-2026-031</x:v>
      </x:c>
      <x:c r="U215" s="27" t="str">
        <x:v>HZ-2026-031-02</x:v>
      </x:c>
    </x:row>
    <x:row r="216">
      <x:c r="A216" s="28" t="str">
        <x:v>Neurosurgery</x:v>
      </x:c>
      <x:c r="B216" s="37" t="n">
        <x:v>46041</x:v>
      </x:c>
      <x:c r="C216" s="26" t="str">
        <x:v>RAH01-2026-031</x:v>
      </x:c>
      <x:c r="D216" s="36" t="n">
        <x:v>3</x:v>
      </x:c>
      <x:c r="E216" s="26" t="str">
        <x:v>Ergonomic Hazards</x:v>
      </x:c>
      <x:c r="F216" s="26" t="str">
        <x:v>Repetitive Tasks</x:v>
      </x:c>
      <x:c r="G216" s="35" t="n">
        <x:v>20</x:v>
      </x:c>
      <x:c r="H216" s="35" t="n">
        <x:v>0</x:v>
      </x:c>
      <x:c r="I216" s="35" t="n">
        <x:v>2</x:v>
      </x:c>
      <x:c r="J216" s="35" t="n">
        <x:v>1</x:v>
      </x:c>
      <x:c r="K216" s="36" t="n">
        <x:f>IF(AND(S216=TRUE,ISNUMBER(I216),I216=INT(I216),I216&gt;=1,I216&lt;=3,ISNUMBER(J216),J216=INT(J216),J216&gt;=1,J216&lt;=3),I216*J216,"")</x:f>
        <x:v>2</x:v>
      </x:c>
      <x:c r="L216" s="26" t="str">
        <x:f>IF(K216="","",IF(K216&lt;=2,"LOW",IF(K216&lt;=4,"MEDIUM","HIGH")))</x:f>
        <x:v>LOW</x:v>
      </x:c>
      <x:c r="M216" s="25" t="str">
        <x:v>Task rotation, adjustable equipment, team lifting, and safe-patient-handling guidance are used.</x:v>
      </x:c>
      <x:c r="N216" s="25" t="str"/>
      <x:c r="O216" s="30" t="b">
        <x:v>0</x:v>
      </x:c>
      <x:c r="P216" s="27" t="str">
        <x:v>ERGONOMIC</x:v>
      </x:c>
      <x:c r="Q216" s="27" t="str">
        <x:v>repetitive_tasks</x:v>
      </x:c>
      <x:c r="R216" s="27" t="str"/>
      <x:c r="S216" s="31" t="b">
        <x:v>1</x:v>
      </x:c>
      <x:c r="T216" s="27" t="str">
        <x:v>ASM-2026-031</x:v>
      </x:c>
      <x:c r="U216" s="27" t="str">
        <x:v>HZ-2026-031-03</x:v>
      </x:c>
    </x:row>
    <x:row r="217">
      <x:c r="A217" s="28" t="str">
        <x:v>Neurosurgery</x:v>
      </x:c>
      <x:c r="B217" s="37" t="n">
        <x:v>46041</x:v>
      </x:c>
      <x:c r="C217" s="26" t="str">
        <x:v>RAH01-2026-031</x:v>
      </x:c>
      <x:c r="D217" s="36" t="n">
        <x:v>4</x:v>
      </x:c>
      <x:c r="E217" s="26" t="str">
        <x:v>Psychosocial Hazards</x:v>
      </x:c>
      <x:c r="F217" s="26" t="str">
        <x:v>Work Stress</x:v>
      </x:c>
      <x:c r="G217" s="35" t="n">
        <x:v>23</x:v>
      </x:c>
      <x:c r="H217" s="35" t="n">
        <x:v>1</x:v>
      </x:c>
      <x:c r="I217" s="35" t="n">
        <x:v>1</x:v>
      </x:c>
      <x:c r="J217" s="35" t="n">
        <x:v>2</x:v>
      </x:c>
      <x:c r="K217" s="36" t="n">
        <x:f>IF(AND(S217=TRUE,ISNUMBER(I217),I217=INT(I217),I217&gt;=1,I217&lt;=3,ISNUMBER(J217),J217=INT(J217),J217&gt;=1,J217&lt;=3),I217*J217,"")</x:f>
        <x:v>2</x:v>
      </x:c>
      <x:c r="L217" s="26" t="str">
        <x:f>IF(K217="","",IF(K217&lt;=2,"LOW",IF(K217&lt;=4,"MEDIUM","HIGH")))</x:f>
        <x:v>LOW</x:v>
      </x:c>
      <x:c r="M217" s="25" t="str">
        <x:v>Shift planning, escalation pathways, security support, breaks, and supervisor check-ins are available.</x:v>
      </x:c>
      <x:c r="N217" s="25" t="str"/>
      <x:c r="O217" s="30" t="b">
        <x:v>0</x:v>
      </x:c>
      <x:c r="P217" s="27" t="str">
        <x:v>PSYCHOSOCIAL</x:v>
      </x:c>
      <x:c r="Q217" s="27" t="str">
        <x:v>work_stress</x:v>
      </x:c>
      <x:c r="R217" s="27" t="str"/>
      <x:c r="S217" s="31" t="b">
        <x:v>1</x:v>
      </x:c>
      <x:c r="T217" s="27" t="str">
        <x:v>ASM-2026-031</x:v>
      </x:c>
      <x:c r="U217" s="27" t="str">
        <x:v>HZ-2026-031-04</x:v>
      </x:c>
    </x:row>
    <x:row r="218">
      <x:c r="A218" s="28" t="str">
        <x:v>Neurosurgery</x:v>
      </x:c>
      <x:c r="B218" s="37" t="n">
        <x:v>46041</x:v>
      </x:c>
      <x:c r="C218" s="26" t="str">
        <x:v>RAH01-2026-031</x:v>
      </x:c>
      <x:c r="D218" s="36" t="n">
        <x:v>5</x:v>
      </x:c>
      <x:c r="E218" s="26" t="str">
        <x:v>Physical Hazards</x:v>
      </x:c>
      <x:c r="F218" s="26" t="str">
        <x:v>Lighting</x:v>
      </x:c>
      <x:c r="G218" s="35" t="n">
        <x:v>26</x:v>
      </x:c>
      <x:c r="H218" s="35" t="n">
        <x:v>2</x:v>
      </x:c>
      <x:c r="I218" s="35" t="n">
        <x:v>1</x:v>
      </x:c>
      <x:c r="J218" s="35" t="n">
        <x:v>1</x:v>
      </x:c>
      <x:c r="K218" s="36" t="n">
        <x:f>IF(AND(S218=TRUE,ISNUMBER(I218),I218=INT(I218),I218&gt;=1,I218&lt;=3,ISNUMBER(J218),J218=INT(J218),J218&gt;=1,J218&lt;=3),I218*J218,"")</x:f>
        <x:v>1</x:v>
      </x:c>
      <x:c r="L218" s="26" t="str">
        <x:f>IF(K218="","",IF(K218&lt;=2,"LOW",IF(K218&lt;=4,"MEDIUM","HIGH")))</x:f>
        <x:v>LOW</x:v>
      </x:c>
      <x:c r="M218" s="25" t="str">
        <x:v>Engineering controls, preventive maintenance, posted limits, and periodic exposure monitoring are in place.</x:v>
      </x:c>
      <x:c r="N218" s="25" t="str"/>
      <x:c r="O218" s="30" t="b">
        <x:v>0</x:v>
      </x:c>
      <x:c r="P218" s="27" t="str">
        <x:v>PHYSICAL</x:v>
      </x:c>
      <x:c r="Q218" s="27" t="str">
        <x:v>lighting</x:v>
      </x:c>
      <x:c r="R218" s="27" t="str"/>
      <x:c r="S218" s="31" t="b">
        <x:v>1</x:v>
      </x:c>
      <x:c r="T218" s="27" t="str">
        <x:v>ASM-2026-031</x:v>
      </x:c>
      <x:c r="U218" s="27" t="str">
        <x:v>HZ-2026-031-05</x:v>
      </x:c>
    </x:row>
    <x:row r="219">
      <x:c r="A219" s="28" t="str">
        <x:v>Neurosurgery</x:v>
      </x:c>
      <x:c r="B219" s="37" t="n">
        <x:v>46041</x:v>
      </x:c>
      <x:c r="C219" s="26" t="str">
        <x:v>RAH01-2026-031</x:v>
      </x:c>
      <x:c r="D219" s="36" t="n">
        <x:v>6</x:v>
      </x:c>
      <x:c r="E219" s="26" t="str">
        <x:v>Safety and Accident Hazards</x:v>
      </x:c>
      <x:c r="F219" s="26" t="str">
        <x:v>Pathway Obstruction</x:v>
      </x:c>
      <x:c r="G219" s="35" t="n">
        <x:v>29</x:v>
      </x:c>
      <x:c r="H219" s="35" t="n">
        <x:v>0</x:v>
      </x:c>
      <x:c r="I219" s="35" t="n">
        <x:v>2</x:v>
      </x:c>
      <x:c r="J219" s="35" t="n">
        <x:v>1</x:v>
      </x:c>
      <x:c r="K219" s="36" t="n">
        <x:f>IF(AND(S219=TRUE,ISNUMBER(I219),I219=INT(I219),I219&gt;=1,I219&lt;=3,ISNUMBER(J219),J219=INT(J219),J219&gt;=1,J219&lt;=3),I219*J219,"")</x:f>
        <x:v>2</x:v>
      </x:c>
      <x:c r="L219" s="26" t="str">
        <x:f>IF(K219="","",IF(K219&lt;=2,"LOW",IF(K219&lt;=4,"MEDIUM","HIGH")))</x:f>
        <x:v>LOW</x:v>
      </x:c>
      <x:c r="M219" s="25" t="str">
        <x:v>Safe-work procedures, inspection, housekeeping, guards, and incident reporting are implemented.</x:v>
      </x:c>
      <x:c r="N219" s="25" t="str"/>
      <x:c r="O219" s="30" t="b">
        <x:v>0</x:v>
      </x:c>
      <x:c r="P219" s="27" t="str">
        <x:v>SAFETY_ACCIDENT</x:v>
      </x:c>
      <x:c r="Q219" s="27" t="str">
        <x:v>pathway_obstruction</x:v>
      </x:c>
      <x:c r="R219" s="27" t="str"/>
      <x:c r="S219" s="31" t="b">
        <x:v>1</x:v>
      </x:c>
      <x:c r="T219" s="27" t="str">
        <x:v>ASM-2026-031</x:v>
      </x:c>
      <x:c r="U219" s="27" t="str">
        <x:v>HZ-2026-031-06</x:v>
      </x:c>
    </x:row>
    <x:row r="220">
      <x:c r="A220" s="28" t="str">
        <x:v>Nuclear Medicine</x:v>
      </x:c>
      <x:c r="B220" s="37" t="n">
        <x:v>46075</x:v>
      </x:c>
      <x:c r="C220" s="26" t="str">
        <x:v>RAH01-2026-032</x:v>
      </x:c>
      <x:c r="D220" s="36" t="n">
        <x:v>1</x:v>
      </x:c>
      <x:c r="E220" s="26" t="str">
        <x:v>Ergonomic Hazards</x:v>
      </x:c>
      <x:c r="F220" s="26" t="str">
        <x:v>Prolonged Standing or Sitting</x:v>
      </x:c>
      <x:c r="G220" s="35" t="n">
        <x:v>9</x:v>
      </x:c>
      <x:c r="H220" s="35" t="n">
        <x:v>2</x:v>
      </x:c>
      <x:c r="I220" s="35" t="n">
        <x:v>2</x:v>
      </x:c>
      <x:c r="J220" s="35" t="n">
        <x:v>1</x:v>
      </x:c>
      <x:c r="K220" s="36" t="n">
        <x:f>IF(AND(S220=TRUE,ISNUMBER(I220),I220=INT(I220),I220&gt;=1,I220&lt;=3,ISNUMBER(J220),J220=INT(J220),J220&gt;=1,J220&lt;=3),I220*J220,"")</x:f>
        <x:v>2</x:v>
      </x:c>
      <x:c r="L220" s="26" t="str">
        <x:f>IF(K220="","",IF(K220&lt;=2,"LOW",IF(K220&lt;=4,"MEDIUM","HIGH")))</x:f>
        <x:v>LOW</x:v>
      </x:c>
      <x:c r="M220" s="25" t="str">
        <x:v>Task rotation, adjustable equipment, team lifting, and safe-patient-handling guidance are used.</x:v>
      </x:c>
      <x:c r="N220" s="25" t="str"/>
      <x:c r="O220" s="30" t="b">
        <x:v>0</x:v>
      </x:c>
      <x:c r="P220" s="27" t="str">
        <x:v>ERGONOMIC</x:v>
      </x:c>
      <x:c r="Q220" s="27" t="str">
        <x:v>prolonged_standing_sitting</x:v>
      </x:c>
      <x:c r="R220" s="27" t="str"/>
      <x:c r="S220" s="31" t="b">
        <x:v>1</x:v>
      </x:c>
      <x:c r="T220" s="27" t="str">
        <x:v>ASM-2026-032</x:v>
      </x:c>
      <x:c r="U220" s="27" t="str">
        <x:v>HZ-2026-032-01</x:v>
      </x:c>
    </x:row>
    <x:row r="221">
      <x:c r="A221" s="28" t="str">
        <x:v>Nuclear Medicine</x:v>
      </x:c>
      <x:c r="B221" s="37" t="n">
        <x:v>46075</x:v>
      </x:c>
      <x:c r="C221" s="26" t="str">
        <x:v>RAH01-2026-032</x:v>
      </x:c>
      <x:c r="D221" s="36" t="n">
        <x:v>2</x:v>
      </x:c>
      <x:c r="E221" s="26" t="str">
        <x:v>Ergonomic Hazards</x:v>
      </x:c>
      <x:c r="F221" s="26" t="str">
        <x:v>Unsuitable Desk or Chair</x:v>
      </x:c>
      <x:c r="G221" s="35" t="n">
        <x:v>12</x:v>
      </x:c>
      <x:c r="H221" s="35" t="n">
        <x:v>0</x:v>
      </x:c>
      <x:c r="I221" s="35" t="n">
        <x:v>1</x:v>
      </x:c>
      <x:c r="J221" s="35" t="n">
        <x:v>2</x:v>
      </x:c>
      <x:c r="K221" s="36" t="n">
        <x:f>IF(AND(S221=TRUE,ISNUMBER(I221),I221=INT(I221),I221&gt;=1,I221&lt;=3,ISNUMBER(J221),J221=INT(J221),J221&gt;=1,J221&lt;=3),I221*J221,"")</x:f>
        <x:v>2</x:v>
      </x:c>
      <x:c r="L221" s="26" t="str">
        <x:f>IF(K221="","",IF(K221&lt;=2,"LOW",IF(K221&lt;=4,"MEDIUM","HIGH")))</x:f>
        <x:v>LOW</x:v>
      </x:c>
      <x:c r="M221" s="25" t="str">
        <x:v>Task rotation, adjustable equipment, team lifting, and safe-patient-handling guidance are used.</x:v>
      </x:c>
      <x:c r="N221" s="25" t="str"/>
      <x:c r="O221" s="30" t="b">
        <x:v>0</x:v>
      </x:c>
      <x:c r="P221" s="27" t="str">
        <x:v>ERGONOMIC</x:v>
      </x:c>
      <x:c r="Q221" s="27" t="str">
        <x:v>unsuitable_desk_chair</x:v>
      </x:c>
      <x:c r="R221" s="27" t="str"/>
      <x:c r="S221" s="31" t="b">
        <x:v>1</x:v>
      </x:c>
      <x:c r="T221" s="27" t="str">
        <x:v>ASM-2026-032</x:v>
      </x:c>
      <x:c r="U221" s="27" t="str">
        <x:v>HZ-2026-032-02</x:v>
      </x:c>
    </x:row>
    <x:row r="222">
      <x:c r="A222" s="28" t="str">
        <x:v>Nuclear Medicine</x:v>
      </x:c>
      <x:c r="B222" s="37" t="n">
        <x:v>46075</x:v>
      </x:c>
      <x:c r="C222" s="26" t="str">
        <x:v>RAH01-2026-032</x:v>
      </x:c>
      <x:c r="D222" s="36" t="n">
        <x:v>3</x:v>
      </x:c>
      <x:c r="E222" s="26" t="str">
        <x:v>Ergonomic Hazards</x:v>
      </x:c>
      <x:c r="F222" s="26" t="str">
        <x:v>Repetitive Tasks</x:v>
      </x:c>
      <x:c r="G222" s="35" t="n">
        <x:v>15</x:v>
      </x:c>
      <x:c r="H222" s="35" t="n">
        <x:v>1</x:v>
      </x:c>
      <x:c r="I222" s="35" t="n">
        <x:v>1</x:v>
      </x:c>
      <x:c r="J222" s="35" t="n">
        <x:v>1</x:v>
      </x:c>
      <x:c r="K222" s="36" t="n">
        <x:f>IF(AND(S222=TRUE,ISNUMBER(I222),I222=INT(I222),I222&gt;=1,I222&lt;=3,ISNUMBER(J222),J222=INT(J222),J222&gt;=1,J222&lt;=3),I222*J222,"")</x:f>
        <x:v>1</x:v>
      </x:c>
      <x:c r="L222" s="26" t="str">
        <x:f>IF(K222="","",IF(K222&lt;=2,"LOW",IF(K222&lt;=4,"MEDIUM","HIGH")))</x:f>
        <x:v>LOW</x:v>
      </x:c>
      <x:c r="M222" s="25" t="str">
        <x:v>Task rotation, adjustable equipment, team lifting, and safe-patient-handling guidance are used.</x:v>
      </x:c>
      <x:c r="N222" s="25" t="str"/>
      <x:c r="O222" s="30" t="b">
        <x:v>0</x:v>
      </x:c>
      <x:c r="P222" s="27" t="str">
        <x:v>ERGONOMIC</x:v>
      </x:c>
      <x:c r="Q222" s="27" t="str">
        <x:v>repetitive_tasks</x:v>
      </x:c>
      <x:c r="R222" s="27" t="str"/>
      <x:c r="S222" s="31" t="b">
        <x:v>1</x:v>
      </x:c>
      <x:c r="T222" s="27" t="str">
        <x:v>ASM-2026-032</x:v>
      </x:c>
      <x:c r="U222" s="27" t="str">
        <x:v>HZ-2026-032-03</x:v>
      </x:c>
    </x:row>
    <x:row r="223">
      <x:c r="A223" s="28" t="str">
        <x:v>Nuclear Medicine</x:v>
      </x:c>
      <x:c r="B223" s="37" t="n">
        <x:v>46075</x:v>
      </x:c>
      <x:c r="C223" s="26" t="str">
        <x:v>RAH01-2026-032</x:v>
      </x:c>
      <x:c r="D223" s="36" t="n">
        <x:v>4</x:v>
      </x:c>
      <x:c r="E223" s="26" t="str">
        <x:v>Psychosocial Hazards</x:v>
      </x:c>
      <x:c r="F223" s="26" t="str">
        <x:v>Work Stress</x:v>
      </x:c>
      <x:c r="G223" s="35" t="n">
        <x:v>18</x:v>
      </x:c>
      <x:c r="H223" s="35" t="n">
        <x:v>2</x:v>
      </x:c>
      <x:c r="I223" s="35" t="n">
        <x:v>2</x:v>
      </x:c>
      <x:c r="J223" s="35" t="n">
        <x:v>1</x:v>
      </x:c>
      <x:c r="K223" s="36" t="n">
        <x:f>IF(AND(S223=TRUE,ISNUMBER(I223),I223=INT(I223),I223&gt;=1,I223&lt;=3,ISNUMBER(J223),J223=INT(J223),J223&gt;=1,J223&lt;=3),I223*J223,"")</x:f>
        <x:v>2</x:v>
      </x:c>
      <x:c r="L223" s="26" t="str">
        <x:f>IF(K223="","",IF(K223&lt;=2,"LOW",IF(K223&lt;=4,"MEDIUM","HIGH")))</x:f>
        <x:v>LOW</x:v>
      </x:c>
      <x:c r="M223" s="25" t="str">
        <x:v>Shift planning, escalation pathways, security support, breaks, and supervisor check-ins are available.</x:v>
      </x:c>
      <x:c r="N223" s="25" t="str"/>
      <x:c r="O223" s="30" t="b">
        <x:v>0</x:v>
      </x:c>
      <x:c r="P223" s="27" t="str">
        <x:v>PSYCHOSOCIAL</x:v>
      </x:c>
      <x:c r="Q223" s="27" t="str">
        <x:v>work_stress</x:v>
      </x:c>
      <x:c r="R223" s="27" t="str"/>
      <x:c r="S223" s="31" t="b">
        <x:v>1</x:v>
      </x:c>
      <x:c r="T223" s="27" t="str">
        <x:v>ASM-2026-032</x:v>
      </x:c>
      <x:c r="U223" s="27" t="str">
        <x:v>HZ-2026-032-04</x:v>
      </x:c>
    </x:row>
    <x:row r="224">
      <x:c r="A224" s="28" t="str">
        <x:v>Nuclear Medicine</x:v>
      </x:c>
      <x:c r="B224" s="37" t="n">
        <x:v>46075</x:v>
      </x:c>
      <x:c r="C224" s="26" t="str">
        <x:v>RAH01-2026-032</x:v>
      </x:c>
      <x:c r="D224" s="36" t="n">
        <x:v>5</x:v>
      </x:c>
      <x:c r="E224" s="26" t="str">
        <x:v>Physical Hazards</x:v>
      </x:c>
      <x:c r="F224" s="26" t="str">
        <x:v>Lighting</x:v>
      </x:c>
      <x:c r="G224" s="35" t="n">
        <x:v>21</x:v>
      </x:c>
      <x:c r="H224" s="35" t="n">
        <x:v>0</x:v>
      </x:c>
      <x:c r="I224" s="35" t="n">
        <x:v>1</x:v>
      </x:c>
      <x:c r="J224" s="35" t="n">
        <x:v>2</x:v>
      </x:c>
      <x:c r="K224" s="36" t="n">
        <x:f>IF(AND(S224=TRUE,ISNUMBER(I224),I224=INT(I224),I224&gt;=1,I224&lt;=3,ISNUMBER(J224),J224=INT(J224),J224&gt;=1,J224&lt;=3),I224*J224,"")</x:f>
        <x:v>2</x:v>
      </x:c>
      <x:c r="L224" s="26" t="str">
        <x:f>IF(K224="","",IF(K224&lt;=2,"LOW",IF(K224&lt;=4,"MEDIUM","HIGH")))</x:f>
        <x:v>LOW</x:v>
      </x:c>
      <x:c r="M224" s="25" t="str">
        <x:v>Engineering controls, preventive maintenance, posted limits, and periodic exposure monitoring are in place.</x:v>
      </x:c>
      <x:c r="N224" s="25" t="str"/>
      <x:c r="O224" s="30" t="b">
        <x:v>0</x:v>
      </x:c>
      <x:c r="P224" s="27" t="str">
        <x:v>PHYSICAL</x:v>
      </x:c>
      <x:c r="Q224" s="27" t="str">
        <x:v>lighting</x:v>
      </x:c>
      <x:c r="R224" s="27" t="str"/>
      <x:c r="S224" s="31" t="b">
        <x:v>1</x:v>
      </x:c>
      <x:c r="T224" s="27" t="str">
        <x:v>ASM-2026-032</x:v>
      </x:c>
      <x:c r="U224" s="27" t="str">
        <x:v>HZ-2026-032-05</x:v>
      </x:c>
    </x:row>
    <x:row r="225">
      <x:c r="A225" s="28" t="str">
        <x:v>Obstetrics</x:v>
      </x:c>
      <x:c r="B225" s="37" t="n">
        <x:v>46106</x:v>
      </x:c>
      <x:c r="C225" s="26" t="str">
        <x:v>RAH01-2026-033</x:v>
      </x:c>
      <x:c r="D225" s="36" t="n">
        <x:v>1</x:v>
      </x:c>
      <x:c r="E225" s="26" t="str">
        <x:v>Ergonomic Hazards</x:v>
      </x:c>
      <x:c r="F225" s="26" t="str">
        <x:v>Prolonged Standing or Sitting</x:v>
      </x:c>
      <x:c r="G225" s="35" t="n">
        <x:v>4</x:v>
      </x:c>
      <x:c r="H225" s="35" t="n">
        <x:v>0</x:v>
      </x:c>
      <x:c r="I225" s="35" t="n">
        <x:v>1</x:v>
      </x:c>
      <x:c r="J225" s="35" t="n">
        <x:v>3</x:v>
      </x:c>
      <x:c r="K225" s="36" t="n">
        <x:f>IF(AND(S225=TRUE,ISNUMBER(I225),I225=INT(I225),I225&gt;=1,I225&lt;=3,ISNUMBER(J225),J225=INT(J225),J225&gt;=1,J225&lt;=3),I225*J225,"")</x:f>
        <x:v>3</x:v>
      </x:c>
      <x:c r="L225" s="26" t="str">
        <x:f>IF(K225="","",IF(K225&lt;=2,"LOW",IF(K225&lt;=4,"MEDIUM","HIGH")))</x:f>
        <x:v>MEDIUM</x:v>
      </x:c>
      <x:c r="M225" s="25" t="str">
        <x:v>Task rotation, adjustable equipment, team lifting, and safe-patient-handling guidance are used.</x:v>
      </x:c>
      <x:c r="N225" s="25" t="str">
        <x:v>Complete an ergonomic task assessment and implement equipment or workflow changes to reduce force and repetition.</x:v>
      </x:c>
      <x:c r="O225" s="30" t="b">
        <x:v>0</x:v>
      </x:c>
      <x:c r="P225" s="27" t="str">
        <x:v>ERGONOMIC</x:v>
      </x:c>
      <x:c r="Q225" s="27" t="str">
        <x:v>prolonged_standing_sitting</x:v>
      </x:c>
      <x:c r="R225" s="27" t="str"/>
      <x:c r="S225" s="31" t="b">
        <x:v>1</x:v>
      </x:c>
      <x:c r="T225" s="27" t="str">
        <x:v>ASM-2026-033</x:v>
      </x:c>
      <x:c r="U225" s="27" t="str">
        <x:v>HZ-2026-033-01</x:v>
      </x:c>
    </x:row>
    <x:row r="226">
      <x:c r="A226" s="28" t="str">
        <x:v>Obstetrics</x:v>
      </x:c>
      <x:c r="B226" s="37" t="n">
        <x:v>46106</x:v>
      </x:c>
      <x:c r="C226" s="26" t="str">
        <x:v>RAH01-2026-033</x:v>
      </x:c>
      <x:c r="D226" s="36" t="n">
        <x:v>2</x:v>
      </x:c>
      <x:c r="E226" s="26" t="str">
        <x:v>Ergonomic Hazards</x:v>
      </x:c>
      <x:c r="F226" s="26" t="str">
        <x:v>Unsuitable Desk or Chair</x:v>
      </x:c>
      <x:c r="G226" s="35" t="n">
        <x:v>7</x:v>
      </x:c>
      <x:c r="H226" s="35" t="n">
        <x:v>1</x:v>
      </x:c>
      <x:c r="I226" s="35" t="n">
        <x:v>3</x:v>
      </x:c>
      <x:c r="J226" s="35" t="n">
        <x:v>1</x:v>
      </x:c>
      <x:c r="K226" s="36" t="n">
        <x:f>IF(AND(S226=TRUE,ISNUMBER(I226),I226=INT(I226),I226&gt;=1,I226&lt;=3,ISNUMBER(J226),J226=INT(J226),J226&gt;=1,J226&lt;=3),I226*J226,"")</x:f>
        <x:v>3</x:v>
      </x:c>
      <x:c r="L226" s="26" t="str">
        <x:f>IF(K226="","",IF(K226&lt;=2,"LOW",IF(K226&lt;=4,"MEDIUM","HIGH")))</x:f>
        <x:v>MEDIUM</x:v>
      </x:c>
      <x:c r="M226" s="25" t="str">
        <x:v>Task rotation, adjustable equipment, team lifting, and safe-patient-handling guidance are used.</x:v>
      </x:c>
      <x:c r="N226" s="25" t="str">
        <x:v>Complete an ergonomic task assessment and implement equipment or workflow changes to reduce force and repetition.</x:v>
      </x:c>
      <x:c r="O226" s="30" t="b">
        <x:v>0</x:v>
      </x:c>
      <x:c r="P226" s="27" t="str">
        <x:v>ERGONOMIC</x:v>
      </x:c>
      <x:c r="Q226" s="27" t="str">
        <x:v>unsuitable_desk_chair</x:v>
      </x:c>
      <x:c r="R226" s="27" t="str"/>
      <x:c r="S226" s="31" t="b">
        <x:v>1</x:v>
      </x:c>
      <x:c r="T226" s="27" t="str">
        <x:v>ASM-2026-033</x:v>
      </x:c>
      <x:c r="U226" s="27" t="str">
        <x:v>HZ-2026-033-02</x:v>
      </x:c>
    </x:row>
    <x:row r="227">
      <x:c r="A227" s="28" t="str">
        <x:v>Obstetrics</x:v>
      </x:c>
      <x:c r="B227" s="37" t="n">
        <x:v>46106</x:v>
      </x:c>
      <x:c r="C227" s="26" t="str">
        <x:v>RAH01-2026-033</x:v>
      </x:c>
      <x:c r="D227" s="36" t="n">
        <x:v>3</x:v>
      </x:c>
      <x:c r="E227" s="26" t="str">
        <x:v>Ergonomic Hazards</x:v>
      </x:c>
      <x:c r="F227" s="26" t="str">
        <x:v>Repetitive Tasks</x:v>
      </x:c>
      <x:c r="G227" s="35" t="n">
        <x:v>10</x:v>
      </x:c>
      <x:c r="H227" s="35" t="n">
        <x:v>2</x:v>
      </x:c>
      <x:c r="I227" s="35" t="n">
        <x:v>2</x:v>
      </x:c>
      <x:c r="J227" s="35" t="n">
        <x:v>2</x:v>
      </x:c>
      <x:c r="K227" s="36" t="n">
        <x:f>IF(AND(S227=TRUE,ISNUMBER(I227),I227=INT(I227),I227&gt;=1,I227&lt;=3,ISNUMBER(J227),J227=INT(J227),J227&gt;=1,J227&lt;=3),I227*J227,"")</x:f>
        <x:v>4</x:v>
      </x:c>
      <x:c r="L227" s="26" t="str">
        <x:f>IF(K227="","",IF(K227&lt;=2,"LOW",IF(K227&lt;=4,"MEDIUM","HIGH")))</x:f>
        <x:v>MEDIUM</x:v>
      </x:c>
      <x:c r="M227" s="25" t="str">
        <x:v>Task rotation, adjustable equipment, team lifting, and safe-patient-handling guidance are used.</x:v>
      </x:c>
      <x:c r="N227" s="25" t="str">
        <x:v>Complete an ergonomic task assessment and implement equipment or workflow changes to reduce force and repetition.</x:v>
      </x:c>
      <x:c r="O227" s="30" t="b">
        <x:v>0</x:v>
      </x:c>
      <x:c r="P227" s="27" t="str">
        <x:v>ERGONOMIC</x:v>
      </x:c>
      <x:c r="Q227" s="27" t="str">
        <x:v>repetitive_tasks</x:v>
      </x:c>
      <x:c r="R227" s="27" t="str"/>
      <x:c r="S227" s="31" t="b">
        <x:v>1</x:v>
      </x:c>
      <x:c r="T227" s="27" t="str">
        <x:v>ASM-2026-033</x:v>
      </x:c>
      <x:c r="U227" s="27" t="str">
        <x:v>HZ-2026-033-03</x:v>
      </x:c>
    </x:row>
    <x:row r="228">
      <x:c r="A228" s="28" t="str">
        <x:v>Obstetrics</x:v>
      </x:c>
      <x:c r="B228" s="37" t="n">
        <x:v>46106</x:v>
      </x:c>
      <x:c r="C228" s="26" t="str">
        <x:v>RAH01-2026-033</x:v>
      </x:c>
      <x:c r="D228" s="36" t="n">
        <x:v>4</x:v>
      </x:c>
      <x:c r="E228" s="26" t="str">
        <x:v>Psychosocial Hazards</x:v>
      </x:c>
      <x:c r="F228" s="26" t="str">
        <x:v>Work Stress</x:v>
      </x:c>
      <x:c r="G228" s="35" t="n">
        <x:v>13</x:v>
      </x:c>
      <x:c r="H228" s="35" t="n">
        <x:v>0</x:v>
      </x:c>
      <x:c r="I228" s="35" t="n">
        <x:v>1</x:v>
      </x:c>
      <x:c r="J228" s="35" t="n">
        <x:v>3</x:v>
      </x:c>
      <x:c r="K228" s="36" t="n">
        <x:f>IF(AND(S228=TRUE,ISNUMBER(I228),I228=INT(I228),I228&gt;=1,I228&lt;=3,ISNUMBER(J228),J228=INT(J228),J228&gt;=1,J228&lt;=3),I228*J228,"")</x:f>
        <x:v>3</x:v>
      </x:c>
      <x:c r="L228" s="26" t="str">
        <x:f>IF(K228="","",IF(K228&lt;=2,"LOW",IF(K228&lt;=4,"MEDIUM","HIGH")))</x:f>
        <x:v>MEDIUM</x:v>
      </x:c>
      <x:c r="M228" s="25" t="str">
        <x:v>Shift planning, escalation pathways, security support, breaks, and supervisor check-ins are available.</x:v>
      </x:c>
      <x:c r="N228" s="25" t="str">
        <x:v>Review staffing, breaks, escalation support, and violence-prevention controls with the department manager.</x:v>
      </x:c>
      <x:c r="O228" s="30" t="b">
        <x:v>0</x:v>
      </x:c>
      <x:c r="P228" s="27" t="str">
        <x:v>PSYCHOSOCIAL</x:v>
      </x:c>
      <x:c r="Q228" s="27" t="str">
        <x:v>work_stress</x:v>
      </x:c>
      <x:c r="R228" s="27" t="str"/>
      <x:c r="S228" s="31" t="b">
        <x:v>1</x:v>
      </x:c>
      <x:c r="T228" s="27" t="str">
        <x:v>ASM-2026-033</x:v>
      </x:c>
      <x:c r="U228" s="27" t="str">
        <x:v>HZ-2026-033-04</x:v>
      </x:c>
    </x:row>
    <x:row r="229">
      <x:c r="A229" s="28" t="str">
        <x:v>Obstetrics</x:v>
      </x:c>
      <x:c r="B229" s="37" t="n">
        <x:v>46106</x:v>
      </x:c>
      <x:c r="C229" s="26" t="str">
        <x:v>RAH01-2026-033</x:v>
      </x:c>
      <x:c r="D229" s="36" t="n">
        <x:v>5</x:v>
      </x:c>
      <x:c r="E229" s="26" t="str">
        <x:v>Physical Hazards</x:v>
      </x:c>
      <x:c r="F229" s="26" t="str">
        <x:v>Lighting</x:v>
      </x:c>
      <x:c r="G229" s="35" t="n">
        <x:v>16</x:v>
      </x:c>
      <x:c r="H229" s="35" t="n">
        <x:v>1</x:v>
      </x:c>
      <x:c r="I229" s="35" t="n">
        <x:v>3</x:v>
      </x:c>
      <x:c r="J229" s="35" t="n">
        <x:v>1</x:v>
      </x:c>
      <x:c r="K229" s="36" t="n">
        <x:f>IF(AND(S229=TRUE,ISNUMBER(I229),I229=INT(I229),I229&gt;=1,I229&lt;=3,ISNUMBER(J229),J229=INT(J229),J229&gt;=1,J229&lt;=3),I229*J229,"")</x:f>
        <x:v>3</x:v>
      </x:c>
      <x:c r="L229" s="26" t="str">
        <x:f>IF(K229="","",IF(K229&lt;=2,"LOW",IF(K229&lt;=4,"MEDIUM","HIGH")))</x:f>
        <x:v>MEDIUM</x:v>
      </x:c>
      <x:c r="M229" s="25" t="str">
        <x:v>Engineering controls, preventive maintenance, posted limits, and periodic exposure monitoring are in place.</x:v>
      </x:c>
      <x:c r="N229" s="25" t="str">
        <x:v>Measure exposure against the hospital standard and close any engineering-control gap within 90 days.</x:v>
      </x:c>
      <x:c r="O229" s="30" t="b">
        <x:v>0</x:v>
      </x:c>
      <x:c r="P229" s="27" t="str">
        <x:v>PHYSICAL</x:v>
      </x:c>
      <x:c r="Q229" s="27" t="str">
        <x:v>lighting</x:v>
      </x:c>
      <x:c r="R229" s="27" t="str"/>
      <x:c r="S229" s="31" t="b">
        <x:v>1</x:v>
      </x:c>
      <x:c r="T229" s="27" t="str">
        <x:v>ASM-2026-033</x:v>
      </x:c>
      <x:c r="U229" s="27" t="str">
        <x:v>HZ-2026-033-05</x:v>
      </x:c>
    </x:row>
    <x:row r="230">
      <x:c r="A230" s="28" t="str">
        <x:v>Obstetrics</x:v>
      </x:c>
      <x:c r="B230" s="37" t="n">
        <x:v>46106</x:v>
      </x:c>
      <x:c r="C230" s="26" t="str">
        <x:v>RAH01-2026-033</x:v>
      </x:c>
      <x:c r="D230" s="36" t="n">
        <x:v>6</x:v>
      </x:c>
      <x:c r="E230" s="26" t="str">
        <x:v>Psychosocial Hazards</x:v>
      </x:c>
      <x:c r="F230" s="26" t="str">
        <x:v>Insufficient Rest</x:v>
      </x:c>
      <x:c r="G230" s="35" t="n">
        <x:v>19</x:v>
      </x:c>
      <x:c r="H230" s="35" t="n">
        <x:v>2</x:v>
      </x:c>
      <x:c r="I230" s="35" t="n">
        <x:v>2</x:v>
      </x:c>
      <x:c r="J230" s="35" t="n">
        <x:v>2</x:v>
      </x:c>
      <x:c r="K230" s="36" t="n">
        <x:f>IF(AND(S230=TRUE,ISNUMBER(I230),I230=INT(I230),I230&gt;=1,I230&lt;=3,ISNUMBER(J230),J230=INT(J230),J230&gt;=1,J230&lt;=3),I230*J230,"")</x:f>
        <x:v>4</x:v>
      </x:c>
      <x:c r="L230" s="26" t="str">
        <x:f>IF(K230="","",IF(K230&lt;=2,"LOW",IF(K230&lt;=4,"MEDIUM","HIGH")))</x:f>
        <x:v>MEDIUM</x:v>
      </x:c>
      <x:c r="M230" s="25" t="str">
        <x:v>Shift planning, escalation pathways, security support, breaks, and supervisor check-ins are available.</x:v>
      </x:c>
      <x:c r="N230" s="25" t="str">
        <x:v>Review staffing, breaks, escalation support, and violence-prevention controls with the department manager.</x:v>
      </x:c>
      <x:c r="O230" s="30" t="b">
        <x:v>0</x:v>
      </x:c>
      <x:c r="P230" s="27" t="str">
        <x:v>PSYCHOSOCIAL</x:v>
      </x:c>
      <x:c r="Q230" s="27" t="str">
        <x:v>insufficient_rest</x:v>
      </x:c>
      <x:c r="R230" s="27" t="str"/>
      <x:c r="S230" s="31" t="b">
        <x:v>1</x:v>
      </x:c>
      <x:c r="T230" s="27" t="str">
        <x:v>ASM-2026-033</x:v>
      </x:c>
      <x:c r="U230" s="27" t="str">
        <x:v>HZ-2026-033-06</x:v>
      </x:c>
    </x:row>
    <x:row r="231">
      <x:c r="A231" s="28" t="str">
        <x:v>Occupational Health</x:v>
      </x:c>
      <x:c r="B231" s="37" t="n">
        <x:v>46115</x:v>
      </x:c>
      <x:c r="C231" s="26" t="str">
        <x:v>RAH01-2026-034</x:v>
      </x:c>
      <x:c r="D231" s="36" t="n">
        <x:v>1</x:v>
      </x:c>
      <x:c r="E231" s="26" t="str">
        <x:v>Ergonomic Hazards</x:v>
      </x:c>
      <x:c r="F231" s="26" t="str">
        <x:v>Prolonged Standing or Sitting</x:v>
      </x:c>
      <x:c r="G231" s="35" t="n">
        <x:v>9</x:v>
      </x:c>
      <x:c r="H231" s="35" t="n">
        <x:v>1</x:v>
      </x:c>
      <x:c r="I231" s="35" t="n">
        <x:v>1</x:v>
      </x:c>
      <x:c r="J231" s="35" t="n">
        <x:v>2</x:v>
      </x:c>
      <x:c r="K231" s="36" t="n">
        <x:f>IF(AND(S231=TRUE,ISNUMBER(I231),I231=INT(I231),I231&gt;=1,I231&lt;=3,ISNUMBER(J231),J231=INT(J231),J231&gt;=1,J231&lt;=3),I231*J231,"")</x:f>
        <x:v>2</x:v>
      </x:c>
      <x:c r="L231" s="26" t="str">
        <x:f>IF(K231="","",IF(K231&lt;=2,"LOW",IF(K231&lt;=4,"MEDIUM","HIGH")))</x:f>
        <x:v>LOW</x:v>
      </x:c>
      <x:c r="M231" s="25" t="str">
        <x:v>Task rotation, adjustable equipment, team lifting, and safe-patient-handling guidance are used.</x:v>
      </x:c>
      <x:c r="N231" s="25" t="str"/>
      <x:c r="O231" s="30" t="b">
        <x:v>0</x:v>
      </x:c>
      <x:c r="P231" s="27" t="str">
        <x:v>ERGONOMIC</x:v>
      </x:c>
      <x:c r="Q231" s="27" t="str">
        <x:v>prolonged_standing_sitting</x:v>
      </x:c>
      <x:c r="R231" s="27" t="str"/>
      <x:c r="S231" s="31" t="b">
        <x:v>1</x:v>
      </x:c>
      <x:c r="T231" s="27" t="str">
        <x:v>ASM-2026-034</x:v>
      </x:c>
      <x:c r="U231" s="27" t="str">
        <x:v>HZ-2026-034-01</x:v>
      </x:c>
    </x:row>
    <x:row r="232">
      <x:c r="A232" s="28" t="str">
        <x:v>Occupational Health</x:v>
      </x:c>
      <x:c r="B232" s="37" t="n">
        <x:v>46115</x:v>
      </x:c>
      <x:c r="C232" s="26" t="str">
        <x:v>RAH01-2026-034</x:v>
      </x:c>
      <x:c r="D232" s="36" t="n">
        <x:v>2</x:v>
      </x:c>
      <x:c r="E232" s="26" t="str">
        <x:v>Ergonomic Hazards</x:v>
      </x:c>
      <x:c r="F232" s="26" t="str">
        <x:v>Unsuitable Desk or Chair</x:v>
      </x:c>
      <x:c r="G232" s="35" t="n">
        <x:v>12</x:v>
      </x:c>
      <x:c r="H232" s="35" t="n">
        <x:v>2</x:v>
      </x:c>
      <x:c r="I232" s="35" t="n">
        <x:v>1</x:v>
      </x:c>
      <x:c r="J232" s="35" t="n">
        <x:v>1</x:v>
      </x:c>
      <x:c r="K232" s="36" t="n">
        <x:f>IF(AND(S232=TRUE,ISNUMBER(I232),I232=INT(I232),I232&gt;=1,I232&lt;=3,ISNUMBER(J232),J232=INT(J232),J232&gt;=1,J232&lt;=3),I232*J232,"")</x:f>
        <x:v>1</x:v>
      </x:c>
      <x:c r="L232" s="26" t="str">
        <x:f>IF(K232="","",IF(K232&lt;=2,"LOW",IF(K232&lt;=4,"MEDIUM","HIGH")))</x:f>
        <x:v>LOW</x:v>
      </x:c>
      <x:c r="M232" s="25" t="str">
        <x:v>Task rotation, adjustable equipment, team lifting, and safe-patient-handling guidance are used.</x:v>
      </x:c>
      <x:c r="N232" s="25" t="str"/>
      <x:c r="O232" s="30" t="b">
        <x:v>0</x:v>
      </x:c>
      <x:c r="P232" s="27" t="str">
        <x:v>ERGONOMIC</x:v>
      </x:c>
      <x:c r="Q232" s="27" t="str">
        <x:v>unsuitable_desk_chair</x:v>
      </x:c>
      <x:c r="R232" s="27" t="str"/>
      <x:c r="S232" s="31" t="b">
        <x:v>1</x:v>
      </x:c>
      <x:c r="T232" s="27" t="str">
        <x:v>ASM-2026-034</x:v>
      </x:c>
      <x:c r="U232" s="27" t="str">
        <x:v>HZ-2026-034-02</x:v>
      </x:c>
    </x:row>
    <x:row r="233">
      <x:c r="A233" s="28" t="str">
        <x:v>Occupational Health</x:v>
      </x:c>
      <x:c r="B233" s="37" t="n">
        <x:v>46115</x:v>
      </x:c>
      <x:c r="C233" s="26" t="str">
        <x:v>RAH01-2026-034</x:v>
      </x:c>
      <x:c r="D233" s="36" t="n">
        <x:v>3</x:v>
      </x:c>
      <x:c r="E233" s="26" t="str">
        <x:v>Ergonomic Hazards</x:v>
      </x:c>
      <x:c r="F233" s="26" t="str">
        <x:v>Repetitive Tasks</x:v>
      </x:c>
      <x:c r="G233" s="35" t="n">
        <x:v>3</x:v>
      </x:c>
      <x:c r="H233" s="35" t="n">
        <x:v>0</x:v>
      </x:c>
      <x:c r="I233" s="35" t="n">
        <x:v>2</x:v>
      </x:c>
      <x:c r="J233" s="35" t="n">
        <x:v>1</x:v>
      </x:c>
      <x:c r="K233" s="36" t="n">
        <x:f>IF(AND(S233=TRUE,ISNUMBER(I233),I233=INT(I233),I233&gt;=1,I233&lt;=3,ISNUMBER(J233),J233=INT(J233),J233&gt;=1,J233&lt;=3),I233*J233,"")</x:f>
        <x:v>2</x:v>
      </x:c>
      <x:c r="L233" s="26" t="str">
        <x:f>IF(K233="","",IF(K233&lt;=2,"LOW",IF(K233&lt;=4,"MEDIUM","HIGH")))</x:f>
        <x:v>LOW</x:v>
      </x:c>
      <x:c r="M233" s="25" t="str">
        <x:v>Task rotation, adjustable equipment, team lifting, and safe-patient-handling guidance are used.</x:v>
      </x:c>
      <x:c r="N233" s="25" t="str"/>
      <x:c r="O233" s="30" t="b">
        <x:v>0</x:v>
      </x:c>
      <x:c r="P233" s="27" t="str">
        <x:v>ERGONOMIC</x:v>
      </x:c>
      <x:c r="Q233" s="27" t="str">
        <x:v>repetitive_tasks</x:v>
      </x:c>
      <x:c r="R233" s="27" t="str"/>
      <x:c r="S233" s="31" t="b">
        <x:v>1</x:v>
      </x:c>
      <x:c r="T233" s="27" t="str">
        <x:v>ASM-2026-034</x:v>
      </x:c>
      <x:c r="U233" s="27" t="str">
        <x:v>HZ-2026-034-03</x:v>
      </x:c>
    </x:row>
    <x:row r="234">
      <x:c r="A234" s="28" t="str">
        <x:v>Occupational Health</x:v>
      </x:c>
      <x:c r="B234" s="37" t="n">
        <x:v>46115</x:v>
      </x:c>
      <x:c r="C234" s="26" t="str">
        <x:v>RAH01-2026-034</x:v>
      </x:c>
      <x:c r="D234" s="36" t="n">
        <x:v>4</x:v>
      </x:c>
      <x:c r="E234" s="26" t="str">
        <x:v>Psychosocial Hazards</x:v>
      </x:c>
      <x:c r="F234" s="26" t="str">
        <x:v>Work Stress</x:v>
      </x:c>
      <x:c r="G234" s="35" t="n">
        <x:v>6</x:v>
      </x:c>
      <x:c r="H234" s="35" t="n">
        <x:v>1</x:v>
      </x:c>
      <x:c r="I234" s="35" t="n">
        <x:v>1</x:v>
      </x:c>
      <x:c r="J234" s="35" t="n">
        <x:v>2</x:v>
      </x:c>
      <x:c r="K234" s="36" t="n">
        <x:f>IF(AND(S234=TRUE,ISNUMBER(I234),I234=INT(I234),I234&gt;=1,I234&lt;=3,ISNUMBER(J234),J234=INT(J234),J234&gt;=1,J234&lt;=3),I234*J234,"")</x:f>
        <x:v>2</x:v>
      </x:c>
      <x:c r="L234" s="26" t="str">
        <x:f>IF(K234="","",IF(K234&lt;=2,"LOW",IF(K234&lt;=4,"MEDIUM","HIGH")))</x:f>
        <x:v>LOW</x:v>
      </x:c>
      <x:c r="M234" s="25" t="str">
        <x:v>Shift planning, escalation pathways, security support, breaks, and supervisor check-ins are available.</x:v>
      </x:c>
      <x:c r="N234" s="25" t="str"/>
      <x:c r="O234" s="30" t="b">
        <x:v>0</x:v>
      </x:c>
      <x:c r="P234" s="27" t="str">
        <x:v>PSYCHOSOCIAL</x:v>
      </x:c>
      <x:c r="Q234" s="27" t="str">
        <x:v>work_stress</x:v>
      </x:c>
      <x:c r="R234" s="27" t="str"/>
      <x:c r="S234" s="31" t="b">
        <x:v>1</x:v>
      </x:c>
      <x:c r="T234" s="27" t="str">
        <x:v>ASM-2026-034</x:v>
      </x:c>
      <x:c r="U234" s="27" t="str">
        <x:v>HZ-2026-034-04</x:v>
      </x:c>
    </x:row>
    <x:row r="235">
      <x:c r="A235" s="28" t="str">
        <x:v>Occupational Health</x:v>
      </x:c>
      <x:c r="B235" s="37" t="n">
        <x:v>46115</x:v>
      </x:c>
      <x:c r="C235" s="26" t="str">
        <x:v>RAH01-2026-034</x:v>
      </x:c>
      <x:c r="D235" s="36" t="n">
        <x:v>5</x:v>
      </x:c>
      <x:c r="E235" s="26" t="str">
        <x:v>Physical Hazards</x:v>
      </x:c>
      <x:c r="F235" s="26" t="str">
        <x:v>Lighting</x:v>
      </x:c>
      <x:c r="G235" s="35" t="n">
        <x:v>9</x:v>
      </x:c>
      <x:c r="H235" s="35" t="n">
        <x:v>2</x:v>
      </x:c>
      <x:c r="I235" s="35" t="n">
        <x:v>1</x:v>
      </x:c>
      <x:c r="J235" s="35" t="n">
        <x:v>1</x:v>
      </x:c>
      <x:c r="K235" s="36" t="n">
        <x:f>IF(AND(S235=TRUE,ISNUMBER(I235),I235=INT(I235),I235&gt;=1,I235&lt;=3,ISNUMBER(J235),J235=INT(J235),J235&gt;=1,J235&lt;=3),I235*J235,"")</x:f>
        <x:v>1</x:v>
      </x:c>
      <x:c r="L235" s="26" t="str">
        <x:f>IF(K235="","",IF(K235&lt;=2,"LOW",IF(K235&lt;=4,"MEDIUM","HIGH")))</x:f>
        <x:v>LOW</x:v>
      </x:c>
      <x:c r="M235" s="25" t="str">
        <x:v>Engineering controls, preventive maintenance, posted limits, and periodic exposure monitoring are in place.</x:v>
      </x:c>
      <x:c r="N235" s="25" t="str"/>
      <x:c r="O235" s="30" t="b">
        <x:v>0</x:v>
      </x:c>
      <x:c r="P235" s="27" t="str">
        <x:v>PHYSICAL</x:v>
      </x:c>
      <x:c r="Q235" s="27" t="str">
        <x:v>lighting</x:v>
      </x:c>
      <x:c r="R235" s="27" t="str"/>
      <x:c r="S235" s="31" t="b">
        <x:v>1</x:v>
      </x:c>
      <x:c r="T235" s="27" t="str">
        <x:v>ASM-2026-034</x:v>
      </x:c>
      <x:c r="U235" s="27" t="str">
        <x:v>HZ-2026-034-05</x:v>
      </x:c>
    </x:row>
    <x:row r="236">
      <x:c r="A236" s="28" t="str">
        <x:v>Occupational Health</x:v>
      </x:c>
      <x:c r="B236" s="37" t="n">
        <x:v>46115</x:v>
      </x:c>
      <x:c r="C236" s="26" t="str">
        <x:v>RAH01-2026-034</x:v>
      </x:c>
      <x:c r="D236" s="36" t="n">
        <x:v>6</x:v>
      </x:c>
      <x:c r="E236" s="26" t="str">
        <x:v>Indoor Air Quality Hazards</x:v>
      </x:c>
      <x:c r="F236" s="26" t="str">
        <x:v>Dust</x:v>
      </x:c>
      <x:c r="G236" s="35" t="n">
        <x:v>12</x:v>
      </x:c>
      <x:c r="H236" s="35" t="n">
        <x:v>0</x:v>
      </x:c>
      <x:c r="I236" s="35" t="n">
        <x:v>2</x:v>
      </x:c>
      <x:c r="J236" s="35" t="n">
        <x:v>1</x:v>
      </x:c>
      <x:c r="K236" s="36" t="n">
        <x:f>IF(AND(S236=TRUE,ISNUMBER(I236),I236=INT(I236),I236&gt;=1,I236&lt;=3,ISNUMBER(J236),J236=INT(J236),J236&gt;=1,J236&lt;=3),I236*J236,"")</x:f>
        <x:v>2</x:v>
      </x:c>
      <x:c r="L236" s="26" t="str">
        <x:f>IF(K236="","",IF(K236&lt;=2,"LOW",IF(K236&lt;=4,"MEDIUM","HIGH")))</x:f>
        <x:v>LOW</x:v>
      </x:c>
      <x:c r="M236" s="25" t="str">
        <x:v>Ventilation, cleaning, occupancy management, and environmental inspection are performed.</x:v>
      </x:c>
      <x:c r="N236" s="25" t="str"/>
      <x:c r="O236" s="30" t="b">
        <x:v>0</x:v>
      </x:c>
      <x:c r="P236" s="27" t="str">
        <x:v>INDOOR_AIR_QUALITY</x:v>
      </x:c>
      <x:c r="Q236" s="27" t="str">
        <x:v>dust</x:v>
      </x:c>
      <x:c r="R236" s="27" t="str"/>
      <x:c r="S236" s="31" t="b">
        <x:v>1</x:v>
      </x:c>
      <x:c r="T236" s="27" t="str">
        <x:v>ASM-2026-034</x:v>
      </x:c>
      <x:c r="U236" s="27" t="str">
        <x:v>HZ-2026-034-06</x:v>
      </x:c>
    </x:row>
    <x:row r="237">
      <x:c r="A237" s="28" t="str">
        <x:v>Oncology</x:v>
      </x:c>
      <x:c r="B237" s="37" t="n">
        <x:v>46148</x:v>
      </x:c>
      <x:c r="C237" s="26" t="str">
        <x:v>RAH01-2026-035</x:v>
      </x:c>
      <x:c r="D237" s="36" t="n">
        <x:v>1</x:v>
      </x:c>
      <x:c r="E237" s="26" t="str">
        <x:v>Ergonomic Hazards</x:v>
      </x:c>
      <x:c r="F237" s="26" t="str">
        <x:v>Prolonged Standing or Sitting</x:v>
      </x:c>
      <x:c r="G237" s="35" t="n">
        <x:v>14</x:v>
      </x:c>
      <x:c r="H237" s="35" t="n">
        <x:v>2</x:v>
      </x:c>
      <x:c r="I237" s="35" t="n">
        <x:v>2</x:v>
      </x:c>
      <x:c r="J237" s="35" t="n">
        <x:v>1</x:v>
      </x:c>
      <x:c r="K237" s="36" t="n">
        <x:f>IF(AND(S237=TRUE,ISNUMBER(I237),I237=INT(I237),I237&gt;=1,I237&lt;=3,ISNUMBER(J237),J237=INT(J237),J237&gt;=1,J237&lt;=3),I237*J237,"")</x:f>
        <x:v>2</x:v>
      </x:c>
      <x:c r="L237" s="26" t="str">
        <x:f>IF(K237="","",IF(K237&lt;=2,"LOW",IF(K237&lt;=4,"MEDIUM","HIGH")))</x:f>
        <x:v>LOW</x:v>
      </x:c>
      <x:c r="M237" s="25" t="str">
        <x:v>Task rotation, adjustable equipment, team lifting, and safe-patient-handling guidance are used.</x:v>
      </x:c>
      <x:c r="N237" s="25" t="str"/>
      <x:c r="O237" s="30" t="b">
        <x:v>0</x:v>
      </x:c>
      <x:c r="P237" s="27" t="str">
        <x:v>ERGONOMIC</x:v>
      </x:c>
      <x:c r="Q237" s="27" t="str">
        <x:v>prolonged_standing_sitting</x:v>
      </x:c>
      <x:c r="R237" s="27" t="str"/>
      <x:c r="S237" s="31" t="b">
        <x:v>1</x:v>
      </x:c>
      <x:c r="T237" s="27" t="str">
        <x:v>ASM-2026-035</x:v>
      </x:c>
      <x:c r="U237" s="27" t="str">
        <x:v>HZ-2026-035-01</x:v>
      </x:c>
    </x:row>
    <x:row r="238">
      <x:c r="A238" s="28" t="str">
        <x:v>Oncology</x:v>
      </x:c>
      <x:c r="B238" s="37" t="n">
        <x:v>46148</x:v>
      </x:c>
      <x:c r="C238" s="26" t="str">
        <x:v>RAH01-2026-035</x:v>
      </x:c>
      <x:c r="D238" s="36" t="n">
        <x:v>2</x:v>
      </x:c>
      <x:c r="E238" s="26" t="str">
        <x:v>Ergonomic Hazards</x:v>
      </x:c>
      <x:c r="F238" s="26" t="str">
        <x:v>Unsuitable Desk or Chair</x:v>
      </x:c>
      <x:c r="G238" s="35" t="n">
        <x:v>17</x:v>
      </x:c>
      <x:c r="H238" s="35" t="n">
        <x:v>0</x:v>
      </x:c>
      <x:c r="I238" s="35" t="n">
        <x:v>1</x:v>
      </x:c>
      <x:c r="J238" s="35" t="n">
        <x:v>2</x:v>
      </x:c>
      <x:c r="K238" s="36" t="n">
        <x:f>IF(AND(S238=TRUE,ISNUMBER(I238),I238=INT(I238),I238&gt;=1,I238&lt;=3,ISNUMBER(J238),J238=INT(J238),J238&gt;=1,J238&lt;=3),I238*J238,"")</x:f>
        <x:v>2</x:v>
      </x:c>
      <x:c r="L238" s="26" t="str">
        <x:f>IF(K238="","",IF(K238&lt;=2,"LOW",IF(K238&lt;=4,"MEDIUM","HIGH")))</x:f>
        <x:v>LOW</x:v>
      </x:c>
      <x:c r="M238" s="25" t="str">
        <x:v>Task rotation, adjustable equipment, team lifting, and safe-patient-handling guidance are used.</x:v>
      </x:c>
      <x:c r="N238" s="25" t="str"/>
      <x:c r="O238" s="30" t="b">
        <x:v>0</x:v>
      </x:c>
      <x:c r="P238" s="27" t="str">
        <x:v>ERGONOMIC</x:v>
      </x:c>
      <x:c r="Q238" s="27" t="str">
        <x:v>unsuitable_desk_chair</x:v>
      </x:c>
      <x:c r="R238" s="27" t="str"/>
      <x:c r="S238" s="31" t="b">
        <x:v>1</x:v>
      </x:c>
      <x:c r="T238" s="27" t="str">
        <x:v>ASM-2026-035</x:v>
      </x:c>
      <x:c r="U238" s="27" t="str">
        <x:v>HZ-2026-035-02</x:v>
      </x:c>
    </x:row>
    <x:row r="239">
      <x:c r="A239" s="28" t="str">
        <x:v>Oncology</x:v>
      </x:c>
      <x:c r="B239" s="37" t="n">
        <x:v>46148</x:v>
      </x:c>
      <x:c r="C239" s="26" t="str">
        <x:v>RAH01-2026-035</x:v>
      </x:c>
      <x:c r="D239" s="36" t="n">
        <x:v>3</x:v>
      </x:c>
      <x:c r="E239" s="26" t="str">
        <x:v>Ergonomic Hazards</x:v>
      </x:c>
      <x:c r="F239" s="26" t="str">
        <x:v>Repetitive Tasks</x:v>
      </x:c>
      <x:c r="G239" s="35" t="n">
        <x:v>1</x:v>
      </x:c>
      <x:c r="H239" s="35" t="n">
        <x:v>1</x:v>
      </x:c>
      <x:c r="I239" s="35" t="n">
        <x:v>1</x:v>
      </x:c>
      <x:c r="J239" s="35" t="n">
        <x:v>1</x:v>
      </x:c>
      <x:c r="K239" s="36" t="n">
        <x:f>IF(AND(S239=TRUE,ISNUMBER(I239),I239=INT(I239),I239&gt;=1,I239&lt;=3,ISNUMBER(J239),J239=INT(J239),J239&gt;=1,J239&lt;=3),I239*J239,"")</x:f>
        <x:v>1</x:v>
      </x:c>
      <x:c r="L239" s="26" t="str">
        <x:f>IF(K239="","",IF(K239&lt;=2,"LOW",IF(K239&lt;=4,"MEDIUM","HIGH")))</x:f>
        <x:v>LOW</x:v>
      </x:c>
      <x:c r="M239" s="25" t="str">
        <x:v>Task rotation, adjustable equipment, team lifting, and safe-patient-handling guidance are used.</x:v>
      </x:c>
      <x:c r="N239" s="25" t="str"/>
      <x:c r="O239" s="30" t="b">
        <x:v>0</x:v>
      </x:c>
      <x:c r="P239" s="27" t="str">
        <x:v>ERGONOMIC</x:v>
      </x:c>
      <x:c r="Q239" s="27" t="str">
        <x:v>repetitive_tasks</x:v>
      </x:c>
      <x:c r="R239" s="27" t="str"/>
      <x:c r="S239" s="31" t="b">
        <x:v>1</x:v>
      </x:c>
      <x:c r="T239" s="27" t="str">
        <x:v>ASM-2026-035</x:v>
      </x:c>
      <x:c r="U239" s="27" t="str">
        <x:v>HZ-2026-035-03</x:v>
      </x:c>
    </x:row>
    <x:row r="240">
      <x:c r="A240" s="28" t="str">
        <x:v>Oncology</x:v>
      </x:c>
      <x:c r="B240" s="37" t="n">
        <x:v>46148</x:v>
      </x:c>
      <x:c r="C240" s="26" t="str">
        <x:v>RAH01-2026-035</x:v>
      </x:c>
      <x:c r="D240" s="36" t="n">
        <x:v>4</x:v>
      </x:c>
      <x:c r="E240" s="26" t="str">
        <x:v>Psychosocial Hazards</x:v>
      </x:c>
      <x:c r="F240" s="26" t="str">
        <x:v>Work Stress</x:v>
      </x:c>
      <x:c r="G240" s="35" t="n">
        <x:v>4</x:v>
      </x:c>
      <x:c r="H240" s="35" t="n">
        <x:v>2</x:v>
      </x:c>
      <x:c r="I240" s="35" t="n">
        <x:v>2</x:v>
      </x:c>
      <x:c r="J240" s="35" t="n">
        <x:v>1</x:v>
      </x:c>
      <x:c r="K240" s="36" t="n">
        <x:f>IF(AND(S240=TRUE,ISNUMBER(I240),I240=INT(I240),I240&gt;=1,I240&lt;=3,ISNUMBER(J240),J240=INT(J240),J240&gt;=1,J240&lt;=3),I240*J240,"")</x:f>
        <x:v>2</x:v>
      </x:c>
      <x:c r="L240" s="26" t="str">
        <x:f>IF(K240="","",IF(K240&lt;=2,"LOW",IF(K240&lt;=4,"MEDIUM","HIGH")))</x:f>
        <x:v>LOW</x:v>
      </x:c>
      <x:c r="M240" s="25" t="str">
        <x:v>Shift planning, escalation pathways, security support, breaks, and supervisor check-ins are available.</x:v>
      </x:c>
      <x:c r="N240" s="25" t="str"/>
      <x:c r="O240" s="30" t="b">
        <x:v>0</x:v>
      </x:c>
      <x:c r="P240" s="27" t="str">
        <x:v>PSYCHOSOCIAL</x:v>
      </x:c>
      <x:c r="Q240" s="27" t="str">
        <x:v>work_stress</x:v>
      </x:c>
      <x:c r="R240" s="27" t="str"/>
      <x:c r="S240" s="31" t="b">
        <x:v>1</x:v>
      </x:c>
      <x:c r="T240" s="27" t="str">
        <x:v>ASM-2026-035</x:v>
      </x:c>
      <x:c r="U240" s="27" t="str">
        <x:v>HZ-2026-035-04</x:v>
      </x:c>
    </x:row>
    <x:row r="241">
      <x:c r="A241" s="28" t="str">
        <x:v>Oncology</x:v>
      </x:c>
      <x:c r="B241" s="37" t="n">
        <x:v>46148</x:v>
      </x:c>
      <x:c r="C241" s="26" t="str">
        <x:v>RAH01-2026-035</x:v>
      </x:c>
      <x:c r="D241" s="36" t="n">
        <x:v>5</x:v>
      </x:c>
      <x:c r="E241" s="26" t="str">
        <x:v>Physical Hazards</x:v>
      </x:c>
      <x:c r="F241" s="26" t="str">
        <x:v>Lighting</x:v>
      </x:c>
      <x:c r="G241" s="35" t="n">
        <x:v>7</x:v>
      </x:c>
      <x:c r="H241" s="35" t="n">
        <x:v>0</x:v>
      </x:c>
      <x:c r="I241" s="35" t="n">
        <x:v>1</x:v>
      </x:c>
      <x:c r="J241" s="35" t="n">
        <x:v>2</x:v>
      </x:c>
      <x:c r="K241" s="36" t="n">
        <x:f>IF(AND(S241=TRUE,ISNUMBER(I241),I241=INT(I241),I241&gt;=1,I241&lt;=3,ISNUMBER(J241),J241=INT(J241),J241&gt;=1,J241&lt;=3),I241*J241,"")</x:f>
        <x:v>2</x:v>
      </x:c>
      <x:c r="L241" s="26" t="str">
        <x:f>IF(K241="","",IF(K241&lt;=2,"LOW",IF(K241&lt;=4,"MEDIUM","HIGH")))</x:f>
        <x:v>LOW</x:v>
      </x:c>
      <x:c r="M241" s="25" t="str">
        <x:v>Engineering controls, preventive maintenance, posted limits, and periodic exposure monitoring are in place.</x:v>
      </x:c>
      <x:c r="N241" s="25" t="str"/>
      <x:c r="O241" s="30" t="b">
        <x:v>0</x:v>
      </x:c>
      <x:c r="P241" s="27" t="str">
        <x:v>PHYSICAL</x:v>
      </x:c>
      <x:c r="Q241" s="27" t="str">
        <x:v>lighting</x:v>
      </x:c>
      <x:c r="R241" s="27" t="str"/>
      <x:c r="S241" s="31" t="b">
        <x:v>1</x:v>
      </x:c>
      <x:c r="T241" s="27" t="str">
        <x:v>ASM-2026-035</x:v>
      </x:c>
      <x:c r="U241" s="27" t="str">
        <x:v>HZ-2026-035-05</x:v>
      </x:c>
    </x:row>
    <x:row r="242">
      <x:c r="A242" s="28" t="str">
        <x:v>Oncology</x:v>
      </x:c>
      <x:c r="B242" s="37" t="n">
        <x:v>46148</x:v>
      </x:c>
      <x:c r="C242" s="26" t="str">
        <x:v>RAH01-2026-035</x:v>
      </x:c>
      <x:c r="D242" s="36" t="n">
        <x:v>6</x:v>
      </x:c>
      <x:c r="E242" s="26" t="str">
        <x:v>Fire and Disaster Hazards</x:v>
      </x:c>
      <x:c r="F242" s="26" t="str">
        <x:v>Electrical Equipment</x:v>
      </x:c>
      <x:c r="G242" s="35" t="n">
        <x:v>10</x:v>
      </x:c>
      <x:c r="H242" s="35" t="n">
        <x:v>1</x:v>
      </x:c>
      <x:c r="I242" s="35" t="n">
        <x:v>1</x:v>
      </x:c>
      <x:c r="J242" s="35" t="n">
        <x:v>1</x:v>
      </x:c>
      <x:c r="K242" s="36" t="n">
        <x:f>IF(AND(S242=TRUE,ISNUMBER(I242),I242=INT(I242),I242&gt;=1,I242&lt;=3,ISNUMBER(J242),J242=INT(J242),J242&gt;=1,J242&lt;=3),I242*J242,"")</x:f>
        <x:v>1</x:v>
      </x:c>
      <x:c r="L242" s="26" t="str">
        <x:f>IF(K242="","",IF(K242&lt;=2,"LOW",IF(K242&lt;=4,"MEDIUM","HIGH")))</x:f>
        <x:v>LOW</x:v>
      </x:c>
      <x:c r="M242" s="25" t="str">
        <x:v>Electrical inspection, isolation procedures, alarms, extinguishers, and emergency response plans are maintained.</x:v>
      </x:c>
      <x:c r="N242" s="25" t="str"/>
      <x:c r="O242" s="30" t="b">
        <x:v>0</x:v>
      </x:c>
      <x:c r="P242" s="27" t="str">
        <x:v>FIRE_DISASTER</x:v>
      </x:c>
      <x:c r="Q242" s="27" t="str">
        <x:v>electrical_equipment</x:v>
      </x:c>
      <x:c r="R242" s="27" t="str"/>
      <x:c r="S242" s="31" t="b">
        <x:v>1</x:v>
      </x:c>
      <x:c r="T242" s="27" t="str">
        <x:v>ASM-2026-035</x:v>
      </x:c>
      <x:c r="U242" s="27" t="str">
        <x:v>HZ-2026-035-06</x:v>
      </x:c>
    </x:row>
    <x:row r="243">
      <x:c r="A243" s="28" t="str">
        <x:v>Operating Theatre</x:v>
      </x:c>
      <x:c r="B243" s="37" t="n">
        <x:v>46182</x:v>
      </x:c>
      <x:c r="C243" s="26" t="str">
        <x:v>RAH01-2026-036</x:v>
      </x:c>
      <x:c r="D243" s="36" t="n">
        <x:v>1</x:v>
      </x:c>
      <x:c r="E243" s="26" t="str">
        <x:v>Fire and Disaster Hazards</x:v>
      </x:c>
      <x:c r="F243" s="26" t="str">
        <x:v>Electrical Work / Wiring</x:v>
      </x:c>
      <x:c r="G243" s="35" t="n">
        <x:v>21</x:v>
      </x:c>
      <x:c r="H243" s="35" t="n">
        <x:v>0</x:v>
      </x:c>
      <x:c r="I243" s="35" t="n">
        <x:v>2</x:v>
      </x:c>
      <x:c r="J243" s="35" t="n">
        <x:v>3</x:v>
      </x:c>
      <x:c r="K243" s="36" t="n">
        <x:f>IF(AND(S243=TRUE,ISNUMBER(I243),I243=INT(I243),I243&gt;=1,I243&lt;=3,ISNUMBER(J243),J243=INT(J243),J243&gt;=1,J243&lt;=3),I243*J243,"")</x:f>
        <x:v>6</x:v>
      </x:c>
      <x:c r="L243" s="26" t="str">
        <x:f>IF(K243="","",IF(K243&lt;=2,"LOW",IF(K243&lt;=4,"MEDIUM","HIGH")))</x:f>
        <x:v>HIGH</x:v>
      </x:c>
      <x:c r="M243" s="25" t="str">
        <x:v>Electrical inspection, isolation procedures, alarms, extinguishers, and emergency response plans are maintained.</x:v>
      </x:c>
      <x:c r="N243" s="25" t="str">
        <x:v>Complete an engineering inspection and emergency-readiness check before the next scheduled review.</x:v>
      </x:c>
      <x:c r="O243" s="30" t="b">
        <x:v>1</x:v>
      </x:c>
      <x:c r="P243" s="27" t="str">
        <x:v>FIRE_DISASTER</x:v>
      </x:c>
      <x:c r="Q243" s="27" t="str">
        <x:v>electrical_work</x:v>
      </x:c>
      <x:c r="R243" s="27" t="str"/>
      <x:c r="S243" s="31" t="b">
        <x:v>1</x:v>
      </x:c>
      <x:c r="T243" s="27" t="str">
        <x:v>ASM-2026-036</x:v>
      </x:c>
      <x:c r="U243" s="27" t="str">
        <x:v>HZ-2026-036-01</x:v>
      </x:c>
    </x:row>
    <x:row r="244">
      <x:c r="A244" s="28" t="str">
        <x:v>Operating Theatre</x:v>
      </x:c>
      <x:c r="B244" s="37" t="n">
        <x:v>46182</x:v>
      </x:c>
      <x:c r="C244" s="26" t="str">
        <x:v>RAH01-2026-036</x:v>
      </x:c>
      <x:c r="D244" s="36" t="n">
        <x:v>2</x:v>
      </x:c>
      <x:c r="E244" s="26" t="str">
        <x:v>Safety and Accident Hazards</x:v>
      </x:c>
      <x:c r="F244" s="26" t="str">
        <x:v>Machinery Operation</x:v>
      </x:c>
      <x:c r="G244" s="35" t="n">
        <x:v>24</x:v>
      </x:c>
      <x:c r="H244" s="35" t="n">
        <x:v>1</x:v>
      </x:c>
      <x:c r="I244" s="35" t="n">
        <x:v>3</x:v>
      </x:c>
      <x:c r="J244" s="35" t="n">
        <x:v>3</x:v>
      </x:c>
      <x:c r="K244" s="36" t="n">
        <x:f>IF(AND(S244=TRUE,ISNUMBER(I244),I244=INT(I244),I244&gt;=1,I244&lt;=3,ISNUMBER(J244),J244=INT(J244),J244&gt;=1,J244&lt;=3),I244*J244,"")</x:f>
        <x:v>9</x:v>
      </x:c>
      <x:c r="L244" s="26" t="str">
        <x:f>IF(K244="","",IF(K244&lt;=2,"LOW",IF(K244&lt;=4,"MEDIUM","HIGH")))</x:f>
        <x:v>HIGH</x:v>
      </x:c>
      <x:c r="M244" s="25" t="str">
        <x:v>Safe-work procedures, inspection, housekeeping, guards, and incident reporting are implemented.</x:v>
      </x:c>
      <x:c r="N244" s="25" t="str">
        <x:v>Correct the unsafe condition, document ownership, and verify effectiveness through a follow-up inspection.</x:v>
      </x:c>
      <x:c r="O244" s="30" t="b">
        <x:v>0</x:v>
      </x:c>
      <x:c r="P244" s="27" t="str">
        <x:v>SAFETY_ACCIDENT</x:v>
      </x:c>
      <x:c r="Q244" s="27" t="str">
        <x:v>machinery</x:v>
      </x:c>
      <x:c r="R244" s="27" t="str"/>
      <x:c r="S244" s="31" t="b">
        <x:v>1</x:v>
      </x:c>
      <x:c r="T244" s="27" t="str">
        <x:v>ASM-2026-036</x:v>
      </x:c>
      <x:c r="U244" s="27" t="str">
        <x:v>HZ-2026-036-02</x:v>
      </x:c>
    </x:row>
    <x:row r="245">
      <x:c r="A245" s="28" t="str">
        <x:v>Operating Theatre</x:v>
      </x:c>
      <x:c r="B245" s="37" t="n">
        <x:v>46182</x:v>
      </x:c>
      <x:c r="C245" s="26" t="str">
        <x:v>RAH01-2026-036</x:v>
      </x:c>
      <x:c r="D245" s="36" t="n">
        <x:v>3</x:v>
      </x:c>
      <x:c r="E245" s="26" t="str">
        <x:v>Physical Hazards</x:v>
      </x:c>
      <x:c r="F245" s="26" t="str">
        <x:v>Noise</x:v>
      </x:c>
      <x:c r="G245" s="35" t="n">
        <x:v>1</x:v>
      </x:c>
      <x:c r="H245" s="35" t="n">
        <x:v>2</x:v>
      </x:c>
      <x:c r="I245" s="35" t="n">
        <x:v>3</x:v>
      </x:c>
      <x:c r="J245" s="35" t="n">
        <x:v>2</x:v>
      </x:c>
      <x:c r="K245" s="36" t="n">
        <x:f>IF(AND(S245=TRUE,ISNUMBER(I245),I245=INT(I245),I245&gt;=1,I245&lt;=3,ISNUMBER(J245),J245=INT(J245),J245&gt;=1,J245&lt;=3),I245*J245,"")</x:f>
        <x:v>6</x:v>
      </x:c>
      <x:c r="L245" s="26" t="str">
        <x:f>IF(K245="","",IF(K245&lt;=2,"LOW",IF(K245&lt;=4,"MEDIUM","HIGH")))</x:f>
        <x:v>HIGH</x:v>
      </x:c>
      <x:c r="M245" s="25" t="str">
        <x:v>Engineering controls, preventive maintenance, posted limits, and periodic exposure monitoring are in place.</x:v>
      </x:c>
      <x:c r="N245" s="25" t="str">
        <x:v>Measure exposure against the hospital standard and close any engineering-control gap within 90 days.</x:v>
      </x:c>
      <x:c r="O245" s="30" t="b">
        <x:v>0</x:v>
      </x:c>
      <x:c r="P245" s="27" t="str">
        <x:v>PHYSICAL</x:v>
      </x:c>
      <x:c r="Q245" s="27" t="str">
        <x:v>noise</x:v>
      </x:c>
      <x:c r="R245" s="27" t="str"/>
      <x:c r="S245" s="31" t="b">
        <x:v>1</x:v>
      </x:c>
      <x:c r="T245" s="27" t="str">
        <x:v>ASM-2026-036</x:v>
      </x:c>
      <x:c r="U245" s="27" t="str">
        <x:v>HZ-2026-036-03</x:v>
      </x:c>
    </x:row>
    <x:row r="246">
      <x:c r="A246" s="28" t="str">
        <x:v>Operating Theatre</x:v>
      </x:c>
      <x:c r="B246" s="37" t="n">
        <x:v>46182</x:v>
      </x:c>
      <x:c r="C246" s="26" t="str">
        <x:v>RAH01-2026-036</x:v>
      </x:c>
      <x:c r="D246" s="36" t="n">
        <x:v>4</x:v>
      </x:c>
      <x:c r="E246" s="26" t="str">
        <x:v>Physical Hazards</x:v>
      </x:c>
      <x:c r="F246" s="26" t="str">
        <x:v>Heat</x:v>
      </x:c>
      <x:c r="G246" s="35" t="n">
        <x:v>4</x:v>
      </x:c>
      <x:c r="H246" s="35" t="n">
        <x:v>0</x:v>
      </x:c>
      <x:c r="I246" s="35" t="n">
        <x:v>2</x:v>
      </x:c>
      <x:c r="J246" s="35" t="n">
        <x:v>3</x:v>
      </x:c>
      <x:c r="K246" s="36" t="n">
        <x:f>IF(AND(S246=TRUE,ISNUMBER(I246),I246=INT(I246),I246&gt;=1,I246&lt;=3,ISNUMBER(J246),J246=INT(J246),J246&gt;=1,J246&lt;=3),I246*J246,"")</x:f>
        <x:v>6</x:v>
      </x:c>
      <x:c r="L246" s="26" t="str">
        <x:f>IF(K246="","",IF(K246&lt;=2,"LOW",IF(K246&lt;=4,"MEDIUM","HIGH")))</x:f>
        <x:v>HIGH</x:v>
      </x:c>
      <x:c r="M246" s="25" t="str">
        <x:v>Engineering controls, preventive maintenance, posted limits, and periodic exposure monitoring are in place.</x:v>
      </x:c>
      <x:c r="N246" s="25" t="str">
        <x:v>Measure exposure against the hospital standard and close any engineering-control gap within 90 days.</x:v>
      </x:c>
      <x:c r="O246" s="30" t="b">
        <x:v>1</x:v>
      </x:c>
      <x:c r="P246" s="27" t="str">
        <x:v>PHYSICAL</x:v>
      </x:c>
      <x:c r="Q246" s="27" t="str">
        <x:v>heat</x:v>
      </x:c>
      <x:c r="R246" s="27" t="str"/>
      <x:c r="S246" s="31" t="b">
        <x:v>1</x:v>
      </x:c>
      <x:c r="T246" s="27" t="str">
        <x:v>ASM-2026-036</x:v>
      </x:c>
      <x:c r="U246" s="27" t="str">
        <x:v>HZ-2026-036-04</x:v>
      </x:c>
    </x:row>
    <x:row r="247">
      <x:c r="A247" s="28" t="str">
        <x:v>Operating Theatre</x:v>
      </x:c>
      <x:c r="B247" s="37" t="n">
        <x:v>46182</x:v>
      </x:c>
      <x:c r="C247" s="26" t="str">
        <x:v>RAH01-2026-036</x:v>
      </x:c>
      <x:c r="D247" s="36" t="n">
        <x:v>5</x:v>
      </x:c>
      <x:c r="E247" s="26" t="str">
        <x:v>Safety and Accident Hazards</x:v>
      </x:c>
      <x:c r="F247" s="26" t="str">
        <x:v>Work at Height</x:v>
      </x:c>
      <x:c r="G247" s="35" t="n">
        <x:v>7</x:v>
      </x:c>
      <x:c r="H247" s="35" t="n">
        <x:v>1</x:v>
      </x:c>
      <x:c r="I247" s="35" t="n">
        <x:v>3</x:v>
      </x:c>
      <x:c r="J247" s="35" t="n">
        <x:v>3</x:v>
      </x:c>
      <x:c r="K247" s="36" t="n">
        <x:f>IF(AND(S247=TRUE,ISNUMBER(I247),I247=INT(I247),I247&gt;=1,I247&lt;=3,ISNUMBER(J247),J247=INT(J247),J247&gt;=1,J247&lt;=3),I247*J247,"")</x:f>
        <x:v>9</x:v>
      </x:c>
      <x:c r="L247" s="26" t="str">
        <x:f>IF(K247="","",IF(K247&lt;=2,"LOW",IF(K247&lt;=4,"MEDIUM","HIGH")))</x:f>
        <x:v>HIGH</x:v>
      </x:c>
      <x:c r="M247" s="25" t="str">
        <x:v>Safe-work procedures, inspection, housekeeping, guards, and incident reporting are implemented.</x:v>
      </x:c>
      <x:c r="N247" s="25" t="str">
        <x:v>Correct the unsafe condition, document ownership, and verify effectiveness through a follow-up inspection.</x:v>
      </x:c>
      <x:c r="O247" s="30" t="b">
        <x:v>0</x:v>
      </x:c>
      <x:c r="P247" s="27" t="str">
        <x:v>SAFETY_ACCIDENT</x:v>
      </x:c>
      <x:c r="Q247" s="27" t="str">
        <x:v>work_at_height</x:v>
      </x:c>
      <x:c r="R247" s="27" t="str"/>
      <x:c r="S247" s="31" t="b">
        <x:v>1</x:v>
      </x:c>
      <x:c r="T247" s="27" t="str">
        <x:v>ASM-2026-036</x:v>
      </x:c>
      <x:c r="U247" s="27" t="str">
        <x:v>HZ-2026-036-05</x:v>
      </x:c>
    </x:row>
    <x:row r="248">
      <x:c r="A248" s="28" t="str">
        <x:v>Operating Theatre</x:v>
      </x:c>
      <x:c r="B248" s="37" t="n">
        <x:v>46182</x:v>
      </x:c>
      <x:c r="C248" s="26" t="str">
        <x:v>RAH01-2026-036</x:v>
      </x:c>
      <x:c r="D248" s="36" t="n">
        <x:v>6</x:v>
      </x:c>
      <x:c r="E248" s="26" t="str">
        <x:v>Safety and Accident Hazards</x:v>
      </x:c>
      <x:c r="F248" s="26" t="str">
        <x:v>Confined Space Work</x:v>
      </x:c>
      <x:c r="G248" s="35" t="n">
        <x:v>10</x:v>
      </x:c>
      <x:c r="H248" s="35" t="n">
        <x:v>2</x:v>
      </x:c>
      <x:c r="I248" s="35" t="n">
        <x:v>3</x:v>
      </x:c>
      <x:c r="J248" s="35" t="n">
        <x:v>2</x:v>
      </x:c>
      <x:c r="K248" s="36" t="n">
        <x:f>IF(AND(S248=TRUE,ISNUMBER(I248),I248=INT(I248),I248&gt;=1,I248&lt;=3,ISNUMBER(J248),J248=INT(J248),J248&gt;=1,J248&lt;=3),I248*J248,"")</x:f>
        <x:v>6</x:v>
      </x:c>
      <x:c r="L248" s="26" t="str">
        <x:f>IF(K248="","",IF(K248&lt;=2,"LOW",IF(K248&lt;=4,"MEDIUM","HIGH")))</x:f>
        <x:v>HIGH</x:v>
      </x:c>
      <x:c r="M248" s="25" t="str">
        <x:v>Safe-work procedures, inspection, housekeeping, guards, and incident reporting are implemented.</x:v>
      </x:c>
      <x:c r="N248" s="25" t="str">
        <x:v>Correct the unsafe condition, document ownership, and verify effectiveness through a follow-up inspection.</x:v>
      </x:c>
      <x:c r="O248" s="30" t="b">
        <x:v>0</x:v>
      </x:c>
      <x:c r="P248" s="27" t="str">
        <x:v>SAFETY_ACCIDENT</x:v>
      </x:c>
      <x:c r="Q248" s="27" t="str">
        <x:v>confined_space</x:v>
      </x:c>
      <x:c r="R248" s="27" t="str"/>
      <x:c r="S248" s="31" t="b">
        <x:v>1</x:v>
      </x:c>
      <x:c r="T248" s="27" t="str">
        <x:v>ASM-2026-036</x:v>
      </x:c>
      <x:c r="U248" s="27" t="str">
        <x:v>HZ-2026-036-06</x:v>
      </x:c>
    </x:row>
    <x:row r="249">
      <x:c r="A249" s="28" t="str">
        <x:v>Operating Theatre</x:v>
      </x:c>
      <x:c r="B249" s="37" t="n">
        <x:v>46182</x:v>
      </x:c>
      <x:c r="C249" s="26" t="str">
        <x:v>RAH01-2026-036</x:v>
      </x:c>
      <x:c r="D249" s="36" t="n">
        <x:v>7</x:v>
      </x:c>
      <x:c r="E249" s="26" t="str">
        <x:v>Fire and Disaster Hazards</x:v>
      </x:c>
      <x:c r="F249" s="26" t="str">
        <x:v>Generator Work</x:v>
      </x:c>
      <x:c r="G249" s="35" t="n">
        <x:v>13</x:v>
      </x:c>
      <x:c r="H249" s="35" t="n">
        <x:v>0</x:v>
      </x:c>
      <x:c r="I249" s="35" t="n">
        <x:v>2</x:v>
      </x:c>
      <x:c r="J249" s="35" t="n">
        <x:v>3</x:v>
      </x:c>
      <x:c r="K249" s="36" t="n">
        <x:f>IF(AND(S249=TRUE,ISNUMBER(I249),I249=INT(I249),I249&gt;=1,I249&lt;=3,ISNUMBER(J249),J249=INT(J249),J249&gt;=1,J249&lt;=3),I249*J249,"")</x:f>
        <x:v>6</x:v>
      </x:c>
      <x:c r="L249" s="26" t="str">
        <x:f>IF(K249="","",IF(K249&lt;=2,"LOW",IF(K249&lt;=4,"MEDIUM","HIGH")))</x:f>
        <x:v>HIGH</x:v>
      </x:c>
      <x:c r="M249" s="25" t="str">
        <x:v>Electrical inspection, isolation procedures, alarms, extinguishers, and emergency response plans are maintained.</x:v>
      </x:c>
      <x:c r="N249" s="25" t="str">
        <x:v>Complete an engineering inspection and emergency-readiness check before the next scheduled review.</x:v>
      </x:c>
      <x:c r="O249" s="30" t="b">
        <x:v>1</x:v>
      </x:c>
      <x:c r="P249" s="27" t="str">
        <x:v>FIRE_DISASTER</x:v>
      </x:c>
      <x:c r="Q249" s="27" t="str">
        <x:v>generator</x:v>
      </x:c>
      <x:c r="R249" s="27" t="str"/>
      <x:c r="S249" s="31" t="b">
        <x:v>1</x:v>
      </x:c>
      <x:c r="T249" s="27" t="str">
        <x:v>ASM-2026-036</x:v>
      </x:c>
      <x:c r="U249" s="27" t="str">
        <x:v>HZ-2026-036-07</x:v>
      </x:c>
    </x:row>
    <x:row r="250">
      <x:c r="A250" s="28" t="str">
        <x:v>Operating Theatre</x:v>
      </x:c>
      <x:c r="B250" s="37" t="n">
        <x:v>46182</x:v>
      </x:c>
      <x:c r="C250" s="26" t="str">
        <x:v>RAH01-2026-036</x:v>
      </x:c>
      <x:c r="D250" s="36" t="n">
        <x:v>8</x:v>
      </x:c>
      <x:c r="E250" s="26" t="str">
        <x:v>Indoor Air Quality Hazards</x:v>
      </x:c>
      <x:c r="F250" s="26" t="str">
        <x:v>Poor Ventilation</x:v>
      </x:c>
      <x:c r="G250" s="35" t="n">
        <x:v>16</x:v>
      </x:c>
      <x:c r="H250" s="35" t="n">
        <x:v>1</x:v>
      </x:c>
      <x:c r="I250" s="35" t="n">
        <x:v>3</x:v>
      </x:c>
      <x:c r="J250" s="35" t="n">
        <x:v>3</x:v>
      </x:c>
      <x:c r="K250" s="36" t="n">
        <x:f>IF(AND(S250=TRUE,ISNUMBER(I250),I250=INT(I250),I250&gt;=1,I250&lt;=3,ISNUMBER(J250),J250=INT(J250),J250&gt;=1,J250&lt;=3),I250*J250,"")</x:f>
        <x:v>9</x:v>
      </x:c>
      <x:c r="L250" s="26" t="str">
        <x:f>IF(K250="","",IF(K250&lt;=2,"LOW",IF(K250&lt;=4,"MEDIUM","HIGH")))</x:f>
        <x:v>HIGH</x:v>
      </x:c>
      <x:c r="M250" s="25" t="str">
        <x:v>Ventilation, cleaning, occupancy management, and environmental inspection are performed.</x:v>
      </x:c>
      <x:c r="N250" s="25" t="str">
        <x:v>Inspect ventilation and moisture sources, then document corrective action and environmental recheck.</x:v>
      </x:c>
      <x:c r="O250" s="30" t="b">
        <x:v>0</x:v>
      </x:c>
      <x:c r="P250" s="27" t="str">
        <x:v>INDOOR_AIR_QUALITY</x:v>
      </x:c>
      <x:c r="Q250" s="27" t="str">
        <x:v>poor_ventilation</x:v>
      </x:c>
      <x:c r="R250" s="27" t="str"/>
      <x:c r="S250" s="31" t="b">
        <x:v>1</x:v>
      </x:c>
      <x:c r="T250" s="27" t="str">
        <x:v>ASM-2026-036</x:v>
      </x:c>
      <x:c r="U250" s="27" t="str">
        <x:v>HZ-2026-036-08</x:v>
      </x:c>
    </x:row>
    <x:row r="251">
      <x:c r="A251" s="28" t="str">
        <x:v>Operating Theatre</x:v>
      </x:c>
      <x:c r="B251" s="37" t="n">
        <x:v>46182</x:v>
      </x:c>
      <x:c r="C251" s="26" t="str">
        <x:v>RAH01-2026-036</x:v>
      </x:c>
      <x:c r="D251" s="36" t="n">
        <x:v>9</x:v>
      </x:c>
      <x:c r="E251" s="26" t="str">
        <x:v>Fire and Disaster Hazards</x:v>
      </x:c>
      <x:c r="F251" s="26" t="str">
        <x:v>Unexpected stored energy during utility maintenance</x:v>
      </x:c>
      <x:c r="G251" s="35" t="n">
        <x:v>19</x:v>
      </x:c>
      <x:c r="H251" s="35" t="n">
        <x:v>2</x:v>
      </x:c>
      <x:c r="I251" s="35" t="n">
        <x:v>3</x:v>
      </x:c>
      <x:c r="J251" s="35" t="n">
        <x:v>2</x:v>
      </x:c>
      <x:c r="K251" s="36" t="n">
        <x:f>IF(AND(S251=TRUE,ISNUMBER(I251),I251=INT(I251),I251&gt;=1,I251&lt;=3,ISNUMBER(J251),J251=INT(J251),J251&gt;=1,J251&lt;=3),I251*J251,"")</x:f>
        <x:v>6</x:v>
      </x:c>
      <x:c r="L251" s="26" t="str">
        <x:f>IF(K251="","",IF(K251&lt;=2,"LOW",IF(K251&lt;=4,"MEDIUM","HIGH")))</x:f>
        <x:v>HIGH</x:v>
      </x:c>
      <x:c r="M251" s="25" t="str">
        <x:v>Electrical inspection, isolation procedures, alarms, extinguishers, and emergency response plans are maintained.</x:v>
      </x:c>
      <x:c r="N251" s="25" t="str">
        <x:v>Complete an engineering inspection and emergency-readiness check before the next scheduled review.</x:v>
      </x:c>
      <x:c r="O251" s="30" t="b">
        <x:v>0</x:v>
      </x:c>
      <x:c r="P251" s="27" t="str">
        <x:v>FIRE_DISASTER</x:v>
      </x:c>
      <x:c r="Q251" s="27" t="str">
        <x:v>OTHER</x:v>
      </x:c>
      <x:c r="R251" s="27" t="str">
        <x:v>Unexpected stored energy during utility maintenance</x:v>
      </x:c>
      <x:c r="S251" s="31" t="b">
        <x:v>1</x:v>
      </x:c>
      <x:c r="T251" s="27" t="str">
        <x:v>ASM-2026-036</x:v>
      </x:c>
      <x:c r="U251" s="27" t="str">
        <x:v>HZ-2026-036-09</x:v>
      </x:c>
    </x:row>
    <x:row r="252">
      <x:c r="A252" s="28" t="str">
        <x:v>Orthopaedics</x:v>
      </x:c>
      <x:c r="B252" s="37" t="n">
        <x:v>46034</x:v>
      </x:c>
      <x:c r="C252" s="26" t="str">
        <x:v>RAH01-2026-037</x:v>
      </x:c>
      <x:c r="D252" s="36" t="n">
        <x:v>1</x:v>
      </x:c>
      <x:c r="E252" s="26" t="str">
        <x:v>Fire and Disaster Hazards</x:v>
      </x:c>
      <x:c r="F252" s="26" t="str">
        <x:v>Electrical Work / Wiring</x:v>
      </x:c>
      <x:c r="G252" s="35" t="n">
        <x:v>9</x:v>
      </x:c>
      <x:c r="H252" s="35" t="n">
        <x:v>1</x:v>
      </x:c>
      <x:c r="I252" s="35" t="n">
        <x:v>3</x:v>
      </x:c>
      <x:c r="J252" s="35" t="n">
        <x:v>2</x:v>
      </x:c>
      <x:c r="K252" s="36" t="n">
        <x:f>IF(AND(S252=TRUE,ISNUMBER(I252),I252=INT(I252),I252&gt;=1,I252&lt;=3,ISNUMBER(J252),J252=INT(J252),J252&gt;=1,J252&lt;=3),I252*J252,"")</x:f>
        <x:v>6</x:v>
      </x:c>
      <x:c r="L252" s="26" t="str">
        <x:f>IF(K252="","",IF(K252&lt;=2,"LOW",IF(K252&lt;=4,"MEDIUM","HIGH")))</x:f>
        <x:v>HIGH</x:v>
      </x:c>
      <x:c r="M252" s="25" t="str">
        <x:v>Electrical inspection, isolation procedures, alarms, extinguishers, and emergency response plans are maintained.</x:v>
      </x:c>
      <x:c r="N252" s="25" t="str">
        <x:v>Complete an engineering inspection and emergency-readiness check before the next scheduled review.</x:v>
      </x:c>
      <x:c r="O252" s="30" t="b">
        <x:v>0</x:v>
      </x:c>
      <x:c r="P252" s="27" t="str">
        <x:v>FIRE_DISASTER</x:v>
      </x:c>
      <x:c r="Q252" s="27" t="str">
        <x:v>electrical_work</x:v>
      </x:c>
      <x:c r="R252" s="27" t="str"/>
      <x:c r="S252" s="31" t="b">
        <x:v>1</x:v>
      </x:c>
      <x:c r="T252" s="27" t="str">
        <x:v>ASM-2026-037</x:v>
      </x:c>
      <x:c r="U252" s="27" t="str">
        <x:v>HZ-2026-037-01</x:v>
      </x:c>
    </x:row>
    <x:row r="253">
      <x:c r="A253" s="28" t="str">
        <x:v>Orthopaedics</x:v>
      </x:c>
      <x:c r="B253" s="37" t="n">
        <x:v>46034</x:v>
      </x:c>
      <x:c r="C253" s="26" t="str">
        <x:v>RAH01-2026-037</x:v>
      </x:c>
      <x:c r="D253" s="36" t="n">
        <x:v>2</x:v>
      </x:c>
      <x:c r="E253" s="26" t="str">
        <x:v>Safety and Accident Hazards</x:v>
      </x:c>
      <x:c r="F253" s="26" t="str">
        <x:v>Machinery Operation</x:v>
      </x:c>
      <x:c r="G253" s="35" t="n">
        <x:v>12</x:v>
      </x:c>
      <x:c r="H253" s="35" t="n">
        <x:v>2</x:v>
      </x:c>
      <x:c r="I253" s="35" t="n">
        <x:v>2</x:v>
      </x:c>
      <x:c r="J253" s="35" t="n">
        <x:v>3</x:v>
      </x:c>
      <x:c r="K253" s="36" t="n">
        <x:f>IF(AND(S253=TRUE,ISNUMBER(I253),I253=INT(I253),I253&gt;=1,I253&lt;=3,ISNUMBER(J253),J253=INT(J253),J253&gt;=1,J253&lt;=3),I253*J253,"")</x:f>
        <x:v>6</x:v>
      </x:c>
      <x:c r="L253" s="26" t="str">
        <x:f>IF(K253="","",IF(K253&lt;=2,"LOW",IF(K253&lt;=4,"MEDIUM","HIGH")))</x:f>
        <x:v>HIGH</x:v>
      </x:c>
      <x:c r="M253" s="25" t="str">
        <x:v>Safe-work procedures, inspection, housekeeping, guards, and incident reporting are implemented.</x:v>
      </x:c>
      <x:c r="N253" s="25" t="str">
        <x:v>Correct the unsafe condition, document ownership, and verify effectiveness through a follow-up inspection.</x:v>
      </x:c>
      <x:c r="O253" s="30" t="b">
        <x:v>0</x:v>
      </x:c>
      <x:c r="P253" s="27" t="str">
        <x:v>SAFETY_ACCIDENT</x:v>
      </x:c>
      <x:c r="Q253" s="27" t="str">
        <x:v>machinery</x:v>
      </x:c>
      <x:c r="R253" s="27" t="str"/>
      <x:c r="S253" s="31" t="b">
        <x:v>1</x:v>
      </x:c>
      <x:c r="T253" s="27" t="str">
        <x:v>ASM-2026-037</x:v>
      </x:c>
      <x:c r="U253" s="27" t="str">
        <x:v>HZ-2026-037-02</x:v>
      </x:c>
    </x:row>
    <x:row r="254">
      <x:c r="A254" s="28" t="str">
        <x:v>Orthopaedics</x:v>
      </x:c>
      <x:c r="B254" s="37" t="n">
        <x:v>46034</x:v>
      </x:c>
      <x:c r="C254" s="26" t="str">
        <x:v>RAH01-2026-037</x:v>
      </x:c>
      <x:c r="D254" s="36" t="n">
        <x:v>3</x:v>
      </x:c>
      <x:c r="E254" s="26" t="str">
        <x:v>Physical Hazards</x:v>
      </x:c>
      <x:c r="F254" s="26" t="str">
        <x:v>Noise</x:v>
      </x:c>
      <x:c r="G254" s="35" t="n">
        <x:v>15</x:v>
      </x:c>
      <x:c r="H254" s="35" t="n">
        <x:v>0</x:v>
      </x:c>
      <x:c r="I254" s="35" t="n">
        <x:v>3</x:v>
      </x:c>
      <x:c r="J254" s="35" t="n">
        <x:v>3</x:v>
      </x:c>
      <x:c r="K254" s="36" t="n">
        <x:f>IF(AND(S254=TRUE,ISNUMBER(I254),I254=INT(I254),I254&gt;=1,I254&lt;=3,ISNUMBER(J254),J254=INT(J254),J254&gt;=1,J254&lt;=3),I254*J254,"")</x:f>
        <x:v>9</x:v>
      </x:c>
      <x:c r="L254" s="26" t="str">
        <x:f>IF(K254="","",IF(K254&lt;=2,"LOW",IF(K254&lt;=4,"MEDIUM","HIGH")))</x:f>
        <x:v>HIGH</x:v>
      </x:c>
      <x:c r="M254" s="25" t="str">
        <x:v>Engineering controls, preventive maintenance, posted limits, and periodic exposure monitoring are in place.</x:v>
      </x:c>
      <x:c r="N254" s="25" t="str">
        <x:v>Measure exposure against the hospital standard and close any engineering-control gap within 90 days.</x:v>
      </x:c>
      <x:c r="O254" s="30" t="b">
        <x:v>1</x:v>
      </x:c>
      <x:c r="P254" s="27" t="str">
        <x:v>PHYSICAL</x:v>
      </x:c>
      <x:c r="Q254" s="27" t="str">
        <x:v>noise</x:v>
      </x:c>
      <x:c r="R254" s="27" t="str"/>
      <x:c r="S254" s="31" t="b">
        <x:v>1</x:v>
      </x:c>
      <x:c r="T254" s="27" t="str">
        <x:v>ASM-2026-037</x:v>
      </x:c>
      <x:c r="U254" s="27" t="str">
        <x:v>HZ-2026-037-03</x:v>
      </x:c>
    </x:row>
    <x:row r="255">
      <x:c r="A255" s="28" t="str">
        <x:v>Orthopaedics</x:v>
      </x:c>
      <x:c r="B255" s="37" t="n">
        <x:v>46034</x:v>
      </x:c>
      <x:c r="C255" s="26" t="str">
        <x:v>RAH01-2026-037</x:v>
      </x:c>
      <x:c r="D255" s="36" t="n">
        <x:v>4</x:v>
      </x:c>
      <x:c r="E255" s="26" t="str">
        <x:v>Physical Hazards</x:v>
      </x:c>
      <x:c r="F255" s="26" t="str">
        <x:v>Heat</x:v>
      </x:c>
      <x:c r="G255" s="35" t="n">
        <x:v>18</x:v>
      </x:c>
      <x:c r="H255" s="35" t="n">
        <x:v>1</x:v>
      </x:c>
      <x:c r="I255" s="35" t="n">
        <x:v>3</x:v>
      </x:c>
      <x:c r="J255" s="35" t="n">
        <x:v>2</x:v>
      </x:c>
      <x:c r="K255" s="36" t="n">
        <x:f>IF(AND(S255=TRUE,ISNUMBER(I255),I255=INT(I255),I255&gt;=1,I255&lt;=3,ISNUMBER(J255),J255=INT(J255),J255&gt;=1,J255&lt;=3),I255*J255,"")</x:f>
        <x:v>6</x:v>
      </x:c>
      <x:c r="L255" s="26" t="str">
        <x:f>IF(K255="","",IF(K255&lt;=2,"LOW",IF(K255&lt;=4,"MEDIUM","HIGH")))</x:f>
        <x:v>HIGH</x:v>
      </x:c>
      <x:c r="M255" s="25" t="str">
        <x:v>Engineering controls, preventive maintenance, posted limits, and periodic exposure monitoring are in place.</x:v>
      </x:c>
      <x:c r="N255" s="25" t="str">
        <x:v>Measure exposure against the hospital standard and close any engineering-control gap within 90 days.</x:v>
      </x:c>
      <x:c r="O255" s="30" t="b">
        <x:v>0</x:v>
      </x:c>
      <x:c r="P255" s="27" t="str">
        <x:v>PHYSICAL</x:v>
      </x:c>
      <x:c r="Q255" s="27" t="str">
        <x:v>heat</x:v>
      </x:c>
      <x:c r="R255" s="27" t="str"/>
      <x:c r="S255" s="31" t="b">
        <x:v>1</x:v>
      </x:c>
      <x:c r="T255" s="27" t="str">
        <x:v>ASM-2026-037</x:v>
      </x:c>
      <x:c r="U255" s="27" t="str">
        <x:v>HZ-2026-037-04</x:v>
      </x:c>
    </x:row>
    <x:row r="256">
      <x:c r="A256" s="28" t="str">
        <x:v>Orthopaedics</x:v>
      </x:c>
      <x:c r="B256" s="37" t="n">
        <x:v>46034</x:v>
      </x:c>
      <x:c r="C256" s="26" t="str">
        <x:v>RAH01-2026-037</x:v>
      </x:c>
      <x:c r="D256" s="36" t="n">
        <x:v>5</x:v>
      </x:c>
      <x:c r="E256" s="26" t="str">
        <x:v>Safety and Accident Hazards</x:v>
      </x:c>
      <x:c r="F256" s="26" t="str">
        <x:v>Work at Height</x:v>
      </x:c>
      <x:c r="G256" s="35" t="n">
        <x:v>21</x:v>
      </x:c>
      <x:c r="H256" s="35" t="n">
        <x:v>2</x:v>
      </x:c>
      <x:c r="I256" s="35" t="n">
        <x:v>2</x:v>
      </x:c>
      <x:c r="J256" s="35" t="n">
        <x:v>3</x:v>
      </x:c>
      <x:c r="K256" s="36" t="n">
        <x:f>IF(AND(S256=TRUE,ISNUMBER(I256),I256=INT(I256),I256&gt;=1,I256&lt;=3,ISNUMBER(J256),J256=INT(J256),J256&gt;=1,J256&lt;=3),I256*J256,"")</x:f>
        <x:v>6</x:v>
      </x:c>
      <x:c r="L256" s="26" t="str">
        <x:f>IF(K256="","",IF(K256&lt;=2,"LOW",IF(K256&lt;=4,"MEDIUM","HIGH")))</x:f>
        <x:v>HIGH</x:v>
      </x:c>
      <x:c r="M256" s="25" t="str">
        <x:v>Safe-work procedures, inspection, housekeeping, guards, and incident reporting are implemented.</x:v>
      </x:c>
      <x:c r="N256" s="25" t="str">
        <x:v>Correct the unsafe condition, document ownership, and verify effectiveness through a follow-up inspection.</x:v>
      </x:c>
      <x:c r="O256" s="30" t="b">
        <x:v>0</x:v>
      </x:c>
      <x:c r="P256" s="27" t="str">
        <x:v>SAFETY_ACCIDENT</x:v>
      </x:c>
      <x:c r="Q256" s="27" t="str">
        <x:v>work_at_height</x:v>
      </x:c>
      <x:c r="R256" s="27" t="str"/>
      <x:c r="S256" s="31" t="b">
        <x:v>1</x:v>
      </x:c>
      <x:c r="T256" s="27" t="str">
        <x:v>ASM-2026-037</x:v>
      </x:c>
      <x:c r="U256" s="27" t="str">
        <x:v>HZ-2026-037-05</x:v>
      </x:c>
    </x:row>
    <x:row r="257">
      <x:c r="A257" s="28" t="str">
        <x:v>Orthopaedics</x:v>
      </x:c>
      <x:c r="B257" s="37" t="n">
        <x:v>46034</x:v>
      </x:c>
      <x:c r="C257" s="26" t="str">
        <x:v>RAH01-2026-037</x:v>
      </x:c>
      <x:c r="D257" s="36" t="n">
        <x:v>6</x:v>
      </x:c>
      <x:c r="E257" s="26" t="str">
        <x:v>Safety and Accident Hazards</x:v>
      </x:c>
      <x:c r="F257" s="26" t="str">
        <x:v>Confined Space Work</x:v>
      </x:c>
      <x:c r="G257" s="35" t="n">
        <x:v>24</x:v>
      </x:c>
      <x:c r="H257" s="35" t="n">
        <x:v>0</x:v>
      </x:c>
      <x:c r="I257" s="35" t="n">
        <x:v>3</x:v>
      </x:c>
      <x:c r="J257" s="35" t="n">
        <x:v>3</x:v>
      </x:c>
      <x:c r="K257" s="36" t="n">
        <x:f>IF(AND(S257=TRUE,ISNUMBER(I257),I257=INT(I257),I257&gt;=1,I257&lt;=3,ISNUMBER(J257),J257=INT(J257),J257&gt;=1,J257&lt;=3),I257*J257,"")</x:f>
        <x:v>9</x:v>
      </x:c>
      <x:c r="L257" s="26" t="str">
        <x:f>IF(K257="","",IF(K257&lt;=2,"LOW",IF(K257&lt;=4,"MEDIUM","HIGH")))</x:f>
        <x:v>HIGH</x:v>
      </x:c>
      <x:c r="M257" s="25" t="str">
        <x:v>Safe-work procedures, inspection, housekeeping, guards, and incident reporting are implemented.</x:v>
      </x:c>
      <x:c r="N257" s="25" t="str">
        <x:v>Correct the unsafe condition, document ownership, and verify effectiveness through a follow-up inspection.</x:v>
      </x:c>
      <x:c r="O257" s="30" t="b">
        <x:v>1</x:v>
      </x:c>
      <x:c r="P257" s="27" t="str">
        <x:v>SAFETY_ACCIDENT</x:v>
      </x:c>
      <x:c r="Q257" s="27" t="str">
        <x:v>confined_space</x:v>
      </x:c>
      <x:c r="R257" s="27" t="str"/>
      <x:c r="S257" s="31" t="b">
        <x:v>1</x:v>
      </x:c>
      <x:c r="T257" s="27" t="str">
        <x:v>ASM-2026-037</x:v>
      </x:c>
      <x:c r="U257" s="27" t="str">
        <x:v>HZ-2026-037-06</x:v>
      </x:c>
    </x:row>
    <x:row r="258">
      <x:c r="A258" s="28" t="str">
        <x:v>Orthopaedics</x:v>
      </x:c>
      <x:c r="B258" s="37" t="n">
        <x:v>46034</x:v>
      </x:c>
      <x:c r="C258" s="26" t="str">
        <x:v>RAH01-2026-037</x:v>
      </x:c>
      <x:c r="D258" s="36" t="n">
        <x:v>7</x:v>
      </x:c>
      <x:c r="E258" s="26" t="str">
        <x:v>Fire and Disaster Hazards</x:v>
      </x:c>
      <x:c r="F258" s="26" t="str">
        <x:v>Generator Work</x:v>
      </x:c>
      <x:c r="G258" s="35" t="n">
        <x:v>27</x:v>
      </x:c>
      <x:c r="H258" s="35" t="n">
        <x:v>1</x:v>
      </x:c>
      <x:c r="I258" s="35" t="n">
        <x:v>3</x:v>
      </x:c>
      <x:c r="J258" s="35" t="n">
        <x:v>2</x:v>
      </x:c>
      <x:c r="K258" s="36" t="n">
        <x:f>IF(AND(S258=TRUE,ISNUMBER(I258),I258=INT(I258),I258&gt;=1,I258&lt;=3,ISNUMBER(J258),J258=INT(J258),J258&gt;=1,J258&lt;=3),I258*J258,"")</x:f>
        <x:v>6</x:v>
      </x:c>
      <x:c r="L258" s="26" t="str">
        <x:f>IF(K258="","",IF(K258&lt;=2,"LOW",IF(K258&lt;=4,"MEDIUM","HIGH")))</x:f>
        <x:v>HIGH</x:v>
      </x:c>
      <x:c r="M258" s="25" t="str">
        <x:v>Electrical inspection, isolation procedures, alarms, extinguishers, and emergency response plans are maintained.</x:v>
      </x:c>
      <x:c r="N258" s="25" t="str">
        <x:v>Complete an engineering inspection and emergency-readiness check before the next scheduled review.</x:v>
      </x:c>
      <x:c r="O258" s="30" t="b">
        <x:v>0</x:v>
      </x:c>
      <x:c r="P258" s="27" t="str">
        <x:v>FIRE_DISASTER</x:v>
      </x:c>
      <x:c r="Q258" s="27" t="str">
        <x:v>generator</x:v>
      </x:c>
      <x:c r="R258" s="27" t="str"/>
      <x:c r="S258" s="31" t="b">
        <x:v>1</x:v>
      </x:c>
      <x:c r="T258" s="27" t="str">
        <x:v>ASM-2026-037</x:v>
      </x:c>
      <x:c r="U258" s="27" t="str">
        <x:v>HZ-2026-037-07</x:v>
      </x:c>
    </x:row>
    <x:row r="259">
      <x:c r="A259" s="28" t="str">
        <x:v>Orthopaedics</x:v>
      </x:c>
      <x:c r="B259" s="37" t="n">
        <x:v>46034</x:v>
      </x:c>
      <x:c r="C259" s="26" t="str">
        <x:v>RAH01-2026-037</x:v>
      </x:c>
      <x:c r="D259" s="36" t="n">
        <x:v>8</x:v>
      </x:c>
      <x:c r="E259" s="26" t="str">
        <x:v>Safety and Accident Hazards</x:v>
      </x:c>
      <x:c r="F259" s="26" t="str">
        <x:v>Pathway Obstruction</x:v>
      </x:c>
      <x:c r="G259" s="35" t="n">
        <x:v>30</x:v>
      </x:c>
      <x:c r="H259" s="35" t="n">
        <x:v>2</x:v>
      </x:c>
      <x:c r="I259" s="35" t="n">
        <x:v>2</x:v>
      </x:c>
      <x:c r="J259" s="35" t="n">
        <x:v>3</x:v>
      </x:c>
      <x:c r="K259" s="36" t="n">
        <x:f>IF(AND(S259=TRUE,ISNUMBER(I259),I259=INT(I259),I259&gt;=1,I259&lt;=3,ISNUMBER(J259),J259=INT(J259),J259&gt;=1,J259&lt;=3),I259*J259,"")</x:f>
        <x:v>6</x:v>
      </x:c>
      <x:c r="L259" s="26" t="str">
        <x:f>IF(K259="","",IF(K259&lt;=2,"LOW",IF(K259&lt;=4,"MEDIUM","HIGH")))</x:f>
        <x:v>HIGH</x:v>
      </x:c>
      <x:c r="M259" s="25" t="str">
        <x:v>Safe-work procedures, inspection, housekeeping, guards, and incident reporting are implemented.</x:v>
      </x:c>
      <x:c r="N259" s="25" t="str">
        <x:v>Correct the unsafe condition, document ownership, and verify effectiveness through a follow-up inspection.</x:v>
      </x:c>
      <x:c r="O259" s="30" t="b">
        <x:v>0</x:v>
      </x:c>
      <x:c r="P259" s="27" t="str">
        <x:v>SAFETY_ACCIDENT</x:v>
      </x:c>
      <x:c r="Q259" s="27" t="str">
        <x:v>pathway_obstruction</x:v>
      </x:c>
      <x:c r="R259" s="27" t="str"/>
      <x:c r="S259" s="31" t="b">
        <x:v>1</x:v>
      </x:c>
      <x:c r="T259" s="27" t="str">
        <x:v>ASM-2026-037</x:v>
      </x:c>
      <x:c r="U259" s="27" t="str">
        <x:v>HZ-2026-037-08</x:v>
      </x:c>
    </x:row>
    <x:row r="260">
      <x:c r="A260" s="28" t="str">
        <x:v>Outpatient Department</x:v>
      </x:c>
      <x:c r="B260" s="37" t="n">
        <x:v>46068</x:v>
      </x:c>
      <x:c r="C260" s="26" t="str">
        <x:v>RAH01-2026-038</x:v>
      </x:c>
      <x:c r="D260" s="36" t="n">
        <x:v>1</x:v>
      </x:c>
      <x:c r="E260" s="26" t="str">
        <x:v>Biological Hazards</x:v>
      </x:c>
      <x:c r="F260" s="26" t="str">
        <x:v>Bacteria</x:v>
      </x:c>
      <x:c r="G260" s="35" t="n">
        <x:v>37</x:v>
      </x:c>
      <x:c r="H260" s="35" t="n">
        <x:v>2</x:v>
      </x:c>
      <x:c r="I260" s="35" t="n">
        <x:v>3</x:v>
      </x:c>
      <x:c r="J260" s="35" t="n">
        <x:v>3</x:v>
      </x:c>
      <x:c r="K260" s="36" t="n">
        <x:f>IF(AND(S260=TRUE,ISNUMBER(I260),I260=INT(I260),I260&gt;=1,I260&lt;=3,ISNUMBER(J260),J260=INT(J260),J260&gt;=1,J260&lt;=3),I260*J260,"")</x:f>
        <x:v>9</x:v>
      </x:c>
      <x:c r="L260" s="26" t="str">
        <x:f>IF(K260="","",IF(K260&lt;=2,"LOW",IF(K260&lt;=4,"MEDIUM","HIGH")))</x:f>
        <x:v>HIGH</x:v>
      </x:c>
      <x:c r="M260" s="25" t="str">
        <x:v>Standard precautions, hand hygiene, vaccination, cleaning, and appropriate PPE are implemented.</x:v>
      </x:c>
      <x:c r="N260" s="25" t="str">
        <x:v>Audit compliance, investigate exposure incidents, and reinforce source-control and PPE practice.</x:v>
      </x:c>
      <x:c r="O260" s="30" t="b">
        <x:v>0</x:v>
      </x:c>
      <x:c r="P260" s="27" t="str">
        <x:v>BIOLOGICAL</x:v>
      </x:c>
      <x:c r="Q260" s="27" t="str">
        <x:v>bacteria</x:v>
      </x:c>
      <x:c r="R260" s="27" t="str"/>
      <x:c r="S260" s="31" t="b">
        <x:v>1</x:v>
      </x:c>
      <x:c r="T260" s="27" t="str">
        <x:v>ASM-2026-038</x:v>
      </x:c>
      <x:c r="U260" s="27" t="str">
        <x:v>HZ-2026-038-01</x:v>
      </x:c>
    </x:row>
    <x:row r="261">
      <x:c r="A261" s="28" t="str">
        <x:v>Outpatient Department</x:v>
      </x:c>
      <x:c r="B261" s="37" t="n">
        <x:v>46068</x:v>
      </x:c>
      <x:c r="C261" s="26" t="str">
        <x:v>RAH01-2026-038</x:v>
      </x:c>
      <x:c r="D261" s="36" t="n">
        <x:v>2</x:v>
      </x:c>
      <x:c r="E261" s="26" t="str">
        <x:v>Safety and Accident Hazards</x:v>
      </x:c>
      <x:c r="F261" s="26" t="str">
        <x:v>Sharps / Needlestick</x:v>
      </x:c>
      <x:c r="G261" s="35" t="n">
        <x:v>40</x:v>
      </x:c>
      <x:c r="H261" s="35" t="n">
        <x:v>0</x:v>
      </x:c>
      <x:c r="I261" s="35" t="n">
        <x:v>3</x:v>
      </x:c>
      <x:c r="J261" s="35" t="n">
        <x:v>2</x:v>
      </x:c>
      <x:c r="K261" s="36" t="n">
        <x:f>IF(AND(S261=TRUE,ISNUMBER(I261),I261=INT(I261),I261&gt;=1,I261&lt;=3,ISNUMBER(J261),J261=INT(J261),J261&gt;=1,J261&lt;=3),I261*J261,"")</x:f>
        <x:v>6</x:v>
      </x:c>
      <x:c r="L261" s="26" t="str">
        <x:f>IF(K261="","",IF(K261&lt;=2,"LOW",IF(K261&lt;=4,"MEDIUM","HIGH")))</x:f>
        <x:v>HIGH</x:v>
      </x:c>
      <x:c r="M261" s="25" t="str">
        <x:v>Safe-work procedures, inspection, housekeeping, guards, and incident reporting are implemented.</x:v>
      </x:c>
      <x:c r="N261" s="25" t="str">
        <x:v>Correct the unsafe condition, document ownership, and verify effectiveness through a follow-up inspection.</x:v>
      </x:c>
      <x:c r="O261" s="30" t="b">
        <x:v>1</x:v>
      </x:c>
      <x:c r="P261" s="27" t="str">
        <x:v>SAFETY_ACCIDENT</x:v>
      </x:c>
      <x:c r="Q261" s="27" t="str">
        <x:v>sharps</x:v>
      </x:c>
      <x:c r="R261" s="27" t="str"/>
      <x:c r="S261" s="31" t="b">
        <x:v>1</x:v>
      </x:c>
      <x:c r="T261" s="27" t="str">
        <x:v>ASM-2026-038</x:v>
      </x:c>
      <x:c r="U261" s="27" t="str">
        <x:v>HZ-2026-038-02</x:v>
      </x:c>
    </x:row>
    <x:row r="262">
      <x:c r="A262" s="28" t="str">
        <x:v>Outpatient Department</x:v>
      </x:c>
      <x:c r="B262" s="37" t="n">
        <x:v>46068</x:v>
      </x:c>
      <x:c r="C262" s="26" t="str">
        <x:v>RAH01-2026-038</x:v>
      </x:c>
      <x:c r="D262" s="36" t="n">
        <x:v>3</x:v>
      </x:c>
      <x:c r="E262" s="26" t="str">
        <x:v>Chemical Hazards</x:v>
      </x:c>
      <x:c r="F262" s="26" t="str">
        <x:v>Floor Cleaner</x:v>
      </x:c>
      <x:c r="G262" s="35" t="n">
        <x:v>3</x:v>
      </x:c>
      <x:c r="H262" s="35" t="n">
        <x:v>1</x:v>
      </x:c>
      <x:c r="I262" s="35" t="n">
        <x:v>2</x:v>
      </x:c>
      <x:c r="J262" s="35" t="n">
        <x:v>3</x:v>
      </x:c>
      <x:c r="K262" s="36" t="n">
        <x:f>IF(AND(S262=TRUE,ISNUMBER(I262),I262=INT(I262),I262&gt;=1,I262&lt;=3,ISNUMBER(J262),J262=INT(J262),J262&gt;=1,J262&lt;=3),I262*J262,"")</x:f>
        <x:v>6</x:v>
      </x:c>
      <x:c r="L262" s="26" t="str">
        <x:f>IF(K262="","",IF(K262&lt;=2,"LOW",IF(K262&lt;=4,"MEDIUM","HIGH")))</x:f>
        <x:v>HIGH</x:v>
      </x:c>
      <x:c r="M262" s="25" t="str">
        <x:v>Safety data, labeled containers, local procedures, ventilation, and chemical-resistant PPE are available.</x:v>
      </x:c>
      <x:c r="N262" s="25" t="str">
        <x:v>Review substitution, ventilation, storage, spill response, and staff competency for this chemical task.</x:v>
      </x:c>
      <x:c r="O262" s="30" t="b">
        <x:v>0</x:v>
      </x:c>
      <x:c r="P262" s="27" t="str">
        <x:v>CHEMICAL</x:v>
      </x:c>
      <x:c r="Q262" s="27" t="str">
        <x:v>floor_cleaner</x:v>
      </x:c>
      <x:c r="R262" s="27" t="str"/>
      <x:c r="S262" s="31" t="b">
        <x:v>1</x:v>
      </x:c>
      <x:c r="T262" s="27" t="str">
        <x:v>ASM-2026-038</x:v>
      </x:c>
      <x:c r="U262" s="27" t="str">
        <x:v>HZ-2026-038-03</x:v>
      </x:c>
    </x:row>
    <x:row r="263">
      <x:c r="A263" s="28" t="str">
        <x:v>Outpatient Department</x:v>
      </x:c>
      <x:c r="B263" s="37" t="n">
        <x:v>46068</x:v>
      </x:c>
      <x:c r="C263" s="26" t="str">
        <x:v>RAH01-2026-038</x:v>
      </x:c>
      <x:c r="D263" s="36" t="n">
        <x:v>4</x:v>
      </x:c>
      <x:c r="E263" s="26" t="str">
        <x:v>Safety and Accident Hazards</x:v>
      </x:c>
      <x:c r="F263" s="26" t="str">
        <x:v>Slippery Surface</x:v>
      </x:c>
      <x:c r="G263" s="35" t="n">
        <x:v>6</x:v>
      </x:c>
      <x:c r="H263" s="35" t="n">
        <x:v>2</x:v>
      </x:c>
      <x:c r="I263" s="35" t="n">
        <x:v>3</x:v>
      </x:c>
      <x:c r="J263" s="35" t="n">
        <x:v>3</x:v>
      </x:c>
      <x:c r="K263" s="36" t="n">
        <x:f>IF(AND(S263=TRUE,ISNUMBER(I263),I263=INT(I263),I263&gt;=1,I263&lt;=3,ISNUMBER(J263),J263=INT(J263),J263&gt;=1,J263&lt;=3),I263*J263,"")</x:f>
        <x:v>9</x:v>
      </x:c>
      <x:c r="L263" s="26" t="str">
        <x:f>IF(K263="","",IF(K263&lt;=2,"LOW",IF(K263&lt;=4,"MEDIUM","HIGH")))</x:f>
        <x:v>HIGH</x:v>
      </x:c>
      <x:c r="M263" s="25" t="str">
        <x:v>Safe-work procedures, inspection, housekeeping, guards, and incident reporting are implemented.</x:v>
      </x:c>
      <x:c r="N263" s="25" t="str">
        <x:v>Correct the unsafe condition, document ownership, and verify effectiveness through a follow-up inspection.</x:v>
      </x:c>
      <x:c r="O263" s="30" t="b">
        <x:v>0</x:v>
      </x:c>
      <x:c r="P263" s="27" t="str">
        <x:v>SAFETY_ACCIDENT</x:v>
      </x:c>
      <x:c r="Q263" s="27" t="str">
        <x:v>slippery_surface</x:v>
      </x:c>
      <x:c r="R263" s="27" t="str"/>
      <x:c r="S263" s="31" t="b">
        <x:v>1</x:v>
      </x:c>
      <x:c r="T263" s="27" t="str">
        <x:v>ASM-2026-038</x:v>
      </x:c>
      <x:c r="U263" s="27" t="str">
        <x:v>HZ-2026-038-04</x:v>
      </x:c>
    </x:row>
    <x:row r="264">
      <x:c r="A264" s="28" t="str">
        <x:v>Outpatient Department</x:v>
      </x:c>
      <x:c r="B264" s="37" t="n">
        <x:v>46068</x:v>
      </x:c>
      <x:c r="C264" s="26" t="str">
        <x:v>RAH01-2026-038</x:v>
      </x:c>
      <x:c r="D264" s="36" t="n">
        <x:v>5</x:v>
      </x:c>
      <x:c r="E264" s="26" t="str">
        <x:v>Ergonomic Hazards</x:v>
      </x:c>
      <x:c r="F264" s="26" t="str">
        <x:v>Heavy Lifting / Patient Transfer</x:v>
      </x:c>
      <x:c r="G264" s="35" t="n">
        <x:v>9</x:v>
      </x:c>
      <x:c r="H264" s="35" t="n">
        <x:v>0</x:v>
      </x:c>
      <x:c r="I264" s="35" t="n">
        <x:v>3</x:v>
      </x:c>
      <x:c r="J264" s="35" t="n">
        <x:v>2</x:v>
      </x:c>
      <x:c r="K264" s="36" t="n">
        <x:f>IF(AND(S264=TRUE,ISNUMBER(I264),I264=INT(I264),I264&gt;=1,I264&lt;=3,ISNUMBER(J264),J264=INT(J264),J264&gt;=1,J264&lt;=3),I264*J264,"")</x:f>
        <x:v>6</x:v>
      </x:c>
      <x:c r="L264" s="26" t="str">
        <x:f>IF(K264="","",IF(K264&lt;=2,"LOW",IF(K264&lt;=4,"MEDIUM","HIGH")))</x:f>
        <x:v>HIGH</x:v>
      </x:c>
      <x:c r="M264" s="25" t="str">
        <x:v>Task rotation, adjustable equipment, team lifting, and safe-patient-handling guidance are used.</x:v>
      </x:c>
      <x:c r="N264" s="25" t="str">
        <x:v>Complete an ergonomic task assessment and implement equipment or workflow changes to reduce force and repetition.</x:v>
      </x:c>
      <x:c r="O264" s="30" t="b">
        <x:v>1</x:v>
      </x:c>
      <x:c r="P264" s="27" t="str">
        <x:v>ERGONOMIC</x:v>
      </x:c>
      <x:c r="Q264" s="27" t="str">
        <x:v>heavy_lifting_patient_transfer</x:v>
      </x:c>
      <x:c r="R264" s="27" t="str"/>
      <x:c r="S264" s="31" t="b">
        <x:v>1</x:v>
      </x:c>
      <x:c r="T264" s="27" t="str">
        <x:v>ASM-2026-038</x:v>
      </x:c>
      <x:c r="U264" s="27" t="str">
        <x:v>HZ-2026-038-05</x:v>
      </x:c>
    </x:row>
    <x:row r="265">
      <x:c r="A265" s="28" t="str">
        <x:v>Outpatient Department</x:v>
      </x:c>
      <x:c r="B265" s="37" t="n">
        <x:v>46068</x:v>
      </x:c>
      <x:c r="C265" s="26" t="str">
        <x:v>RAH01-2026-038</x:v>
      </x:c>
      <x:c r="D265" s="36" t="n">
        <x:v>6</x:v>
      </x:c>
      <x:c r="E265" s="26" t="str">
        <x:v>Ergonomic Hazards</x:v>
      </x:c>
      <x:c r="F265" s="26" t="str">
        <x:v>High Push / Pull Force</x:v>
      </x:c>
      <x:c r="G265" s="35" t="n">
        <x:v>12</x:v>
      </x:c>
      <x:c r="H265" s="35" t="n">
        <x:v>1</x:v>
      </x:c>
      <x:c r="I265" s="35" t="n">
        <x:v>2</x:v>
      </x:c>
      <x:c r="J265" s="35" t="n">
        <x:v>3</x:v>
      </x:c>
      <x:c r="K265" s="36" t="n">
        <x:f>IF(AND(S265=TRUE,ISNUMBER(I265),I265=INT(I265),I265&gt;=1,I265&lt;=3,ISNUMBER(J265),J265=INT(J265),J265&gt;=1,J265&lt;=3),I265*J265,"")</x:f>
        <x:v>6</x:v>
      </x:c>
      <x:c r="L265" s="26" t="str">
        <x:f>IF(K265="","",IF(K265&lt;=2,"LOW",IF(K265&lt;=4,"MEDIUM","HIGH")))</x:f>
        <x:v>HIGH</x:v>
      </x:c>
      <x:c r="M265" s="25" t="str">
        <x:v>Task rotation, adjustable equipment, team lifting, and safe-patient-handling guidance are used.</x:v>
      </x:c>
      <x:c r="N265" s="25" t="str">
        <x:v>Complete an ergonomic task assessment and implement equipment or workflow changes to reduce force and repetition.</x:v>
      </x:c>
      <x:c r="O265" s="30" t="b">
        <x:v>0</x:v>
      </x:c>
      <x:c r="P265" s="27" t="str">
        <x:v>ERGONOMIC</x:v>
      </x:c>
      <x:c r="Q265" s="27" t="str">
        <x:v>high_push_pull_force</x:v>
      </x:c>
      <x:c r="R265" s="27" t="str"/>
      <x:c r="S265" s="31" t="b">
        <x:v>1</x:v>
      </x:c>
      <x:c r="T265" s="27" t="str">
        <x:v>ASM-2026-038</x:v>
      </x:c>
      <x:c r="U265" s="27" t="str">
        <x:v>HZ-2026-038-06</x:v>
      </x:c>
    </x:row>
    <x:row r="266">
      <x:c r="A266" s="28" t="str">
        <x:v>Outpatient Department</x:v>
      </x:c>
      <x:c r="B266" s="37" t="n">
        <x:v>46068</x:v>
      </x:c>
      <x:c r="C266" s="26" t="str">
        <x:v>RAH01-2026-038</x:v>
      </x:c>
      <x:c r="D266" s="36" t="n">
        <x:v>7</x:v>
      </x:c>
      <x:c r="E266" s="26" t="str">
        <x:v>Ergonomic Hazards</x:v>
      </x:c>
      <x:c r="F266" s="26" t="str">
        <x:v>Repetitive Tasks</x:v>
      </x:c>
      <x:c r="G266" s="35" t="n">
        <x:v>15</x:v>
      </x:c>
      <x:c r="H266" s="35" t="n">
        <x:v>2</x:v>
      </x:c>
      <x:c r="I266" s="35" t="n">
        <x:v>3</x:v>
      </x:c>
      <x:c r="J266" s="35" t="n">
        <x:v>3</x:v>
      </x:c>
      <x:c r="K266" s="36" t="n">
        <x:f>IF(AND(S266=TRUE,ISNUMBER(I266),I266=INT(I266),I266&gt;=1,I266&lt;=3,ISNUMBER(J266),J266=INT(J266),J266&gt;=1,J266&lt;=3),I266*J266,"")</x:f>
        <x:v>9</x:v>
      </x:c>
      <x:c r="L266" s="26" t="str">
        <x:f>IF(K266="","",IF(K266&lt;=2,"LOW",IF(K266&lt;=4,"MEDIUM","HIGH")))</x:f>
        <x:v>HIGH</x:v>
      </x:c>
      <x:c r="M266" s="25" t="str">
        <x:v>Task rotation, adjustable equipment, team lifting, and safe-patient-handling guidance are used.</x:v>
      </x:c>
      <x:c r="N266" s="25" t="str">
        <x:v>Complete an ergonomic task assessment and implement equipment or workflow changes to reduce force and repetition.</x:v>
      </x:c>
      <x:c r="O266" s="30" t="b">
        <x:v>0</x:v>
      </x:c>
      <x:c r="P266" s="27" t="str">
        <x:v>ERGONOMIC</x:v>
      </x:c>
      <x:c r="Q266" s="27" t="str">
        <x:v>repetitive_tasks</x:v>
      </x:c>
      <x:c r="R266" s="27" t="str"/>
      <x:c r="S266" s="31" t="b">
        <x:v>1</x:v>
      </x:c>
      <x:c r="T266" s="27" t="str">
        <x:v>ASM-2026-038</x:v>
      </x:c>
      <x:c r="U266" s="27" t="str">
        <x:v>HZ-2026-038-07</x:v>
      </x:c>
    </x:row>
    <x:row r="267">
      <x:c r="A267" s="28" t="str">
        <x:v>Outpatient Department</x:v>
      </x:c>
      <x:c r="B267" s="37" t="n">
        <x:v>46068</x:v>
      </x:c>
      <x:c r="C267" s="26" t="str">
        <x:v>RAH01-2026-038</x:v>
      </x:c>
      <x:c r="D267" s="36" t="n">
        <x:v>8</x:v>
      </x:c>
      <x:c r="E267" s="26" t="str">
        <x:v>Physical Hazards</x:v>
      </x:c>
      <x:c r="F267" s="26" t="str">
        <x:v>Lighting</x:v>
      </x:c>
      <x:c r="G267" s="35" t="n">
        <x:v>18</x:v>
      </x:c>
      <x:c r="H267" s="35" t="n">
        <x:v>0</x:v>
      </x:c>
      <x:c r="I267" s="35" t="n">
        <x:v>3</x:v>
      </x:c>
      <x:c r="J267" s="35" t="n">
        <x:v>2</x:v>
      </x:c>
      <x:c r="K267" s="36" t="n">
        <x:f>IF(AND(S267=TRUE,ISNUMBER(I267),I267=INT(I267),I267&gt;=1,I267&lt;=3,ISNUMBER(J267),J267=INT(J267),J267&gt;=1,J267&lt;=3),I267*J267,"")</x:f>
        <x:v>6</x:v>
      </x:c>
      <x:c r="L267" s="26" t="str">
        <x:f>IF(K267="","",IF(K267&lt;=2,"LOW",IF(K267&lt;=4,"MEDIUM","HIGH")))</x:f>
        <x:v>HIGH</x:v>
      </x:c>
      <x:c r="M267" s="25" t="str">
        <x:v>Engineering controls, preventive maintenance, posted limits, and periodic exposure monitoring are in place.</x:v>
      </x:c>
      <x:c r="N267" s="25" t="str">
        <x:v>Measure exposure against the hospital standard and close any engineering-control gap within 90 days.</x:v>
      </x:c>
      <x:c r="O267" s="30" t="b">
        <x:v>1</x:v>
      </x:c>
      <x:c r="P267" s="27" t="str">
        <x:v>PHYSICAL</x:v>
      </x:c>
      <x:c r="Q267" s="27" t="str">
        <x:v>lighting</x:v>
      </x:c>
      <x:c r="R267" s="27" t="str"/>
      <x:c r="S267" s="31" t="b">
        <x:v>1</x:v>
      </x:c>
      <x:c r="T267" s="27" t="str">
        <x:v>ASM-2026-038</x:v>
      </x:c>
      <x:c r="U267" s="27" t="str">
        <x:v>HZ-2026-038-08</x:v>
      </x:c>
    </x:row>
    <x:row r="268">
      <x:c r="A268" s="28" t="str">
        <x:v>Paediatrics</x:v>
      </x:c>
      <x:c r="B268" s="37" t="n">
        <x:v>46099</x:v>
      </x:c>
      <x:c r="C268" s="26" t="str">
        <x:v>RAH01-2026-039</x:v>
      </x:c>
      <x:c r="D268" s="36" t="n">
        <x:v>1</x:v>
      </x:c>
      <x:c r="E268" s="26" t="str">
        <x:v>Biological Hazards</x:v>
      </x:c>
      <x:c r="F268" s="26" t="str">
        <x:v>Bacteria</x:v>
      </x:c>
      <x:c r="G268" s="35" t="n">
        <x:v>32</x:v>
      </x:c>
      <x:c r="H268" s="35" t="n">
        <x:v>0</x:v>
      </x:c>
      <x:c r="I268" s="35" t="n">
        <x:v>2</x:v>
      </x:c>
      <x:c r="J268" s="35" t="n">
        <x:v>3</x:v>
      </x:c>
      <x:c r="K268" s="36" t="n">
        <x:f>IF(AND(S268=TRUE,ISNUMBER(I268),I268=INT(I268),I268&gt;=1,I268&lt;=3,ISNUMBER(J268),J268=INT(J268),J268&gt;=1,J268&lt;=3),I268*J268,"")</x:f>
        <x:v>6</x:v>
      </x:c>
      <x:c r="L268" s="26" t="str">
        <x:f>IF(K268="","",IF(K268&lt;=2,"LOW",IF(K268&lt;=4,"MEDIUM","HIGH")))</x:f>
        <x:v>HIGH</x:v>
      </x:c>
      <x:c r="M268" s="25" t="str">
        <x:v>Standard precautions, hand hygiene, vaccination, cleaning, and appropriate PPE are implemented.</x:v>
      </x:c>
      <x:c r="N268" s="25" t="str">
        <x:v>Audit compliance, investigate exposure incidents, and reinforce source-control and PPE practice.</x:v>
      </x:c>
      <x:c r="O268" s="30" t="b">
        <x:v>1</x:v>
      </x:c>
      <x:c r="P268" s="27" t="str">
        <x:v>BIOLOGICAL</x:v>
      </x:c>
      <x:c r="Q268" s="27" t="str">
        <x:v>bacteria</x:v>
      </x:c>
      <x:c r="R268" s="27" t="str"/>
      <x:c r="S268" s="31" t="b">
        <x:v>1</x:v>
      </x:c>
      <x:c r="T268" s="27" t="str">
        <x:v>ASM-2026-039</x:v>
      </x:c>
      <x:c r="U268" s="27" t="str">
        <x:v>HZ-2026-039-01</x:v>
      </x:c>
    </x:row>
    <x:row r="269">
      <x:c r="A269" s="28" t="str">
        <x:v>Paediatrics</x:v>
      </x:c>
      <x:c r="B269" s="37" t="n">
        <x:v>46099</x:v>
      </x:c>
      <x:c r="C269" s="26" t="str">
        <x:v>RAH01-2026-039</x:v>
      </x:c>
      <x:c r="D269" s="36" t="n">
        <x:v>2</x:v>
      </x:c>
      <x:c r="E269" s="26" t="str">
        <x:v>Safety and Accident Hazards</x:v>
      </x:c>
      <x:c r="F269" s="26" t="str">
        <x:v>Sharps / Needlestick</x:v>
      </x:c>
      <x:c r="G269" s="35" t="n">
        <x:v>35</x:v>
      </x:c>
      <x:c r="H269" s="35" t="n">
        <x:v>1</x:v>
      </x:c>
      <x:c r="I269" s="35" t="n">
        <x:v>3</x:v>
      </x:c>
      <x:c r="J269" s="35" t="n">
        <x:v>3</x:v>
      </x:c>
      <x:c r="K269" s="36" t="n">
        <x:f>IF(AND(S269=TRUE,ISNUMBER(I269),I269=INT(I269),I269&gt;=1,I269&lt;=3,ISNUMBER(J269),J269=INT(J269),J269&gt;=1,J269&lt;=3),I269*J269,"")</x:f>
        <x:v>9</x:v>
      </x:c>
      <x:c r="L269" s="26" t="str">
        <x:f>IF(K269="","",IF(K269&lt;=2,"LOW",IF(K269&lt;=4,"MEDIUM","HIGH")))</x:f>
        <x:v>HIGH</x:v>
      </x:c>
      <x:c r="M269" s="25" t="str">
        <x:v>Safe-work procedures, inspection, housekeeping, guards, and incident reporting are implemented.</x:v>
      </x:c>
      <x:c r="N269" s="25" t="str">
        <x:v>Correct the unsafe condition, document ownership, and verify effectiveness through a follow-up inspection.</x:v>
      </x:c>
      <x:c r="O269" s="30" t="b">
        <x:v>0</x:v>
      </x:c>
      <x:c r="P269" s="27" t="str">
        <x:v>SAFETY_ACCIDENT</x:v>
      </x:c>
      <x:c r="Q269" s="27" t="str">
        <x:v>sharps</x:v>
      </x:c>
      <x:c r="R269" s="27" t="str"/>
      <x:c r="S269" s="31" t="b">
        <x:v>1</x:v>
      </x:c>
      <x:c r="T269" s="27" t="str">
        <x:v>ASM-2026-039</x:v>
      </x:c>
      <x:c r="U269" s="27" t="str">
        <x:v>HZ-2026-039-02</x:v>
      </x:c>
    </x:row>
    <x:row r="270">
      <x:c r="A270" s="28" t="str">
        <x:v>Paediatrics</x:v>
      </x:c>
      <x:c r="B270" s="37" t="n">
        <x:v>46099</x:v>
      </x:c>
      <x:c r="C270" s="26" t="str">
        <x:v>RAH01-2026-039</x:v>
      </x:c>
      <x:c r="D270" s="36" t="n">
        <x:v>3</x:v>
      </x:c>
      <x:c r="E270" s="26" t="str">
        <x:v>Chemical Hazards</x:v>
      </x:c>
      <x:c r="F270" s="26" t="str">
        <x:v>Floor Cleaner</x:v>
      </x:c>
      <x:c r="G270" s="35" t="n">
        <x:v>38</x:v>
      </x:c>
      <x:c r="H270" s="35" t="n">
        <x:v>2</x:v>
      </x:c>
      <x:c r="I270" s="35" t="n">
        <x:v>3</x:v>
      </x:c>
      <x:c r="J270" s="35" t="n">
        <x:v>2</x:v>
      </x:c>
      <x:c r="K270" s="36" t="n">
        <x:f>IF(AND(S270=TRUE,ISNUMBER(I270),I270=INT(I270),I270&gt;=1,I270&lt;=3,ISNUMBER(J270),J270=INT(J270),J270&gt;=1,J270&lt;=3),I270*J270,"")</x:f>
        <x:v>6</x:v>
      </x:c>
      <x:c r="L270" s="26" t="str">
        <x:f>IF(K270="","",IF(K270&lt;=2,"LOW",IF(K270&lt;=4,"MEDIUM","HIGH")))</x:f>
        <x:v>HIGH</x:v>
      </x:c>
      <x:c r="M270" s="25" t="str">
        <x:v>Safety data, labeled containers, local procedures, ventilation, and chemical-resistant PPE are available.</x:v>
      </x:c>
      <x:c r="N270" s="25" t="str">
        <x:v>Review substitution, ventilation, storage, spill response, and staff competency for this chemical task.</x:v>
      </x:c>
      <x:c r="O270" s="30" t="b">
        <x:v>0</x:v>
      </x:c>
      <x:c r="P270" s="27" t="str">
        <x:v>CHEMICAL</x:v>
      </x:c>
      <x:c r="Q270" s="27" t="str">
        <x:v>floor_cleaner</x:v>
      </x:c>
      <x:c r="R270" s="27" t="str"/>
      <x:c r="S270" s="31" t="b">
        <x:v>1</x:v>
      </x:c>
      <x:c r="T270" s="27" t="str">
        <x:v>ASM-2026-039</x:v>
      </x:c>
      <x:c r="U270" s="27" t="str">
        <x:v>HZ-2026-039-03</x:v>
      </x:c>
    </x:row>
    <x:row r="271">
      <x:c r="A271" s="28" t="str">
        <x:v>Paediatrics</x:v>
      </x:c>
      <x:c r="B271" s="37" t="n">
        <x:v>46099</x:v>
      </x:c>
      <x:c r="C271" s="26" t="str">
        <x:v>RAH01-2026-039</x:v>
      </x:c>
      <x:c r="D271" s="36" t="n">
        <x:v>4</x:v>
      </x:c>
      <x:c r="E271" s="26" t="str">
        <x:v>Safety and Accident Hazards</x:v>
      </x:c>
      <x:c r="F271" s="26" t="str">
        <x:v>Slippery Surface</x:v>
      </x:c>
      <x:c r="G271" s="35" t="n">
        <x:v>41</x:v>
      </x:c>
      <x:c r="H271" s="35" t="n">
        <x:v>0</x:v>
      </x:c>
      <x:c r="I271" s="35" t="n">
        <x:v>2</x:v>
      </x:c>
      <x:c r="J271" s="35" t="n">
        <x:v>3</x:v>
      </x:c>
      <x:c r="K271" s="36" t="n">
        <x:f>IF(AND(S271=TRUE,ISNUMBER(I271),I271=INT(I271),I271&gt;=1,I271&lt;=3,ISNUMBER(J271),J271=INT(J271),J271&gt;=1,J271&lt;=3),I271*J271,"")</x:f>
        <x:v>6</x:v>
      </x:c>
      <x:c r="L271" s="26" t="str">
        <x:f>IF(K271="","",IF(K271&lt;=2,"LOW",IF(K271&lt;=4,"MEDIUM","HIGH")))</x:f>
        <x:v>HIGH</x:v>
      </x:c>
      <x:c r="M271" s="25" t="str">
        <x:v>Safe-work procedures, inspection, housekeeping, guards, and incident reporting are implemented.</x:v>
      </x:c>
      <x:c r="N271" s="25" t="str">
        <x:v>Correct the unsafe condition, document ownership, and verify effectiveness through a follow-up inspection.</x:v>
      </x:c>
      <x:c r="O271" s="30" t="b">
        <x:v>1</x:v>
      </x:c>
      <x:c r="P271" s="27" t="str">
        <x:v>SAFETY_ACCIDENT</x:v>
      </x:c>
      <x:c r="Q271" s="27" t="str">
        <x:v>slippery_surface</x:v>
      </x:c>
      <x:c r="R271" s="27" t="str"/>
      <x:c r="S271" s="31" t="b">
        <x:v>1</x:v>
      </x:c>
      <x:c r="T271" s="27" t="str">
        <x:v>ASM-2026-039</x:v>
      </x:c>
      <x:c r="U271" s="27" t="str">
        <x:v>HZ-2026-039-04</x:v>
      </x:c>
    </x:row>
    <x:row r="272">
      <x:c r="A272" s="28" t="str">
        <x:v>Paediatrics</x:v>
      </x:c>
      <x:c r="B272" s="37" t="n">
        <x:v>46099</x:v>
      </x:c>
      <x:c r="C272" s="26" t="str">
        <x:v>RAH01-2026-039</x:v>
      </x:c>
      <x:c r="D272" s="36" t="n">
        <x:v>5</x:v>
      </x:c>
      <x:c r="E272" s="26" t="str">
        <x:v>Ergonomic Hazards</x:v>
      </x:c>
      <x:c r="F272" s="26" t="str">
        <x:v>Heavy Lifting / Patient Transfer</x:v>
      </x:c>
      <x:c r="G272" s="35" t="n">
        <x:v>44</x:v>
      </x:c>
      <x:c r="H272" s="35" t="n">
        <x:v>1</x:v>
      </x:c>
      <x:c r="I272" s="35" t="n">
        <x:v>3</x:v>
      </x:c>
      <x:c r="J272" s="35" t="n">
        <x:v>3</x:v>
      </x:c>
      <x:c r="K272" s="36" t="n">
        <x:f>IF(AND(S272=TRUE,ISNUMBER(I272),I272=INT(I272),I272&gt;=1,I272&lt;=3,ISNUMBER(J272),J272=INT(J272),J272&gt;=1,J272&lt;=3),I272*J272,"")</x:f>
        <x:v>9</x:v>
      </x:c>
      <x:c r="L272" s="26" t="str">
        <x:f>IF(K272="","",IF(K272&lt;=2,"LOW",IF(K272&lt;=4,"MEDIUM","HIGH")))</x:f>
        <x:v>HIGH</x:v>
      </x:c>
      <x:c r="M272" s="25" t="str">
        <x:v>Task rotation, adjustable equipment, team lifting, and safe-patient-handling guidance are used.</x:v>
      </x:c>
      <x:c r="N272" s="25" t="str">
        <x:v>Complete an ergonomic task assessment and implement equipment or workflow changes to reduce force and repetition.</x:v>
      </x:c>
      <x:c r="O272" s="30" t="b">
        <x:v>0</x:v>
      </x:c>
      <x:c r="P272" s="27" t="str">
        <x:v>ERGONOMIC</x:v>
      </x:c>
      <x:c r="Q272" s="27" t="str">
        <x:v>heavy_lifting_patient_transfer</x:v>
      </x:c>
      <x:c r="R272" s="27" t="str"/>
      <x:c r="S272" s="31" t="b">
        <x:v>1</x:v>
      </x:c>
      <x:c r="T272" s="27" t="str">
        <x:v>ASM-2026-039</x:v>
      </x:c>
      <x:c r="U272" s="27" t="str">
        <x:v>HZ-2026-039-05</x:v>
      </x:c>
    </x:row>
    <x:row r="273">
      <x:c r="A273" s="28" t="str">
        <x:v>Paediatrics</x:v>
      </x:c>
      <x:c r="B273" s="37" t="n">
        <x:v>46099</x:v>
      </x:c>
      <x:c r="C273" s="26" t="str">
        <x:v>RAH01-2026-039</x:v>
      </x:c>
      <x:c r="D273" s="36" t="n">
        <x:v>6</x:v>
      </x:c>
      <x:c r="E273" s="26" t="str">
        <x:v>Ergonomic Hazards</x:v>
      </x:c>
      <x:c r="F273" s="26" t="str">
        <x:v>High Push / Pull Force</x:v>
      </x:c>
      <x:c r="G273" s="35" t="n">
        <x:v>47</x:v>
      </x:c>
      <x:c r="H273" s="35" t="n">
        <x:v>2</x:v>
      </x:c>
      <x:c r="I273" s="35" t="n">
        <x:v>3</x:v>
      </x:c>
      <x:c r="J273" s="35" t="n">
        <x:v>2</x:v>
      </x:c>
      <x:c r="K273" s="36" t="n">
        <x:f>IF(AND(S273=TRUE,ISNUMBER(I273),I273=INT(I273),I273&gt;=1,I273&lt;=3,ISNUMBER(J273),J273=INT(J273),J273&gt;=1,J273&lt;=3),I273*J273,"")</x:f>
        <x:v>6</x:v>
      </x:c>
      <x:c r="L273" s="26" t="str">
        <x:f>IF(K273="","",IF(K273&lt;=2,"LOW",IF(K273&lt;=4,"MEDIUM","HIGH")))</x:f>
        <x:v>HIGH</x:v>
      </x:c>
      <x:c r="M273" s="25" t="str">
        <x:v>Task rotation, adjustable equipment, team lifting, and safe-patient-handling guidance are used.</x:v>
      </x:c>
      <x:c r="N273" s="25" t="str">
        <x:v>Complete an ergonomic task assessment and implement equipment or workflow changes to reduce force and repetition.</x:v>
      </x:c>
      <x:c r="O273" s="30" t="b">
        <x:v>0</x:v>
      </x:c>
      <x:c r="P273" s="27" t="str">
        <x:v>ERGONOMIC</x:v>
      </x:c>
      <x:c r="Q273" s="27" t="str">
        <x:v>high_push_pull_force</x:v>
      </x:c>
      <x:c r="R273" s="27" t="str"/>
      <x:c r="S273" s="31" t="b">
        <x:v>1</x:v>
      </x:c>
      <x:c r="T273" s="27" t="str">
        <x:v>ASM-2026-039</x:v>
      </x:c>
      <x:c r="U273" s="27" t="str">
        <x:v>HZ-2026-039-06</x:v>
      </x:c>
    </x:row>
    <x:row r="274">
      <x:c r="A274" s="28" t="str">
        <x:v>Paediatrics</x:v>
      </x:c>
      <x:c r="B274" s="37" t="n">
        <x:v>46099</x:v>
      </x:c>
      <x:c r="C274" s="26" t="str">
        <x:v>RAH01-2026-039</x:v>
      </x:c>
      <x:c r="D274" s="36" t="n">
        <x:v>7</x:v>
      </x:c>
      <x:c r="E274" s="26" t="str">
        <x:v>Ergonomic Hazards</x:v>
      </x:c>
      <x:c r="F274" s="26" t="str">
        <x:v>Repetitive Tasks</x:v>
      </x:c>
      <x:c r="G274" s="35" t="n">
        <x:v>3</x:v>
      </x:c>
      <x:c r="H274" s="35" t="n">
        <x:v>0</x:v>
      </x:c>
      <x:c r="I274" s="35" t="n">
        <x:v>2</x:v>
      </x:c>
      <x:c r="J274" s="35" t="n">
        <x:v>3</x:v>
      </x:c>
      <x:c r="K274" s="36" t="n">
        <x:f>IF(AND(S274=TRUE,ISNUMBER(I274),I274=INT(I274),I274&gt;=1,I274&lt;=3,ISNUMBER(J274),J274=INT(J274),J274&gt;=1,J274&lt;=3),I274*J274,"")</x:f>
        <x:v>6</x:v>
      </x:c>
      <x:c r="L274" s="26" t="str">
        <x:f>IF(K274="","",IF(K274&lt;=2,"LOW",IF(K274&lt;=4,"MEDIUM","HIGH")))</x:f>
        <x:v>HIGH</x:v>
      </x:c>
      <x:c r="M274" s="25" t="str">
        <x:v>Task rotation, adjustable equipment, team lifting, and safe-patient-handling guidance are used.</x:v>
      </x:c>
      <x:c r="N274" s="25" t="str">
        <x:v>Complete an ergonomic task assessment and implement equipment or workflow changes to reduce force and repetition.</x:v>
      </x:c>
      <x:c r="O274" s="30" t="b">
        <x:v>1</x:v>
      </x:c>
      <x:c r="P274" s="27" t="str">
        <x:v>ERGONOMIC</x:v>
      </x:c>
      <x:c r="Q274" s="27" t="str">
        <x:v>repetitive_tasks</x:v>
      </x:c>
      <x:c r="R274" s="27" t="str"/>
      <x:c r="S274" s="31" t="b">
        <x:v>1</x:v>
      </x:c>
      <x:c r="T274" s="27" t="str">
        <x:v>ASM-2026-039</x:v>
      </x:c>
      <x:c r="U274" s="27" t="str">
        <x:v>HZ-2026-039-07</x:v>
      </x:c>
    </x:row>
    <x:row r="275">
      <x:c r="A275" s="28" t="str">
        <x:v>Paediatrics</x:v>
      </x:c>
      <x:c r="B275" s="37" t="n">
        <x:v>46099</x:v>
      </x:c>
      <x:c r="C275" s="26" t="str">
        <x:v>RAH01-2026-039</x:v>
      </x:c>
      <x:c r="D275" s="36" t="n">
        <x:v>8</x:v>
      </x:c>
      <x:c r="E275" s="26" t="str">
        <x:v>Psychosocial Hazards</x:v>
      </x:c>
      <x:c r="F275" s="26" t="str">
        <x:v>Insufficient Rest</x:v>
      </x:c>
      <x:c r="G275" s="35" t="n">
        <x:v>6</x:v>
      </x:c>
      <x:c r="H275" s="35" t="n">
        <x:v>1</x:v>
      </x:c>
      <x:c r="I275" s="35" t="n">
        <x:v>3</x:v>
      </x:c>
      <x:c r="J275" s="35" t="n">
        <x:v>3</x:v>
      </x:c>
      <x:c r="K275" s="36" t="n">
        <x:f>IF(AND(S275=TRUE,ISNUMBER(I275),I275=INT(I275),I275&gt;=1,I275&lt;=3,ISNUMBER(J275),J275=INT(J275),J275&gt;=1,J275&lt;=3),I275*J275,"")</x:f>
        <x:v>9</x:v>
      </x:c>
      <x:c r="L275" s="26" t="str">
        <x:f>IF(K275="","",IF(K275&lt;=2,"LOW",IF(K275&lt;=4,"MEDIUM","HIGH")))</x:f>
        <x:v>HIGH</x:v>
      </x:c>
      <x:c r="M275" s="25" t="str">
        <x:v>Shift planning, escalation pathways, security support, breaks, and supervisor check-ins are available.</x:v>
      </x:c>
      <x:c r="N275" s="25" t="str">
        <x:v>Review staffing, breaks, escalation support, and violence-prevention controls with the department manager.</x:v>
      </x:c>
      <x:c r="O275" s="30" t="b">
        <x:v>0</x:v>
      </x:c>
      <x:c r="P275" s="27" t="str">
        <x:v>PSYCHOSOCIAL</x:v>
      </x:c>
      <x:c r="Q275" s="27" t="str">
        <x:v>insufficient_rest</x:v>
      </x:c>
      <x:c r="R275" s="27" t="str"/>
      <x:c r="S275" s="31" t="b">
        <x:v>1</x:v>
      </x:c>
      <x:c r="T275" s="27" t="str">
        <x:v>ASM-2026-039</x:v>
      </x:c>
      <x:c r="U275" s="27" t="str">
        <x:v>HZ-2026-039-08</x:v>
      </x:c>
    </x:row>
    <x:row r="276">
      <x:c r="A276" s="28" t="str">
        <x:v>Pathology</x:v>
      </x:c>
      <x:c r="B276" s="37" t="n">
        <x:v>46133</x:v>
      </x:c>
      <x:c r="C276" s="26" t="str">
        <x:v>RAH01-2026-040</x:v>
      </x:c>
      <x:c r="D276" s="36" t="n">
        <x:v>1</x:v>
      </x:c>
      <x:c r="E276" s="26" t="str">
        <x:v>Safety and Accident Hazards</x:v>
      </x:c>
      <x:c r="F276" s="26" t="str">
        <x:v>Vehicle Use</x:v>
      </x:c>
      <x:c r="G276" s="35" t="n">
        <x:v>27</x:v>
      </x:c>
      <x:c r="H276" s="35" t="n">
        <x:v>14</x:v>
      </x:c>
      <x:c r="I276" s="35" t="n">
        <x:v>3</x:v>
      </x:c>
      <x:c r="J276" s="35" t="n">
        <x:v>2</x:v>
      </x:c>
      <x:c r="K276" s="36" t="n">
        <x:f>IF(AND(S276=TRUE,ISNUMBER(I276),I276=INT(I276),I276&gt;=1,I276&lt;=3,ISNUMBER(J276),J276=INT(J276),J276&gt;=1,J276&lt;=3),I276*J276,"")</x:f>
        <x:v>6</x:v>
      </x:c>
      <x:c r="L276" s="26" t="str">
        <x:f>IF(K276="","",IF(K276&lt;=2,"LOW",IF(K276&lt;=4,"MEDIUM","HIGH")))</x:f>
        <x:v>HIGH</x:v>
      </x:c>
      <x:c r="M276" s="25" t="str">
        <x:v>Safe-work procedures, inspection, housekeeping, guards, and incident reporting are implemented.</x:v>
      </x:c>
      <x:c r="N276" s="25" t="str">
        <x:v>Correct the unsafe condition, document ownership, and verify effectiveness through a follow-up inspection.</x:v>
      </x:c>
      <x:c r="O276" s="30" t="b">
        <x:v>0</x:v>
      </x:c>
      <x:c r="P276" s="27" t="str">
        <x:v>SAFETY_ACCIDENT</x:v>
      </x:c>
      <x:c r="Q276" s="27" t="str">
        <x:v>vehicle_use</x:v>
      </x:c>
      <x:c r="R276" s="27" t="str"/>
      <x:c r="S276" s="31" t="b">
        <x:v>1</x:v>
      </x:c>
      <x:c r="T276" s="27" t="str">
        <x:v>ASM-2026-040</x:v>
      </x:c>
      <x:c r="U276" s="27" t="str">
        <x:v>HZ-2026-040-01</x:v>
      </x:c>
    </x:row>
    <x:row r="277">
      <x:c r="A277" s="28" t="str">
        <x:v>Pathology</x:v>
      </x:c>
      <x:c r="B277" s="37" t="n">
        <x:v>46133</x:v>
      </x:c>
      <x:c r="C277" s="26" t="str">
        <x:v>RAH01-2026-040</x:v>
      </x:c>
      <x:c r="D277" s="36" t="n">
        <x:v>2</x:v>
      </x:c>
      <x:c r="E277" s="26" t="str">
        <x:v>Ergonomic Hazards</x:v>
      </x:c>
      <x:c r="F277" s="26" t="str">
        <x:v>Heavy Lifting / Patient Transfer</x:v>
      </x:c>
      <x:c r="G277" s="35" t="n">
        <x:v>30</x:v>
      </x:c>
      <x:c r="H277" s="35" t="n">
        <x:v>21</x:v>
      </x:c>
      <x:c r="I277" s="35" t="n">
        <x:v>2</x:v>
      </x:c>
      <x:c r="J277" s="35" t="n">
        <x:v>3</x:v>
      </x:c>
      <x:c r="K277" s="36" t="n">
        <x:f>IF(AND(S277=TRUE,ISNUMBER(I277),I277=INT(I277),I277&gt;=1,I277&lt;=3,ISNUMBER(J277),J277=INT(J277),J277&gt;=1,J277&lt;=3),I277*J277,"")</x:f>
        <x:v>6</x:v>
      </x:c>
      <x:c r="L277" s="26" t="str">
        <x:f>IF(K277="","",IF(K277&lt;=2,"LOW",IF(K277&lt;=4,"MEDIUM","HIGH")))</x:f>
        <x:v>HIGH</x:v>
      </x:c>
      <x:c r="M277" s="25" t="str">
        <x:v>Task rotation, adjustable equipment, team lifting, and safe-patient-handling guidance are used.</x:v>
      </x:c>
      <x:c r="N277" s="25" t="str">
        <x:v>Complete an ergonomic task assessment and implement equipment or workflow changes to reduce force and repetition.</x:v>
      </x:c>
      <x:c r="O277" s="30" t="b">
        <x:v>0</x:v>
      </x:c>
      <x:c r="P277" s="27" t="str">
        <x:v>ERGONOMIC</x:v>
      </x:c>
      <x:c r="Q277" s="27" t="str">
        <x:v>heavy_lifting_patient_transfer</x:v>
      </x:c>
      <x:c r="R277" s="27" t="str"/>
      <x:c r="S277" s="31" t="b">
        <x:v>1</x:v>
      </x:c>
      <x:c r="T277" s="27" t="str">
        <x:v>ASM-2026-040</x:v>
      </x:c>
      <x:c r="U277" s="27" t="str">
        <x:v>HZ-2026-040-02</x:v>
      </x:c>
    </x:row>
    <x:row r="278">
      <x:c r="A278" s="28" t="str">
        <x:v>Pathology</x:v>
      </x:c>
      <x:c r="B278" s="37" t="n">
        <x:v>46133</x:v>
      </x:c>
      <x:c r="C278" s="26" t="str">
        <x:v>RAH01-2026-040</x:v>
      </x:c>
      <x:c r="D278" s="36" t="n">
        <x:v>3</x:v>
      </x:c>
      <x:c r="E278" s="26" t="str">
        <x:v>Ergonomic Hazards</x:v>
      </x:c>
      <x:c r="F278" s="26" t="str">
        <x:v>High Push / Pull Force</x:v>
      </x:c>
      <x:c r="G278" s="35" t="n">
        <x:v>33</x:v>
      </x:c>
      <x:c r="H278" s="35" t="n">
        <x:v>28</x:v>
      </x:c>
      <x:c r="I278" s="35" t="n">
        <x:v>3</x:v>
      </x:c>
      <x:c r="J278" s="35" t="n">
        <x:v>3</x:v>
      </x:c>
      <x:c r="K278" s="36" t="n">
        <x:f>IF(AND(S278=TRUE,ISNUMBER(I278),I278=INT(I278),I278&gt;=1,I278&lt;=3,ISNUMBER(J278),J278=INT(J278),J278&gt;=1,J278&lt;=3),I278*J278,"")</x:f>
        <x:v>9</x:v>
      </x:c>
      <x:c r="L278" s="26" t="str">
        <x:f>IF(K278="","",IF(K278&lt;=2,"LOW",IF(K278&lt;=4,"MEDIUM","HIGH")))</x:f>
        <x:v>HIGH</x:v>
      </x:c>
      <x:c r="M278" s="25" t="str">
        <x:v>Task rotation, adjustable equipment, team lifting, and safe-patient-handling guidance are used.</x:v>
      </x:c>
      <x:c r="N278" s="25" t="str">
        <x:v>Complete an ergonomic task assessment and implement equipment or workflow changes to reduce force and repetition.</x:v>
      </x:c>
      <x:c r="O278" s="30" t="b">
        <x:v>1</x:v>
      </x:c>
      <x:c r="P278" s="27" t="str">
        <x:v>ERGONOMIC</x:v>
      </x:c>
      <x:c r="Q278" s="27" t="str">
        <x:v>high_push_pull_force</x:v>
      </x:c>
      <x:c r="R278" s="27" t="str"/>
      <x:c r="S278" s="31" t="b">
        <x:v>1</x:v>
      </x:c>
      <x:c r="T278" s="27" t="str">
        <x:v>ASM-2026-040</x:v>
      </x:c>
      <x:c r="U278" s="27" t="str">
        <x:v>HZ-2026-040-03</x:v>
      </x:c>
    </x:row>
    <x:row r="279">
      <x:c r="A279" s="28" t="str">
        <x:v>Pathology</x:v>
      </x:c>
      <x:c r="B279" s="37" t="n">
        <x:v>46133</x:v>
      </x:c>
      <x:c r="C279" s="26" t="str">
        <x:v>RAH01-2026-040</x:v>
      </x:c>
      <x:c r="D279" s="36" t="n">
        <x:v>4</x:v>
      </x:c>
      <x:c r="E279" s="26" t="str">
        <x:v>Biological Hazards</x:v>
      </x:c>
      <x:c r="F279" s="26" t="str">
        <x:v>Viruses</x:v>
      </x:c>
      <x:c r="G279" s="35" t="n">
        <x:v>36</x:v>
      </x:c>
      <x:c r="H279" s="35" t="n">
        <x:v>4</x:v>
      </x:c>
      <x:c r="I279" s="35" t="n">
        <x:v>3</x:v>
      </x:c>
      <x:c r="J279" s="35" t="n">
        <x:v>2</x:v>
      </x:c>
      <x:c r="K279" s="36" t="n">
        <x:f>IF(AND(S279=TRUE,ISNUMBER(I279),I279=INT(I279),I279&gt;=1,I279&lt;=3,ISNUMBER(J279),J279=INT(J279),J279&gt;=1,J279&lt;=3),I279*J279,"")</x:f>
        <x:v>6</x:v>
      </x:c>
      <x:c r="L279" s="26" t="str">
        <x:f>IF(K279="","",IF(K279&lt;=2,"LOW",IF(K279&lt;=4,"MEDIUM","HIGH")))</x:f>
        <x:v>HIGH</x:v>
      </x:c>
      <x:c r="M279" s="25" t="str">
        <x:v>Standard precautions, hand hygiene, vaccination, cleaning, and appropriate PPE are implemented.</x:v>
      </x:c>
      <x:c r="N279" s="25" t="str">
        <x:v>Audit compliance, investigate exposure incidents, and reinforce source-control and PPE practice.</x:v>
      </x:c>
      <x:c r="O279" s="30" t="b">
        <x:v>0</x:v>
      </x:c>
      <x:c r="P279" s="27" t="str">
        <x:v>BIOLOGICAL</x:v>
      </x:c>
      <x:c r="Q279" s="27" t="str">
        <x:v>viruses</x:v>
      </x:c>
      <x:c r="R279" s="27" t="str"/>
      <x:c r="S279" s="31" t="b">
        <x:v>1</x:v>
      </x:c>
      <x:c r="T279" s="27" t="str">
        <x:v>ASM-2026-040</x:v>
      </x:c>
      <x:c r="U279" s="27" t="str">
        <x:v>HZ-2026-040-04</x:v>
      </x:c>
    </x:row>
    <x:row r="280">
      <x:c r="A280" s="28" t="str">
        <x:v>Pathology</x:v>
      </x:c>
      <x:c r="B280" s="37" t="n">
        <x:v>46133</x:v>
      </x:c>
      <x:c r="C280" s="26" t="str">
        <x:v>RAH01-2026-040</x:v>
      </x:c>
      <x:c r="D280" s="36" t="n">
        <x:v>5</x:v>
      </x:c>
      <x:c r="E280" s="26" t="str">
        <x:v>Safety and Accident Hazards</x:v>
      </x:c>
      <x:c r="F280" s="26" t="str">
        <x:v>Slippery Surface</x:v>
      </x:c>
      <x:c r="G280" s="35" t="n">
        <x:v>39</x:v>
      </x:c>
      <x:c r="H280" s="35" t="n">
        <x:v>11</x:v>
      </x:c>
      <x:c r="I280" s="35" t="n">
        <x:v>2</x:v>
      </x:c>
      <x:c r="J280" s="35" t="n">
        <x:v>3</x:v>
      </x:c>
      <x:c r="K280" s="36" t="n">
        <x:f>IF(AND(S280=TRUE,ISNUMBER(I280),I280=INT(I280),I280&gt;=1,I280&lt;=3,ISNUMBER(J280),J280=INT(J280),J280&gt;=1,J280&lt;=3),I280*J280,"")</x:f>
        <x:v>6</x:v>
      </x:c>
      <x:c r="L280" s="26" t="str">
        <x:f>IF(K280="","",IF(K280&lt;=2,"LOW",IF(K280&lt;=4,"MEDIUM","HIGH")))</x:f>
        <x:v>HIGH</x:v>
      </x:c>
      <x:c r="M280" s="25" t="str">
        <x:v>Safe-work procedures, inspection, housekeeping, guards, and incident reporting are implemented.</x:v>
      </x:c>
      <x:c r="N280" s="25" t="str">
        <x:v>Correct the unsafe condition, document ownership, and verify effectiveness through a follow-up inspection.</x:v>
      </x:c>
      <x:c r="O280" s="30" t="b">
        <x:v>0</x:v>
      </x:c>
      <x:c r="P280" s="27" t="str">
        <x:v>SAFETY_ACCIDENT</x:v>
      </x:c>
      <x:c r="Q280" s="27" t="str">
        <x:v>slippery_surface</x:v>
      </x:c>
      <x:c r="R280" s="27" t="str"/>
      <x:c r="S280" s="31" t="b">
        <x:v>1</x:v>
      </x:c>
      <x:c r="T280" s="27" t="str">
        <x:v>ASM-2026-040</x:v>
      </x:c>
      <x:c r="U280" s="27" t="str">
        <x:v>HZ-2026-040-05</x:v>
      </x:c>
    </x:row>
    <x:row r="281">
      <x:c r="A281" s="28" t="str">
        <x:v>Pathology</x:v>
      </x:c>
      <x:c r="B281" s="37" t="n">
        <x:v>46133</x:v>
      </x:c>
      <x:c r="C281" s="26" t="str">
        <x:v>RAH01-2026-040</x:v>
      </x:c>
      <x:c r="D281" s="36" t="n">
        <x:v>6</x:v>
      </x:c>
      <x:c r="E281" s="26" t="str">
        <x:v>Psychosocial Hazards</x:v>
      </x:c>
      <x:c r="F281" s="26" t="str">
        <x:v>Work Stress</x:v>
      </x:c>
      <x:c r="G281" s="35" t="n">
        <x:v>42</x:v>
      </x:c>
      <x:c r="H281" s="35" t="n">
        <x:v>18</x:v>
      </x:c>
      <x:c r="I281" s="35" t="n">
        <x:v>3</x:v>
      </x:c>
      <x:c r="J281" s="35" t="n">
        <x:v>3</x:v>
      </x:c>
      <x:c r="K281" s="36" t="n">
        <x:f>IF(AND(S281=TRUE,ISNUMBER(I281),I281=INT(I281),I281&gt;=1,I281&lt;=3,ISNUMBER(J281),J281=INT(J281),J281&gt;=1,J281&lt;=3),I281*J281,"")</x:f>
        <x:v>9</x:v>
      </x:c>
      <x:c r="L281" s="26" t="str">
        <x:f>IF(K281="","",IF(K281&lt;=2,"LOW",IF(K281&lt;=4,"MEDIUM","HIGH")))</x:f>
        <x:v>HIGH</x:v>
      </x:c>
      <x:c r="M281" s="25" t="str">
        <x:v>Shift planning, escalation pathways, security support, breaks, and supervisor check-ins are available.</x:v>
      </x:c>
      <x:c r="N281" s="25" t="str">
        <x:v>Review staffing, breaks, escalation support, and violence-prevention controls with the department manager.</x:v>
      </x:c>
      <x:c r="O281" s="30" t="b">
        <x:v>1</x:v>
      </x:c>
      <x:c r="P281" s="27" t="str">
        <x:v>PSYCHOSOCIAL</x:v>
      </x:c>
      <x:c r="Q281" s="27" t="str">
        <x:v>work_stress</x:v>
      </x:c>
      <x:c r="R281" s="27" t="str"/>
      <x:c r="S281" s="31" t="b">
        <x:v>1</x:v>
      </x:c>
      <x:c r="T281" s="27" t="str">
        <x:v>ASM-2026-040</x:v>
      </x:c>
      <x:c r="U281" s="27" t="str">
        <x:v>HZ-2026-040-06</x:v>
      </x:c>
    </x:row>
    <x:row r="282">
      <x:c r="A282" s="28" t="str">
        <x:v>Pathology</x:v>
      </x:c>
      <x:c r="B282" s="37" t="n">
        <x:v>46133</x:v>
      </x:c>
      <x:c r="C282" s="26" t="str">
        <x:v>RAH01-2026-040</x:v>
      </x:c>
      <x:c r="D282" s="36" t="n">
        <x:v>7</x:v>
      </x:c>
      <x:c r="E282" s="26" t="str">
        <x:v>Indoor Air Quality Hazards</x:v>
      </x:c>
      <x:c r="F282" s="26" t="str">
        <x:v>Dust</x:v>
      </x:c>
      <x:c r="G282" s="35" t="n">
        <x:v>45</x:v>
      </x:c>
      <x:c r="H282" s="35" t="n">
        <x:v>25</x:v>
      </x:c>
      <x:c r="I282" s="35" t="n">
        <x:v>3</x:v>
      </x:c>
      <x:c r="J282" s="35" t="n">
        <x:v>2</x:v>
      </x:c>
      <x:c r="K282" s="36" t="n">
        <x:f>IF(AND(S282=TRUE,ISNUMBER(I282),I282=INT(I282),I282&gt;=1,I282&lt;=3,ISNUMBER(J282),J282=INT(J282),J282&gt;=1,J282&lt;=3),I282*J282,"")</x:f>
        <x:v>6</x:v>
      </x:c>
      <x:c r="L282" s="26" t="str">
        <x:f>IF(K282="","",IF(K282&lt;=2,"LOW",IF(K282&lt;=4,"MEDIUM","HIGH")))</x:f>
        <x:v>HIGH</x:v>
      </x:c>
      <x:c r="M282" s="25" t="str">
        <x:v>Ventilation, cleaning, occupancy management, and environmental inspection are performed.</x:v>
      </x:c>
      <x:c r="N282" s="25" t="str">
        <x:v>Inspect ventilation and moisture sources, then document corrective action and environmental recheck.</x:v>
      </x:c>
      <x:c r="O282" s="30" t="b">
        <x:v>0</x:v>
      </x:c>
      <x:c r="P282" s="27" t="str">
        <x:v>INDOOR_AIR_QUALITY</x:v>
      </x:c>
      <x:c r="Q282" s="27" t="str">
        <x:v>dust</x:v>
      </x:c>
      <x:c r="R282" s="27" t="str"/>
      <x:c r="S282" s="31" t="b">
        <x:v>1</x:v>
      </x:c>
      <x:c r="T282" s="27" t="str">
        <x:v>ASM-2026-040</x:v>
      </x:c>
      <x:c r="U282" s="27" t="str">
        <x:v>HZ-2026-040-07</x:v>
      </x:c>
    </x:row>
    <x:row r="283">
      <x:c r="A283" s="28" t="str">
        <x:v>Pathology</x:v>
      </x:c>
      <x:c r="B283" s="37" t="n">
        <x:v>46133</x:v>
      </x:c>
      <x:c r="C283" s="26" t="str">
        <x:v>RAH01-2026-040</x:v>
      </x:c>
      <x:c r="D283" s="36" t="n">
        <x:v>8</x:v>
      </x:c>
      <x:c r="E283" s="26" t="str">
        <x:v>Safety and Accident Hazards</x:v>
      </x:c>
      <x:c r="F283" s="26" t="str">
        <x:v>Department-specific operational hazard requiring local review</x:v>
      </x:c>
      <x:c r="G283" s="35" t="n">
        <x:v>48</x:v>
      </x:c>
      <x:c r="H283" s="35" t="n">
        <x:v>1</x:v>
      </x:c>
      <x:c r="I283" s="35" t="n">
        <x:v>2</x:v>
      </x:c>
      <x:c r="J283" s="35" t="n">
        <x:v>3</x:v>
      </x:c>
      <x:c r="K283" s="36" t="n">
        <x:f>IF(AND(S283=TRUE,ISNUMBER(I283),I283=INT(I283),I283&gt;=1,I283&lt;=3,ISNUMBER(J283),J283=INT(J283),J283&gt;=1,J283&lt;=3),I283*J283,"")</x:f>
        <x:v>6</x:v>
      </x:c>
      <x:c r="L283" s="26" t="str">
        <x:f>IF(K283="","",IF(K283&lt;=2,"LOW",IF(K283&lt;=4,"MEDIUM","HIGH")))</x:f>
        <x:v>HIGH</x:v>
      </x:c>
      <x:c r="M283" s="25" t="str">
        <x:v>Safe-work procedures, inspection, housekeeping, guards, and incident reporting are implemented.</x:v>
      </x:c>
      <x:c r="N283" s="25" t="str">
        <x:v>Correct the unsafe condition, document ownership, and verify effectiveness through a follow-up inspection.</x:v>
      </x:c>
      <x:c r="O283" s="30" t="b">
        <x:v>0</x:v>
      </x:c>
      <x:c r="P283" s="27" t="str">
        <x:v>SAFETY_ACCIDENT</x:v>
      </x:c>
      <x:c r="Q283" s="27" t="str">
        <x:v>OTHER</x:v>
      </x:c>
      <x:c r="R283" s="27" t="str">
        <x:v>Department-specific operational hazard requiring local review</x:v>
      </x:c>
      <x:c r="S283" s="31" t="b">
        <x:v>1</x:v>
      </x:c>
      <x:c r="T283" s="27" t="str">
        <x:v>ASM-2026-040</x:v>
      </x:c>
      <x:c r="U283" s="27" t="str">
        <x:v>HZ-2026-040-08</x:v>
      </x:c>
    </x:row>
    <x:row r="284">
      <x:c r="A284" s="28" t="str">
        <x:v>Pharmacy</x:v>
      </x:c>
      <x:c r="B284" s="37" t="n">
        <x:v>46166</x:v>
      </x:c>
      <x:c r="C284" s="26" t="str">
        <x:v>RAH01-2026-041</x:v>
      </x:c>
      <x:c r="D284" s="36" t="n">
        <x:v>1</x:v>
      </x:c>
      <x:c r="E284" s="26" t="str">
        <x:v>Safety and Accident Hazards</x:v>
      </x:c>
      <x:c r="F284" s="26" t="str">
        <x:v>Vehicle Use</x:v>
      </x:c>
      <x:c r="G284" s="35" t="n">
        <x:v>22</x:v>
      </x:c>
      <x:c r="H284" s="35" t="n">
        <x:v>19</x:v>
      </x:c>
      <x:c r="I284" s="35" t="n">
        <x:v>3</x:v>
      </x:c>
      <x:c r="J284" s="35" t="n">
        <x:v>3</x:v>
      </x:c>
      <x:c r="K284" s="36" t="n">
        <x:f>IF(AND(S284=TRUE,ISNUMBER(I284),I284=INT(I284),I284&gt;=1,I284&lt;=3,ISNUMBER(J284),J284=INT(J284),J284&gt;=1,J284&lt;=3),I284*J284,"")</x:f>
        <x:v>9</x:v>
      </x:c>
      <x:c r="L284" s="26" t="str">
        <x:f>IF(K284="","",IF(K284&lt;=2,"LOW",IF(K284&lt;=4,"MEDIUM","HIGH")))</x:f>
        <x:v>HIGH</x:v>
      </x:c>
      <x:c r="M284" s="25" t="str">
        <x:v>Safe-work procedures, inspection, housekeeping, guards, and incident reporting are implemented.</x:v>
      </x:c>
      <x:c r="N284" s="25" t="str">
        <x:v>Correct the unsafe condition, document ownership, and verify effectiveness through a follow-up inspection.</x:v>
      </x:c>
      <x:c r="O284" s="30" t="b">
        <x:v>0</x:v>
      </x:c>
      <x:c r="P284" s="27" t="str">
        <x:v>SAFETY_ACCIDENT</x:v>
      </x:c>
      <x:c r="Q284" s="27" t="str">
        <x:v>vehicle_use</x:v>
      </x:c>
      <x:c r="R284" s="27" t="str"/>
      <x:c r="S284" s="31" t="b">
        <x:v>1</x:v>
      </x:c>
      <x:c r="T284" s="27" t="str">
        <x:v>ASM-2026-041</x:v>
      </x:c>
      <x:c r="U284" s="27" t="str">
        <x:v>HZ-2026-041-01</x:v>
      </x:c>
    </x:row>
    <x:row r="285">
      <x:c r="A285" s="28" t="str">
        <x:v>Pharmacy</x:v>
      </x:c>
      <x:c r="B285" s="37" t="n">
        <x:v>46166</x:v>
      </x:c>
      <x:c r="C285" s="26" t="str">
        <x:v>RAH01-2026-041</x:v>
      </x:c>
      <x:c r="D285" s="36" t="n">
        <x:v>2</x:v>
      </x:c>
      <x:c r="E285" s="26" t="str">
        <x:v>Ergonomic Hazards</x:v>
      </x:c>
      <x:c r="F285" s="26" t="str">
        <x:v>Heavy Lifting / Patient Transfer</x:v>
      </x:c>
      <x:c r="G285" s="35" t="n">
        <x:v>25</x:v>
      </x:c>
      <x:c r="H285" s="35" t="n">
        <x:v>26</x:v>
      </x:c>
      <x:c r="I285" s="35" t="n">
        <x:v>3</x:v>
      </x:c>
      <x:c r="J285" s="35" t="n">
        <x:v>2</x:v>
      </x:c>
      <x:c r="K285" s="36" t="n">
        <x:f>IF(AND(S285=TRUE,ISNUMBER(I285),I285=INT(I285),I285&gt;=1,I285&lt;=3,ISNUMBER(J285),J285=INT(J285),J285&gt;=1,J285&lt;=3),I285*J285,"")</x:f>
        <x:v>6</x:v>
      </x:c>
      <x:c r="L285" s="26" t="str">
        <x:f>IF(K285="","",IF(K285&lt;=2,"LOW",IF(K285&lt;=4,"MEDIUM","HIGH")))</x:f>
        <x:v>HIGH</x:v>
      </x:c>
      <x:c r="M285" s="25" t="str">
        <x:v>Task rotation, adjustable equipment, team lifting, and safe-patient-handling guidance are used.</x:v>
      </x:c>
      <x:c r="N285" s="25" t="str">
        <x:v>Complete an ergonomic task assessment and implement equipment or workflow changes to reduce force and repetition.</x:v>
      </x:c>
      <x:c r="O285" s="30" t="b">
        <x:v>1</x:v>
      </x:c>
      <x:c r="P285" s="27" t="str">
        <x:v>ERGONOMIC</x:v>
      </x:c>
      <x:c r="Q285" s="27" t="str">
        <x:v>heavy_lifting_patient_transfer</x:v>
      </x:c>
      <x:c r="R285" s="27" t="str"/>
      <x:c r="S285" s="31" t="b">
        <x:v>1</x:v>
      </x:c>
      <x:c r="T285" s="27" t="str">
        <x:v>ASM-2026-041</x:v>
      </x:c>
      <x:c r="U285" s="27" t="str">
        <x:v>HZ-2026-041-02</x:v>
      </x:c>
    </x:row>
    <x:row r="286">
      <x:c r="A286" s="28" t="str">
        <x:v>Pharmacy</x:v>
      </x:c>
      <x:c r="B286" s="37" t="n">
        <x:v>46166</x:v>
      </x:c>
      <x:c r="C286" s="26" t="str">
        <x:v>RAH01-2026-041</x:v>
      </x:c>
      <x:c r="D286" s="36" t="n">
        <x:v>3</x:v>
      </x:c>
      <x:c r="E286" s="26" t="str">
        <x:v>Ergonomic Hazards</x:v>
      </x:c>
      <x:c r="F286" s="26" t="str">
        <x:v>High Push / Pull Force</x:v>
      </x:c>
      <x:c r="G286" s="35" t="n">
        <x:v>28</x:v>
      </x:c>
      <x:c r="H286" s="35" t="n">
        <x:v>2</x:v>
      </x:c>
      <x:c r="I286" s="35" t="n">
        <x:v>2</x:v>
      </x:c>
      <x:c r="J286" s="35" t="n">
        <x:v>3</x:v>
      </x:c>
      <x:c r="K286" s="36" t="n">
        <x:f>IF(AND(S286=TRUE,ISNUMBER(I286),I286=INT(I286),I286&gt;=1,I286&lt;=3,ISNUMBER(J286),J286=INT(J286),J286&gt;=1,J286&lt;=3),I286*J286,"")</x:f>
        <x:v>6</x:v>
      </x:c>
      <x:c r="L286" s="26" t="str">
        <x:f>IF(K286="","",IF(K286&lt;=2,"LOW",IF(K286&lt;=4,"MEDIUM","HIGH")))</x:f>
        <x:v>HIGH</x:v>
      </x:c>
      <x:c r="M286" s="25" t="str">
        <x:v>Task rotation, adjustable equipment, team lifting, and safe-patient-handling guidance are used.</x:v>
      </x:c>
      <x:c r="N286" s="25" t="str">
        <x:v>Complete an ergonomic task assessment and implement equipment or workflow changes to reduce force and repetition.</x:v>
      </x:c>
      <x:c r="O286" s="30" t="b">
        <x:v>0</x:v>
      </x:c>
      <x:c r="P286" s="27" t="str">
        <x:v>ERGONOMIC</x:v>
      </x:c>
      <x:c r="Q286" s="27" t="str">
        <x:v>high_push_pull_force</x:v>
      </x:c>
      <x:c r="R286" s="27" t="str"/>
      <x:c r="S286" s="31" t="b">
        <x:v>1</x:v>
      </x:c>
      <x:c r="T286" s="27" t="str">
        <x:v>ASM-2026-041</x:v>
      </x:c>
      <x:c r="U286" s="27" t="str">
        <x:v>HZ-2026-041-03</x:v>
      </x:c>
    </x:row>
    <x:row r="287">
      <x:c r="A287" s="28" t="str">
        <x:v>Pharmacy</x:v>
      </x:c>
      <x:c r="B287" s="37" t="n">
        <x:v>46166</x:v>
      </x:c>
      <x:c r="C287" s="26" t="str">
        <x:v>RAH01-2026-041</x:v>
      </x:c>
      <x:c r="D287" s="36" t="n">
        <x:v>4</x:v>
      </x:c>
      <x:c r="E287" s="26" t="str">
        <x:v>Biological Hazards</x:v>
      </x:c>
      <x:c r="F287" s="26" t="str">
        <x:v>Viruses</x:v>
      </x:c>
      <x:c r="G287" s="35" t="n">
        <x:v>31</x:v>
      </x:c>
      <x:c r="H287" s="35" t="n">
        <x:v>9</x:v>
      </x:c>
      <x:c r="I287" s="35" t="n">
        <x:v>3</x:v>
      </x:c>
      <x:c r="J287" s="35" t="n">
        <x:v>3</x:v>
      </x:c>
      <x:c r="K287" s="36" t="n">
        <x:f>IF(AND(S287=TRUE,ISNUMBER(I287),I287=INT(I287),I287&gt;=1,I287&lt;=3,ISNUMBER(J287),J287=INT(J287),J287&gt;=1,J287&lt;=3),I287*J287,"")</x:f>
        <x:v>9</x:v>
      </x:c>
      <x:c r="L287" s="26" t="str">
        <x:f>IF(K287="","",IF(K287&lt;=2,"LOW",IF(K287&lt;=4,"MEDIUM","HIGH")))</x:f>
        <x:v>HIGH</x:v>
      </x:c>
      <x:c r="M287" s="25" t="str">
        <x:v>Standard precautions, hand hygiene, vaccination, cleaning, and appropriate PPE are implemented.</x:v>
      </x:c>
      <x:c r="N287" s="25" t="str">
        <x:v>Audit compliance, investigate exposure incidents, and reinforce source-control and PPE practice.</x:v>
      </x:c>
      <x:c r="O287" s="30" t="b">
        <x:v>0</x:v>
      </x:c>
      <x:c r="P287" s="27" t="str">
        <x:v>BIOLOGICAL</x:v>
      </x:c>
      <x:c r="Q287" s="27" t="str">
        <x:v>viruses</x:v>
      </x:c>
      <x:c r="R287" s="27" t="str"/>
      <x:c r="S287" s="31" t="b">
        <x:v>1</x:v>
      </x:c>
      <x:c r="T287" s="27" t="str">
        <x:v>ASM-2026-041</x:v>
      </x:c>
      <x:c r="U287" s="27" t="str">
        <x:v>HZ-2026-041-04</x:v>
      </x:c>
    </x:row>
    <x:row r="288">
      <x:c r="A288" s="28" t="str">
        <x:v>Pharmacy</x:v>
      </x:c>
      <x:c r="B288" s="37" t="n">
        <x:v>46166</x:v>
      </x:c>
      <x:c r="C288" s="26" t="str">
        <x:v>RAH01-2026-041</x:v>
      </x:c>
      <x:c r="D288" s="36" t="n">
        <x:v>5</x:v>
      </x:c>
      <x:c r="E288" s="26" t="str">
        <x:v>Safety and Accident Hazards</x:v>
      </x:c>
      <x:c r="F288" s="26" t="str">
        <x:v>Slippery Surface</x:v>
      </x:c>
      <x:c r="G288" s="35" t="n">
        <x:v>34</x:v>
      </x:c>
      <x:c r="H288" s="35" t="n">
        <x:v>16</x:v>
      </x:c>
      <x:c r="I288" s="35" t="n">
        <x:v>3</x:v>
      </x:c>
      <x:c r="J288" s="35" t="n">
        <x:v>2</x:v>
      </x:c>
      <x:c r="K288" s="36" t="n">
        <x:f>IF(AND(S288=TRUE,ISNUMBER(I288),I288=INT(I288),I288&gt;=1,I288&lt;=3,ISNUMBER(J288),J288=INT(J288),J288&gt;=1,J288&lt;=3),I288*J288,"")</x:f>
        <x:v>6</x:v>
      </x:c>
      <x:c r="L288" s="26" t="str">
        <x:f>IF(K288="","",IF(K288&lt;=2,"LOW",IF(K288&lt;=4,"MEDIUM","HIGH")))</x:f>
        <x:v>HIGH</x:v>
      </x:c>
      <x:c r="M288" s="25" t="str">
        <x:v>Safe-work procedures, inspection, housekeeping, guards, and incident reporting are implemented.</x:v>
      </x:c>
      <x:c r="N288" s="25" t="str">
        <x:v>Correct the unsafe condition, document ownership, and verify effectiveness through a follow-up inspection.</x:v>
      </x:c>
      <x:c r="O288" s="30" t="b">
        <x:v>1</x:v>
      </x:c>
      <x:c r="P288" s="27" t="str">
        <x:v>SAFETY_ACCIDENT</x:v>
      </x:c>
      <x:c r="Q288" s="27" t="str">
        <x:v>slippery_surface</x:v>
      </x:c>
      <x:c r="R288" s="27" t="str"/>
      <x:c r="S288" s="31" t="b">
        <x:v>1</x:v>
      </x:c>
      <x:c r="T288" s="27" t="str">
        <x:v>ASM-2026-041</x:v>
      </x:c>
      <x:c r="U288" s="27" t="str">
        <x:v>HZ-2026-041-05</x:v>
      </x:c>
    </x:row>
    <x:row r="289">
      <x:c r="A289" s="28" t="str">
        <x:v>Pharmacy</x:v>
      </x:c>
      <x:c r="B289" s="37" t="n">
        <x:v>46166</x:v>
      </x:c>
      <x:c r="C289" s="26" t="str">
        <x:v>RAH01-2026-041</x:v>
      </x:c>
      <x:c r="D289" s="36" t="n">
        <x:v>6</x:v>
      </x:c>
      <x:c r="E289" s="26" t="str">
        <x:v>Psychosocial Hazards</x:v>
      </x:c>
      <x:c r="F289" s="26" t="str">
        <x:v>Work Stress</x:v>
      </x:c>
      <x:c r="G289" s="35" t="n">
        <x:v>37</x:v>
      </x:c>
      <x:c r="H289" s="35" t="n">
        <x:v>23</x:v>
      </x:c>
      <x:c r="I289" s="35" t="n">
        <x:v>2</x:v>
      </x:c>
      <x:c r="J289" s="35" t="n">
        <x:v>3</x:v>
      </x:c>
      <x:c r="K289" s="36" t="n">
        <x:f>IF(AND(S289=TRUE,ISNUMBER(I289),I289=INT(I289),I289&gt;=1,I289&lt;=3,ISNUMBER(J289),J289=INT(J289),J289&gt;=1,J289&lt;=3),I289*J289,"")</x:f>
        <x:v>6</x:v>
      </x:c>
      <x:c r="L289" s="26" t="str">
        <x:f>IF(K289="","",IF(K289&lt;=2,"LOW",IF(K289&lt;=4,"MEDIUM","HIGH")))</x:f>
        <x:v>HIGH</x:v>
      </x:c>
      <x:c r="M289" s="25" t="str">
        <x:v>Shift planning, escalation pathways, security support, breaks, and supervisor check-ins are available.</x:v>
      </x:c>
      <x:c r="N289" s="25" t="str">
        <x:v>Review staffing, breaks, escalation support, and violence-prevention controls with the department manager.</x:v>
      </x:c>
      <x:c r="O289" s="30" t="b">
        <x:v>0</x:v>
      </x:c>
      <x:c r="P289" s="27" t="str">
        <x:v>PSYCHOSOCIAL</x:v>
      </x:c>
      <x:c r="Q289" s="27" t="str">
        <x:v>work_stress</x:v>
      </x:c>
      <x:c r="R289" s="27" t="str"/>
      <x:c r="S289" s="31" t="b">
        <x:v>1</x:v>
      </x:c>
      <x:c r="T289" s="27" t="str">
        <x:v>ASM-2026-041</x:v>
      </x:c>
      <x:c r="U289" s="27" t="str">
        <x:v>HZ-2026-041-06</x:v>
      </x:c>
    </x:row>
    <x:row r="290">
      <x:c r="A290" s="28" t="str">
        <x:v>Pharmacy</x:v>
      </x:c>
      <x:c r="B290" s="37" t="n">
        <x:v>46166</x:v>
      </x:c>
      <x:c r="C290" s="26" t="str">
        <x:v>RAH01-2026-041</x:v>
      </x:c>
      <x:c r="D290" s="36" t="n">
        <x:v>7</x:v>
      </x:c>
      <x:c r="E290" s="26" t="str">
        <x:v>Fire and Disaster Hazards</x:v>
      </x:c>
      <x:c r="F290" s="26" t="str">
        <x:v>Electrical Equipment</x:v>
      </x:c>
      <x:c r="G290" s="35" t="n">
        <x:v>40</x:v>
      </x:c>
      <x:c r="H290" s="35" t="n">
        <x:v>30</x:v>
      </x:c>
      <x:c r="I290" s="35" t="n">
        <x:v>3</x:v>
      </x:c>
      <x:c r="J290" s="35" t="n">
        <x:v>3</x:v>
      </x:c>
      <x:c r="K290" s="36" t="n">
        <x:f>IF(AND(S290=TRUE,ISNUMBER(I290),I290=INT(I290),I290&gt;=1,I290&lt;=3,ISNUMBER(J290),J290=INT(J290),J290&gt;=1,J290&lt;=3),I290*J290,"")</x:f>
        <x:v>9</x:v>
      </x:c>
      <x:c r="L290" s="26" t="str">
        <x:f>IF(K290="","",IF(K290&lt;=2,"LOW",IF(K290&lt;=4,"MEDIUM","HIGH")))</x:f>
        <x:v>HIGH</x:v>
      </x:c>
      <x:c r="M290" s="25" t="str">
        <x:v>Electrical inspection, isolation procedures, alarms, extinguishers, and emergency response plans are maintained.</x:v>
      </x:c>
      <x:c r="N290" s="25" t="str">
        <x:v>Complete an engineering inspection and emergency-readiness check before the next scheduled review.</x:v>
      </x:c>
      <x:c r="O290" s="30" t="b">
        <x:v>0</x:v>
      </x:c>
      <x:c r="P290" s="27" t="str">
        <x:v>FIRE_DISASTER</x:v>
      </x:c>
      <x:c r="Q290" s="27" t="str">
        <x:v>electrical_equipment</x:v>
      </x:c>
      <x:c r="R290" s="27" t="str"/>
      <x:c r="S290" s="31" t="b">
        <x:v>1</x:v>
      </x:c>
      <x:c r="T290" s="27" t="str">
        <x:v>ASM-2026-041</x:v>
      </x:c>
      <x:c r="U290" s="27" t="str">
        <x:v>HZ-2026-041-07</x:v>
      </x:c>
    </x:row>
    <x:row r="291">
      <x:c r="A291" s="28" t="str">
        <x:v>Physical Therapy</x:v>
      </x:c>
      <x:c r="B291" s="37" t="n">
        <x:v>46175</x:v>
      </x:c>
      <x:c r="C291" s="26" t="str">
        <x:v>RAH01-2026-042</x:v>
      </x:c>
      <x:c r="D291" s="36" t="n">
        <x:v>1</x:v>
      </x:c>
      <x:c r="E291" s="26" t="str">
        <x:v>Biological Hazards</x:v>
      </x:c>
      <x:c r="F291" s="26" t="str">
        <x:v>Bacteria</x:v>
      </x:c>
      <x:c r="G291" s="35" t="n">
        <x:v>5</x:v>
      </x:c>
      <x:c r="H291" s="35" t="n">
        <x:v>0</x:v>
      </x:c>
      <x:c r="I291" s="35" t="n">
        <x:v>1</x:v>
      </x:c>
      <x:c r="J291" s="35" t="n">
        <x:v>3</x:v>
      </x:c>
      <x:c r="K291" s="36" t="n">
        <x:f>IF(AND(S291=TRUE,ISNUMBER(I291),I291=INT(I291),I291&gt;=1,I291&lt;=3,ISNUMBER(J291),J291=INT(J291),J291&gt;=1,J291&lt;=3),I291*J291,"")</x:f>
        <x:v>3</x:v>
      </x:c>
      <x:c r="L291" s="26" t="str">
        <x:f>IF(K291="","",IF(K291&lt;=2,"LOW",IF(K291&lt;=4,"MEDIUM","HIGH")))</x:f>
        <x:v>MEDIUM</x:v>
      </x:c>
      <x:c r="M291" s="25" t="str">
        <x:v>Standard precautions, hand hygiene, vaccination, cleaning, and appropriate PPE are implemented.</x:v>
      </x:c>
      <x:c r="N291" s="25" t="str">
        <x:v>Audit compliance, investigate exposure incidents, and reinforce source-control and PPE practice.</x:v>
      </x:c>
      <x:c r="O291" s="30" t="b">
        <x:v>0</x:v>
      </x:c>
      <x:c r="P291" s="27" t="str">
        <x:v>BIOLOGICAL</x:v>
      </x:c>
      <x:c r="Q291" s="27" t="str">
        <x:v>bacteria</x:v>
      </x:c>
      <x:c r="R291" s="27" t="str"/>
      <x:c r="S291" s="31" t="b">
        <x:v>1</x:v>
      </x:c>
      <x:c r="T291" s="27" t="str">
        <x:v>ASM-2026-042</x:v>
      </x:c>
      <x:c r="U291" s="27" t="str">
        <x:v>HZ-2026-042-01</x:v>
      </x:c>
    </x:row>
    <x:row r="292">
      <x:c r="A292" s="28" t="str">
        <x:v>Physical Therapy</x:v>
      </x:c>
      <x:c r="B292" s="37" t="n">
        <x:v>46175</x:v>
      </x:c>
      <x:c r="C292" s="26" t="str">
        <x:v>RAH01-2026-042</x:v>
      </x:c>
      <x:c r="D292" s="36" t="n">
        <x:v>2</x:v>
      </x:c>
      <x:c r="E292" s="26" t="str">
        <x:v>Safety and Accident Hazards</x:v>
      </x:c>
      <x:c r="F292" s="26" t="str">
        <x:v>Sharps / Needlestick</x:v>
      </x:c>
      <x:c r="G292" s="35" t="n">
        <x:v>8</x:v>
      </x:c>
      <x:c r="H292" s="35" t="n">
        <x:v>1</x:v>
      </x:c>
      <x:c r="I292" s="35" t="n">
        <x:v>3</x:v>
      </x:c>
      <x:c r="J292" s="35" t="n">
        <x:v>1</x:v>
      </x:c>
      <x:c r="K292" s="36" t="n">
        <x:f>IF(AND(S292=TRUE,ISNUMBER(I292),I292=INT(I292),I292&gt;=1,I292&lt;=3,ISNUMBER(J292),J292=INT(J292),J292&gt;=1,J292&lt;=3),I292*J292,"")</x:f>
        <x:v>3</x:v>
      </x:c>
      <x:c r="L292" s="26" t="str">
        <x:f>IF(K292="","",IF(K292&lt;=2,"LOW",IF(K292&lt;=4,"MEDIUM","HIGH")))</x:f>
        <x:v>MEDIUM</x:v>
      </x:c>
      <x:c r="M292" s="25" t="str">
        <x:v>Safe-work procedures, inspection, housekeeping, guards, and incident reporting are implemented.</x:v>
      </x:c>
      <x:c r="N292" s="25" t="str">
        <x:v>Correct the unsafe condition, document ownership, and verify effectiveness through a follow-up inspection.</x:v>
      </x:c>
      <x:c r="O292" s="30" t="b">
        <x:v>0</x:v>
      </x:c>
      <x:c r="P292" s="27" t="str">
        <x:v>SAFETY_ACCIDENT</x:v>
      </x:c>
      <x:c r="Q292" s="27" t="str">
        <x:v>sharps</x:v>
      </x:c>
      <x:c r="R292" s="27" t="str"/>
      <x:c r="S292" s="31" t="b">
        <x:v>1</x:v>
      </x:c>
      <x:c r="T292" s="27" t="str">
        <x:v>ASM-2026-042</x:v>
      </x:c>
      <x:c r="U292" s="27" t="str">
        <x:v>HZ-2026-042-02</x:v>
      </x:c>
    </x:row>
    <x:row r="293">
      <x:c r="A293" s="28" t="str">
        <x:v>Physical Therapy</x:v>
      </x:c>
      <x:c r="B293" s="37" t="n">
        <x:v>46175</x:v>
      </x:c>
      <x:c r="C293" s="26" t="str">
        <x:v>RAH01-2026-042</x:v>
      </x:c>
      <x:c r="D293" s="36" t="n">
        <x:v>3</x:v>
      </x:c>
      <x:c r="E293" s="26" t="str">
        <x:v>Chemical Hazards</x:v>
      </x:c>
      <x:c r="F293" s="26" t="str">
        <x:v>Floor Cleaner</x:v>
      </x:c>
      <x:c r="G293" s="35" t="n">
        <x:v>1</x:v>
      </x:c>
      <x:c r="H293" s="35" t="n">
        <x:v>2</x:v>
      </x:c>
      <x:c r="I293" s="35" t="n">
        <x:v>2</x:v>
      </x:c>
      <x:c r="J293" s="35" t="n">
        <x:v>2</x:v>
      </x:c>
      <x:c r="K293" s="36" t="n">
        <x:f>IF(AND(S293=TRUE,ISNUMBER(I293),I293=INT(I293),I293&gt;=1,I293&lt;=3,ISNUMBER(J293),J293=INT(J293),J293&gt;=1,J293&lt;=3),I293*J293,"")</x:f>
        <x:v>4</x:v>
      </x:c>
      <x:c r="L293" s="26" t="str">
        <x:f>IF(K293="","",IF(K293&lt;=2,"LOW",IF(K293&lt;=4,"MEDIUM","HIGH")))</x:f>
        <x:v>MEDIUM</x:v>
      </x:c>
      <x:c r="M293" s="25" t="str">
        <x:v>Safety data, labeled containers, local procedures, ventilation, and chemical-resistant PPE are available.</x:v>
      </x:c>
      <x:c r="N293" s="25" t="str">
        <x:v>Review substitution, ventilation, storage, spill response, and staff competency for this chemical task.</x:v>
      </x:c>
      <x:c r="O293" s="30" t="b">
        <x:v>0</x:v>
      </x:c>
      <x:c r="P293" s="27" t="str">
        <x:v>CHEMICAL</x:v>
      </x:c>
      <x:c r="Q293" s="27" t="str">
        <x:v>floor_cleaner</x:v>
      </x:c>
      <x:c r="R293" s="27" t="str"/>
      <x:c r="S293" s="31" t="b">
        <x:v>1</x:v>
      </x:c>
      <x:c r="T293" s="27" t="str">
        <x:v>ASM-2026-042</x:v>
      </x:c>
      <x:c r="U293" s="27" t="str">
        <x:v>HZ-2026-042-03</x:v>
      </x:c>
    </x:row>
    <x:row r="294">
      <x:c r="A294" s="28" t="str">
        <x:v>Physical Therapy</x:v>
      </x:c>
      <x:c r="B294" s="37" t="n">
        <x:v>46175</x:v>
      </x:c>
      <x:c r="C294" s="26" t="str">
        <x:v>RAH01-2026-042</x:v>
      </x:c>
      <x:c r="D294" s="36" t="n">
        <x:v>4</x:v>
      </x:c>
      <x:c r="E294" s="26" t="str">
        <x:v>Safety and Accident Hazards</x:v>
      </x:c>
      <x:c r="F294" s="26" t="str">
        <x:v>Slippery Surface</x:v>
      </x:c>
      <x:c r="G294" s="35" t="n">
        <x:v>4</x:v>
      </x:c>
      <x:c r="H294" s="35" t="n">
        <x:v>0</x:v>
      </x:c>
      <x:c r="I294" s="35" t="n">
        <x:v>1</x:v>
      </x:c>
      <x:c r="J294" s="35" t="n">
        <x:v>3</x:v>
      </x:c>
      <x:c r="K294" s="36" t="n">
        <x:f>IF(AND(S294=TRUE,ISNUMBER(I294),I294=INT(I294),I294&gt;=1,I294&lt;=3,ISNUMBER(J294),J294=INT(J294),J294&gt;=1,J294&lt;=3),I294*J294,"")</x:f>
        <x:v>3</x:v>
      </x:c>
      <x:c r="L294" s="26" t="str">
        <x:f>IF(K294="","",IF(K294&lt;=2,"LOW",IF(K294&lt;=4,"MEDIUM","HIGH")))</x:f>
        <x:v>MEDIUM</x:v>
      </x:c>
      <x:c r="M294" s="25" t="str">
        <x:v>Safe-work procedures, inspection, housekeeping, guards, and incident reporting are implemented.</x:v>
      </x:c>
      <x:c r="N294" s="25" t="str">
        <x:v>Correct the unsafe condition, document ownership, and verify effectiveness through a follow-up inspection.</x:v>
      </x:c>
      <x:c r="O294" s="30" t="b">
        <x:v>0</x:v>
      </x:c>
      <x:c r="P294" s="27" t="str">
        <x:v>SAFETY_ACCIDENT</x:v>
      </x:c>
      <x:c r="Q294" s="27" t="str">
        <x:v>slippery_surface</x:v>
      </x:c>
      <x:c r="R294" s="27" t="str"/>
      <x:c r="S294" s="31" t="b">
        <x:v>1</x:v>
      </x:c>
      <x:c r="T294" s="27" t="str">
        <x:v>ASM-2026-042</x:v>
      </x:c>
      <x:c r="U294" s="27" t="str">
        <x:v>HZ-2026-042-04</x:v>
      </x:c>
    </x:row>
    <x:row r="295">
      <x:c r="A295" s="28" t="str">
        <x:v>Physical Therapy</x:v>
      </x:c>
      <x:c r="B295" s="37" t="n">
        <x:v>46175</x:v>
      </x:c>
      <x:c r="C295" s="26" t="str">
        <x:v>RAH01-2026-042</x:v>
      </x:c>
      <x:c r="D295" s="36" t="n">
        <x:v>5</x:v>
      </x:c>
      <x:c r="E295" s="26" t="str">
        <x:v>Ergonomic Hazards</x:v>
      </x:c>
      <x:c r="F295" s="26" t="str">
        <x:v>Heavy Lifting / Patient Transfer</x:v>
      </x:c>
      <x:c r="G295" s="35" t="n">
        <x:v>7</x:v>
      </x:c>
      <x:c r="H295" s="35" t="n">
        <x:v>1</x:v>
      </x:c>
      <x:c r="I295" s="35" t="n">
        <x:v>3</x:v>
      </x:c>
      <x:c r="J295" s="35" t="n">
        <x:v>1</x:v>
      </x:c>
      <x:c r="K295" s="36" t="n">
        <x:f>IF(AND(S295=TRUE,ISNUMBER(I295),I295=INT(I295),I295&gt;=1,I295&lt;=3,ISNUMBER(J295),J295=INT(J295),J295&gt;=1,J295&lt;=3),I295*J295,"")</x:f>
        <x:v>3</x:v>
      </x:c>
      <x:c r="L295" s="26" t="str">
        <x:f>IF(K295="","",IF(K295&lt;=2,"LOW",IF(K295&lt;=4,"MEDIUM","HIGH")))</x:f>
        <x:v>MEDIUM</x:v>
      </x:c>
      <x:c r="M295" s="25" t="str">
        <x:v>Task rotation, adjustable equipment, team lifting, and safe-patient-handling guidance are used.</x:v>
      </x:c>
      <x:c r="N295" s="25" t="str">
        <x:v>Complete an ergonomic task assessment and implement equipment or workflow changes to reduce force and repetition.</x:v>
      </x:c>
      <x:c r="O295" s="30" t="b">
        <x:v>0</x:v>
      </x:c>
      <x:c r="P295" s="27" t="str">
        <x:v>ERGONOMIC</x:v>
      </x:c>
      <x:c r="Q295" s="27" t="str">
        <x:v>heavy_lifting_patient_transfer</x:v>
      </x:c>
      <x:c r="R295" s="27" t="str"/>
      <x:c r="S295" s="31" t="b">
        <x:v>1</x:v>
      </x:c>
      <x:c r="T295" s="27" t="str">
        <x:v>ASM-2026-042</x:v>
      </x:c>
      <x:c r="U295" s="27" t="str">
        <x:v>HZ-2026-042-05</x:v>
      </x:c>
    </x:row>
    <x:row r="296">
      <x:c r="A296" s="28" t="str">
        <x:v>Physical Therapy</x:v>
      </x:c>
      <x:c r="B296" s="37" t="n">
        <x:v>46175</x:v>
      </x:c>
      <x:c r="C296" s="26" t="str">
        <x:v>RAH01-2026-042</x:v>
      </x:c>
      <x:c r="D296" s="36" t="n">
        <x:v>6</x:v>
      </x:c>
      <x:c r="E296" s="26" t="str">
        <x:v>Ergonomic Hazards</x:v>
      </x:c>
      <x:c r="F296" s="26" t="str">
        <x:v>High Push / Pull Force</x:v>
      </x:c>
      <x:c r="G296" s="35" t="n">
        <x:v>10</x:v>
      </x:c>
      <x:c r="H296" s="35" t="n">
        <x:v>2</x:v>
      </x:c>
      <x:c r="I296" s="35" t="n">
        <x:v>2</x:v>
      </x:c>
      <x:c r="J296" s="35" t="n">
        <x:v>2</x:v>
      </x:c>
      <x:c r="K296" s="36" t="n">
        <x:f>IF(AND(S296=TRUE,ISNUMBER(I296),I296=INT(I296),I296&gt;=1,I296&lt;=3,ISNUMBER(J296),J296=INT(J296),J296&gt;=1,J296&lt;=3),I296*J296,"")</x:f>
        <x:v>4</x:v>
      </x:c>
      <x:c r="L296" s="26" t="str">
        <x:f>IF(K296="","",IF(K296&lt;=2,"LOW",IF(K296&lt;=4,"MEDIUM","HIGH")))</x:f>
        <x:v>MEDIUM</x:v>
      </x:c>
      <x:c r="M296" s="25" t="str">
        <x:v>Task rotation, adjustable equipment, team lifting, and safe-patient-handling guidance are used.</x:v>
      </x:c>
      <x:c r="N296" s="25" t="str">
        <x:v>Complete an ergonomic task assessment and implement equipment or workflow changes to reduce force and repetition.</x:v>
      </x:c>
      <x:c r="O296" s="30" t="b">
        <x:v>0</x:v>
      </x:c>
      <x:c r="P296" s="27" t="str">
        <x:v>ERGONOMIC</x:v>
      </x:c>
      <x:c r="Q296" s="27" t="str">
        <x:v>high_push_pull_force</x:v>
      </x:c>
      <x:c r="R296" s="27" t="str"/>
      <x:c r="S296" s="31" t="b">
        <x:v>1</x:v>
      </x:c>
      <x:c r="T296" s="27" t="str">
        <x:v>ASM-2026-042</x:v>
      </x:c>
      <x:c r="U296" s="27" t="str">
        <x:v>HZ-2026-042-06</x:v>
      </x:c>
    </x:row>
    <x:row r="297">
      <x:c r="A297" s="28" t="str">
        <x:v>Physical Therapy</x:v>
      </x:c>
      <x:c r="B297" s="37" t="n">
        <x:v>46175</x:v>
      </x:c>
      <x:c r="C297" s="26" t="str">
        <x:v>RAH01-2026-042</x:v>
      </x:c>
      <x:c r="D297" s="36" t="n">
        <x:v>7</x:v>
      </x:c>
      <x:c r="E297" s="26" t="str">
        <x:v>Ergonomic Hazards</x:v>
      </x:c>
      <x:c r="F297" s="26" t="str">
        <x:v>Repetitive Tasks</x:v>
      </x:c>
      <x:c r="G297" s="35" t="n">
        <x:v>3</x:v>
      </x:c>
      <x:c r="H297" s="35" t="n">
        <x:v>0</x:v>
      </x:c>
      <x:c r="I297" s="35" t="n">
        <x:v>1</x:v>
      </x:c>
      <x:c r="J297" s="35" t="n">
        <x:v>3</x:v>
      </x:c>
      <x:c r="K297" s="36" t="n">
        <x:f>IF(AND(S297=TRUE,ISNUMBER(I297),I297=INT(I297),I297&gt;=1,I297&lt;=3,ISNUMBER(J297),J297=INT(J297),J297&gt;=1,J297&lt;=3),I297*J297,"")</x:f>
        <x:v>3</x:v>
      </x:c>
      <x:c r="L297" s="26" t="str">
        <x:f>IF(K297="","",IF(K297&lt;=2,"LOW",IF(K297&lt;=4,"MEDIUM","HIGH")))</x:f>
        <x:v>MEDIUM</x:v>
      </x:c>
      <x:c r="M297" s="25" t="str">
        <x:v>Task rotation, adjustable equipment, team lifting, and safe-patient-handling guidance are used.</x:v>
      </x:c>
      <x:c r="N297" s="25" t="str">
        <x:v>Complete an ergonomic task assessment and implement equipment or workflow changes to reduce force and repetition.</x:v>
      </x:c>
      <x:c r="O297" s="30" t="b">
        <x:v>0</x:v>
      </x:c>
      <x:c r="P297" s="27" t="str">
        <x:v>ERGONOMIC</x:v>
      </x:c>
      <x:c r="Q297" s="27" t="str">
        <x:v>repetitive_tasks</x:v>
      </x:c>
      <x:c r="R297" s="27" t="str"/>
      <x:c r="S297" s="31" t="b">
        <x:v>1</x:v>
      </x:c>
      <x:c r="T297" s="27" t="str">
        <x:v>ASM-2026-042</x:v>
      </x:c>
      <x:c r="U297" s="27" t="str">
        <x:v>HZ-2026-042-07</x:v>
      </x:c>
    </x:row>
    <x:row r="298">
      <x:c r="A298" s="28" t="str">
        <x:v>Physical Therapy</x:v>
      </x:c>
      <x:c r="B298" s="37" t="n">
        <x:v>46175</x:v>
      </x:c>
      <x:c r="C298" s="26" t="str">
        <x:v>RAH01-2026-042</x:v>
      </x:c>
      <x:c r="D298" s="36" t="n">
        <x:v>8</x:v>
      </x:c>
      <x:c r="E298" s="26" t="str">
        <x:v>Indoor Air Quality Hazards</x:v>
      </x:c>
      <x:c r="F298" s="26" t="str">
        <x:v>Poor Ventilation</x:v>
      </x:c>
      <x:c r="G298" s="35" t="n">
        <x:v>6</x:v>
      </x:c>
      <x:c r="H298" s="35" t="n">
        <x:v>1</x:v>
      </x:c>
      <x:c r="I298" s="35" t="n">
        <x:v>3</x:v>
      </x:c>
      <x:c r="J298" s="35" t="n">
        <x:v>1</x:v>
      </x:c>
      <x:c r="K298" s="36" t="n">
        <x:f>IF(AND(S298=TRUE,ISNUMBER(I298),I298=INT(I298),I298&gt;=1,I298&lt;=3,ISNUMBER(J298),J298=INT(J298),J298&gt;=1,J298&lt;=3),I298*J298,"")</x:f>
        <x:v>3</x:v>
      </x:c>
      <x:c r="L298" s="26" t="str">
        <x:f>IF(K298="","",IF(K298&lt;=2,"LOW",IF(K298&lt;=4,"MEDIUM","HIGH")))</x:f>
        <x:v>MEDIUM</x:v>
      </x:c>
      <x:c r="M298" s="25" t="str">
        <x:v>Ventilation, cleaning, occupancy management, and environmental inspection are performed.</x:v>
      </x:c>
      <x:c r="N298" s="25" t="str">
        <x:v>Inspect ventilation and moisture sources, then document corrective action and environmental recheck.</x:v>
      </x:c>
      <x:c r="O298" s="30" t="b">
        <x:v>0</x:v>
      </x:c>
      <x:c r="P298" s="27" t="str">
        <x:v>INDOOR_AIR_QUALITY</x:v>
      </x:c>
      <x:c r="Q298" s="27" t="str">
        <x:v>poor_ventilation</x:v>
      </x:c>
      <x:c r="R298" s="27" t="str"/>
      <x:c r="S298" s="31" t="b">
        <x:v>1</x:v>
      </x:c>
      <x:c r="T298" s="27" t="str">
        <x:v>ASM-2026-042</x:v>
      </x:c>
      <x:c r="U298" s="27" t="str">
        <x:v>HZ-2026-042-08</x:v>
      </x:c>
    </x:row>
    <x:row r="299">
      <x:c r="A299" s="28" t="str">
        <x:v>Physical Therapy</x:v>
      </x:c>
      <x:c r="B299" s="37" t="n">
        <x:v>46175</x:v>
      </x:c>
      <x:c r="C299" s="26" t="str">
        <x:v>RAH01-2026-042</x:v>
      </x:c>
      <x:c r="D299" s="36" t="n">
        <x:v>9</x:v>
      </x:c>
      <x:c r="E299" s="26" t="str">
        <x:v>Biological Hazards</x:v>
      </x:c>
      <x:c r="F299" s="26" t="str">
        <x:v>Unidentified leakage from clinical waste container</x:v>
      </x:c>
      <x:c r="G299" s="35" t="n">
        <x:v>9</x:v>
      </x:c>
      <x:c r="H299" s="35" t="n">
        <x:v>2</x:v>
      </x:c>
      <x:c r="I299" s="35" t="n">
        <x:v>2</x:v>
      </x:c>
      <x:c r="J299" s="35" t="n">
        <x:v>2</x:v>
      </x:c>
      <x:c r="K299" s="36" t="n">
        <x:f>IF(AND(S299=TRUE,ISNUMBER(I299),I299=INT(I299),I299&gt;=1,I299&lt;=3,ISNUMBER(J299),J299=INT(J299),J299&gt;=1,J299&lt;=3),I299*J299,"")</x:f>
        <x:v>4</x:v>
      </x:c>
      <x:c r="L299" s="26" t="str">
        <x:f>IF(K299="","",IF(K299&lt;=2,"LOW",IF(K299&lt;=4,"MEDIUM","HIGH")))</x:f>
        <x:v>MEDIUM</x:v>
      </x:c>
      <x:c r="M299" s="25" t="str">
        <x:v>Standard precautions, hand hygiene, vaccination, cleaning, and appropriate PPE are implemented.</x:v>
      </x:c>
      <x:c r="N299" s="25" t="str">
        <x:v>Audit compliance, investigate exposure incidents, and reinforce source-control and PPE practice.</x:v>
      </x:c>
      <x:c r="O299" s="30" t="b">
        <x:v>0</x:v>
      </x:c>
      <x:c r="P299" s="27" t="str">
        <x:v>BIOLOGICAL</x:v>
      </x:c>
      <x:c r="Q299" s="27" t="str">
        <x:v>OTHER</x:v>
      </x:c>
      <x:c r="R299" s="27" t="str">
        <x:v>Unidentified leakage from clinical waste container</x:v>
      </x:c>
      <x:c r="S299" s="31" t="b">
        <x:v>1</x:v>
      </x:c>
      <x:c r="T299" s="27" t="str">
        <x:v>ASM-2026-042</x:v>
      </x:c>
      <x:c r="U299" s="27" t="str">
        <x:v>HZ-2026-042-09</x:v>
      </x:c>
    </x:row>
    <x:row r="300">
      <x:c r="A300" s="28" t="str">
        <x:v>Plastic Surgery</x:v>
      </x:c>
      <x:c r="B300" s="37" t="n">
        <x:v>46027</x:v>
      </x:c>
      <x:c r="C300" s="26" t="str">
        <x:v>RAH01-2026-043</x:v>
      </x:c>
      <x:c r="D300" s="36" t="n">
        <x:v>1</x:v>
      </x:c>
      <x:c r="E300" s="26" t="str">
        <x:v>Biological Hazards</x:v>
      </x:c>
      <x:c r="F300" s="26" t="str">
        <x:v>Bacteria</x:v>
      </x:c>
      <x:c r="G300" s="35" t="n">
        <x:v>2</x:v>
      </x:c>
      <x:c r="H300" s="35" t="n">
        <x:v>1</x:v>
      </x:c>
      <x:c r="I300" s="35" t="n">
        <x:v>3</x:v>
      </x:c>
      <x:c r="J300" s="35" t="n">
        <x:v>2</x:v>
      </x:c>
      <x:c r="K300" s="36" t="n">
        <x:f>IF(AND(S300=TRUE,ISNUMBER(I300),I300=INT(I300),I300&gt;=1,I300&lt;=3,ISNUMBER(J300),J300=INT(J300),J300&gt;=1,J300&lt;=3),I300*J300,"")</x:f>
        <x:v>6</x:v>
      </x:c>
      <x:c r="L300" s="26" t="str">
        <x:f>IF(K300="","",IF(K300&lt;=2,"LOW",IF(K300&lt;=4,"MEDIUM","HIGH")))</x:f>
        <x:v>HIGH</x:v>
      </x:c>
      <x:c r="M300" s="25" t="str">
        <x:v>Standard precautions, hand hygiene, vaccination, cleaning, and appropriate PPE are implemented.</x:v>
      </x:c>
      <x:c r="N300" s="25" t="str">
        <x:v>Audit compliance, investigate exposure incidents, and reinforce source-control and PPE practice.</x:v>
      </x:c>
      <x:c r="O300" s="30" t="b">
        <x:v>0</x:v>
      </x:c>
      <x:c r="P300" s="27" t="str">
        <x:v>BIOLOGICAL</x:v>
      </x:c>
      <x:c r="Q300" s="27" t="str">
        <x:v>bacteria</x:v>
      </x:c>
      <x:c r="R300" s="27" t="str"/>
      <x:c r="S300" s="31" t="b">
        <x:v>1</x:v>
      </x:c>
      <x:c r="T300" s="27" t="str">
        <x:v>ASM-2026-043</x:v>
      </x:c>
      <x:c r="U300" s="27" t="str">
        <x:v>HZ-2026-043-01</x:v>
      </x:c>
    </x:row>
    <x:row r="301">
      <x:c r="A301" s="28" t="str">
        <x:v>Plastic Surgery</x:v>
      </x:c>
      <x:c r="B301" s="37" t="n">
        <x:v>46027</x:v>
      </x:c>
      <x:c r="C301" s="26" t="str">
        <x:v>RAH01-2026-043</x:v>
      </x:c>
      <x:c r="D301" s="36" t="n">
        <x:v>2</x:v>
      </x:c>
      <x:c r="E301" s="26" t="str">
        <x:v>Safety and Accident Hazards</x:v>
      </x:c>
      <x:c r="F301" s="26" t="str">
        <x:v>Sharps / Needlestick</x:v>
      </x:c>
      <x:c r="G301" s="35" t="n">
        <x:v>5</x:v>
      </x:c>
      <x:c r="H301" s="35" t="n">
        <x:v>2</x:v>
      </x:c>
      <x:c r="I301" s="35" t="n">
        <x:v>2</x:v>
      </x:c>
      <x:c r="J301" s="35" t="n">
        <x:v>3</x:v>
      </x:c>
      <x:c r="K301" s="36" t="n">
        <x:f>IF(AND(S301=TRUE,ISNUMBER(I301),I301=INT(I301),I301&gt;=1,I301&lt;=3,ISNUMBER(J301),J301=INT(J301),J301&gt;=1,J301&lt;=3),I301*J301,"")</x:f>
        <x:v>6</x:v>
      </x:c>
      <x:c r="L301" s="26" t="str">
        <x:f>IF(K301="","",IF(K301&lt;=2,"LOW",IF(K301&lt;=4,"MEDIUM","HIGH")))</x:f>
        <x:v>HIGH</x:v>
      </x:c>
      <x:c r="M301" s="25" t="str">
        <x:v>Safe-work procedures, inspection, housekeeping, guards, and incident reporting are implemented.</x:v>
      </x:c>
      <x:c r="N301" s="25" t="str">
        <x:v>Correct the unsafe condition, document ownership, and verify effectiveness through a follow-up inspection.</x:v>
      </x:c>
      <x:c r="O301" s="30" t="b">
        <x:v>0</x:v>
      </x:c>
      <x:c r="P301" s="27" t="str">
        <x:v>SAFETY_ACCIDENT</x:v>
      </x:c>
      <x:c r="Q301" s="27" t="str">
        <x:v>sharps</x:v>
      </x:c>
      <x:c r="R301" s="27" t="str"/>
      <x:c r="S301" s="31" t="b">
        <x:v>1</x:v>
      </x:c>
      <x:c r="T301" s="27" t="str">
        <x:v>ASM-2026-043</x:v>
      </x:c>
      <x:c r="U301" s="27" t="str">
        <x:v>HZ-2026-043-02</x:v>
      </x:c>
    </x:row>
    <x:row r="302">
      <x:c r="A302" s="28" t="str">
        <x:v>Plastic Surgery</x:v>
      </x:c>
      <x:c r="B302" s="37" t="n">
        <x:v>46027</x:v>
      </x:c>
      <x:c r="C302" s="26" t="str">
        <x:v>RAH01-2026-043</x:v>
      </x:c>
      <x:c r="D302" s="36" t="n">
        <x:v>3</x:v>
      </x:c>
      <x:c r="E302" s="26" t="str">
        <x:v>Chemical Hazards</x:v>
      </x:c>
      <x:c r="F302" s="26" t="str">
        <x:v>Floor Cleaner</x:v>
      </x:c>
      <x:c r="G302" s="35" t="n">
        <x:v>8</x:v>
      </x:c>
      <x:c r="H302" s="35" t="n">
        <x:v>0</x:v>
      </x:c>
      <x:c r="I302" s="35" t="n">
        <x:v>3</x:v>
      </x:c>
      <x:c r="J302" s="35" t="n">
        <x:v>3</x:v>
      </x:c>
      <x:c r="K302" s="36" t="n">
        <x:f>IF(AND(S302=TRUE,ISNUMBER(I302),I302=INT(I302),I302&gt;=1,I302&lt;=3,ISNUMBER(J302),J302=INT(J302),J302&gt;=1,J302&lt;=3),I302*J302,"")</x:f>
        <x:v>9</x:v>
      </x:c>
      <x:c r="L302" s="26" t="str">
        <x:f>IF(K302="","",IF(K302&lt;=2,"LOW",IF(K302&lt;=4,"MEDIUM","HIGH")))</x:f>
        <x:v>HIGH</x:v>
      </x:c>
      <x:c r="M302" s="25" t="str">
        <x:v>Safety data, labeled containers, local procedures, ventilation, and chemical-resistant PPE are available.</x:v>
      </x:c>
      <x:c r="N302" s="25" t="str">
        <x:v>Review substitution, ventilation, storage, spill response, and staff competency for this chemical task.</x:v>
      </x:c>
      <x:c r="O302" s="30" t="b">
        <x:v>1</x:v>
      </x:c>
      <x:c r="P302" s="27" t="str">
        <x:v>CHEMICAL</x:v>
      </x:c>
      <x:c r="Q302" s="27" t="str">
        <x:v>floor_cleaner</x:v>
      </x:c>
      <x:c r="R302" s="27" t="str"/>
      <x:c r="S302" s="31" t="b">
        <x:v>1</x:v>
      </x:c>
      <x:c r="T302" s="27" t="str">
        <x:v>ASM-2026-043</x:v>
      </x:c>
      <x:c r="U302" s="27" t="str">
        <x:v>HZ-2026-043-03</x:v>
      </x:c>
    </x:row>
    <x:row r="303">
      <x:c r="A303" s="28" t="str">
        <x:v>Plastic Surgery</x:v>
      </x:c>
      <x:c r="B303" s="37" t="n">
        <x:v>46027</x:v>
      </x:c>
      <x:c r="C303" s="26" t="str">
        <x:v>RAH01-2026-043</x:v>
      </x:c>
      <x:c r="D303" s="36" t="n">
        <x:v>4</x:v>
      </x:c>
      <x:c r="E303" s="26" t="str">
        <x:v>Safety and Accident Hazards</x:v>
      </x:c>
      <x:c r="F303" s="26" t="str">
        <x:v>Slippery Surface</x:v>
      </x:c>
      <x:c r="G303" s="35" t="n">
        <x:v>11</x:v>
      </x:c>
      <x:c r="H303" s="35" t="n">
        <x:v>1</x:v>
      </x:c>
      <x:c r="I303" s="35" t="n">
        <x:v>3</x:v>
      </x:c>
      <x:c r="J303" s="35" t="n">
        <x:v>2</x:v>
      </x:c>
      <x:c r="K303" s="36" t="n">
        <x:f>IF(AND(S303=TRUE,ISNUMBER(I303),I303=INT(I303),I303&gt;=1,I303&lt;=3,ISNUMBER(J303),J303=INT(J303),J303&gt;=1,J303&lt;=3),I303*J303,"")</x:f>
        <x:v>6</x:v>
      </x:c>
      <x:c r="L303" s="26" t="str">
        <x:f>IF(K303="","",IF(K303&lt;=2,"LOW",IF(K303&lt;=4,"MEDIUM","HIGH")))</x:f>
        <x:v>HIGH</x:v>
      </x:c>
      <x:c r="M303" s="25" t="str">
        <x:v>Safe-work procedures, inspection, housekeeping, guards, and incident reporting are implemented.</x:v>
      </x:c>
      <x:c r="N303" s="25" t="str">
        <x:v>Correct the unsafe condition, document ownership, and verify effectiveness through a follow-up inspection.</x:v>
      </x:c>
      <x:c r="O303" s="30" t="b">
        <x:v>0</x:v>
      </x:c>
      <x:c r="P303" s="27" t="str">
        <x:v>SAFETY_ACCIDENT</x:v>
      </x:c>
      <x:c r="Q303" s="27" t="str">
        <x:v>slippery_surface</x:v>
      </x:c>
      <x:c r="R303" s="27" t="str"/>
      <x:c r="S303" s="31" t="b">
        <x:v>1</x:v>
      </x:c>
      <x:c r="T303" s="27" t="str">
        <x:v>ASM-2026-043</x:v>
      </x:c>
      <x:c r="U303" s="27" t="str">
        <x:v>HZ-2026-043-04</x:v>
      </x:c>
    </x:row>
    <x:row r="304">
      <x:c r="A304" s="28" t="str">
        <x:v>Plastic Surgery</x:v>
      </x:c>
      <x:c r="B304" s="37" t="n">
        <x:v>46027</x:v>
      </x:c>
      <x:c r="C304" s="26" t="str">
        <x:v>RAH01-2026-043</x:v>
      </x:c>
      <x:c r="D304" s="36" t="n">
        <x:v>5</x:v>
      </x:c>
      <x:c r="E304" s="26" t="str">
        <x:v>Ergonomic Hazards</x:v>
      </x:c>
      <x:c r="F304" s="26" t="str">
        <x:v>Heavy Lifting / Patient Transfer</x:v>
      </x:c>
      <x:c r="G304" s="35" t="n">
        <x:v>14</x:v>
      </x:c>
      <x:c r="H304" s="35" t="n">
        <x:v>2</x:v>
      </x:c>
      <x:c r="I304" s="35" t="n">
        <x:v>2</x:v>
      </x:c>
      <x:c r="J304" s="35" t="n">
        <x:v>3</x:v>
      </x:c>
      <x:c r="K304" s="36" t="n">
        <x:f>IF(AND(S304=TRUE,ISNUMBER(I304),I304=INT(I304),I304&gt;=1,I304&lt;=3,ISNUMBER(J304),J304=INT(J304),J304&gt;=1,J304&lt;=3),I304*J304,"")</x:f>
        <x:v>6</x:v>
      </x:c>
      <x:c r="L304" s="26" t="str">
        <x:f>IF(K304="","",IF(K304&lt;=2,"LOW",IF(K304&lt;=4,"MEDIUM","HIGH")))</x:f>
        <x:v>HIGH</x:v>
      </x:c>
      <x:c r="M304" s="25" t="str">
        <x:v>Task rotation, adjustable equipment, team lifting, and safe-patient-handling guidance are used.</x:v>
      </x:c>
      <x:c r="N304" s="25" t="str">
        <x:v>Complete an ergonomic task assessment and implement equipment or workflow changes to reduce force and repetition.</x:v>
      </x:c>
      <x:c r="O304" s="30" t="b">
        <x:v>0</x:v>
      </x:c>
      <x:c r="P304" s="27" t="str">
        <x:v>ERGONOMIC</x:v>
      </x:c>
      <x:c r="Q304" s="27" t="str">
        <x:v>heavy_lifting_patient_transfer</x:v>
      </x:c>
      <x:c r="R304" s="27" t="str"/>
      <x:c r="S304" s="31" t="b">
        <x:v>1</x:v>
      </x:c>
      <x:c r="T304" s="27" t="str">
        <x:v>ASM-2026-043</x:v>
      </x:c>
      <x:c r="U304" s="27" t="str">
        <x:v>HZ-2026-043-05</x:v>
      </x:c>
    </x:row>
    <x:row r="305">
      <x:c r="A305" s="28" t="str">
        <x:v>Plastic Surgery</x:v>
      </x:c>
      <x:c r="B305" s="37" t="n">
        <x:v>46027</x:v>
      </x:c>
      <x:c r="C305" s="26" t="str">
        <x:v>RAH01-2026-043</x:v>
      </x:c>
      <x:c r="D305" s="36" t="n">
        <x:v>6</x:v>
      </x:c>
      <x:c r="E305" s="26" t="str">
        <x:v>Ergonomic Hazards</x:v>
      </x:c>
      <x:c r="F305" s="26" t="str">
        <x:v>High Push / Pull Force</x:v>
      </x:c>
      <x:c r="G305" s="35" t="n">
        <x:v>17</x:v>
      </x:c>
      <x:c r="H305" s="35" t="n">
        <x:v>0</x:v>
      </x:c>
      <x:c r="I305" s="35" t="n">
        <x:v>3</x:v>
      </x:c>
      <x:c r="J305" s="35" t="n">
        <x:v>3</x:v>
      </x:c>
      <x:c r="K305" s="36" t="n">
        <x:f>IF(AND(S305=TRUE,ISNUMBER(I305),I305=INT(I305),I305&gt;=1,I305&lt;=3,ISNUMBER(J305),J305=INT(J305),J305&gt;=1,J305&lt;=3),I305*J305,"")</x:f>
        <x:v>9</x:v>
      </x:c>
      <x:c r="L305" s="26" t="str">
        <x:f>IF(K305="","",IF(K305&lt;=2,"LOW",IF(K305&lt;=4,"MEDIUM","HIGH")))</x:f>
        <x:v>HIGH</x:v>
      </x:c>
      <x:c r="M305" s="25" t="str">
        <x:v>Task rotation, adjustable equipment, team lifting, and safe-patient-handling guidance are used.</x:v>
      </x:c>
      <x:c r="N305" s="25" t="str">
        <x:v>Complete an ergonomic task assessment and implement equipment or workflow changes to reduce force and repetition.</x:v>
      </x:c>
      <x:c r="O305" s="30" t="b">
        <x:v>1</x:v>
      </x:c>
      <x:c r="P305" s="27" t="str">
        <x:v>ERGONOMIC</x:v>
      </x:c>
      <x:c r="Q305" s="27" t="str">
        <x:v>high_push_pull_force</x:v>
      </x:c>
      <x:c r="R305" s="27" t="str"/>
      <x:c r="S305" s="31" t="b">
        <x:v>1</x:v>
      </x:c>
      <x:c r="T305" s="27" t="str">
        <x:v>ASM-2026-043</x:v>
      </x:c>
      <x:c r="U305" s="27" t="str">
        <x:v>HZ-2026-043-06</x:v>
      </x:c>
    </x:row>
    <x:row r="306">
      <x:c r="A306" s="28" t="str">
        <x:v>Plastic Surgery</x:v>
      </x:c>
      <x:c r="B306" s="37" t="n">
        <x:v>46027</x:v>
      </x:c>
      <x:c r="C306" s="26" t="str">
        <x:v>RAH01-2026-043</x:v>
      </x:c>
      <x:c r="D306" s="36" t="n">
        <x:v>7</x:v>
      </x:c>
      <x:c r="E306" s="26" t="str">
        <x:v>Ergonomic Hazards</x:v>
      </x:c>
      <x:c r="F306" s="26" t="str">
        <x:v>Repetitive Tasks</x:v>
      </x:c>
      <x:c r="G306" s="35" t="n">
        <x:v>3</x:v>
      </x:c>
      <x:c r="H306" s="35" t="n">
        <x:v>1</x:v>
      </x:c>
      <x:c r="I306" s="35" t="n">
        <x:v>3</x:v>
      </x:c>
      <x:c r="J306" s="35" t="n">
        <x:v>2</x:v>
      </x:c>
      <x:c r="K306" s="36" t="n">
        <x:f>IF(AND(S306=TRUE,ISNUMBER(I306),I306=INT(I306),I306&gt;=1,I306&lt;=3,ISNUMBER(J306),J306=INT(J306),J306&gt;=1,J306&lt;=3),I306*J306,"")</x:f>
        <x:v>6</x:v>
      </x:c>
      <x:c r="L306" s="26" t="str">
        <x:f>IF(K306="","",IF(K306&lt;=2,"LOW",IF(K306&lt;=4,"MEDIUM","HIGH")))</x:f>
        <x:v>HIGH</x:v>
      </x:c>
      <x:c r="M306" s="25" t="str">
        <x:v>Task rotation, adjustable equipment, team lifting, and safe-patient-handling guidance are used.</x:v>
      </x:c>
      <x:c r="N306" s="25" t="str">
        <x:v>Complete an ergonomic task assessment and implement equipment or workflow changes to reduce force and repetition.</x:v>
      </x:c>
      <x:c r="O306" s="30" t="b">
        <x:v>0</x:v>
      </x:c>
      <x:c r="P306" s="27" t="str">
        <x:v>ERGONOMIC</x:v>
      </x:c>
      <x:c r="Q306" s="27" t="str">
        <x:v>repetitive_tasks</x:v>
      </x:c>
      <x:c r="R306" s="27" t="str"/>
      <x:c r="S306" s="31" t="b">
        <x:v>1</x:v>
      </x:c>
      <x:c r="T306" s="27" t="str">
        <x:v>ASM-2026-043</x:v>
      </x:c>
      <x:c r="U306" s="27" t="str">
        <x:v>HZ-2026-043-07</x:v>
      </x:c>
    </x:row>
    <x:row r="307">
      <x:c r="A307" s="28" t="str">
        <x:v>Plastic Surgery</x:v>
      </x:c>
      <x:c r="B307" s="37" t="n">
        <x:v>46027</x:v>
      </x:c>
      <x:c r="C307" s="26" t="str">
        <x:v>RAH01-2026-043</x:v>
      </x:c>
      <x:c r="D307" s="36" t="n">
        <x:v>8</x:v>
      </x:c>
      <x:c r="E307" s="26" t="str">
        <x:v>Safety and Accident Hazards</x:v>
      </x:c>
      <x:c r="F307" s="26" t="str">
        <x:v>Pathway Obstruction</x:v>
      </x:c>
      <x:c r="G307" s="35" t="n">
        <x:v>6</x:v>
      </x:c>
      <x:c r="H307" s="35" t="n">
        <x:v>2</x:v>
      </x:c>
      <x:c r="I307" s="35" t="n">
        <x:v>2</x:v>
      </x:c>
      <x:c r="J307" s="35" t="n">
        <x:v>3</x:v>
      </x:c>
      <x:c r="K307" s="36" t="n">
        <x:f>IF(AND(S307=TRUE,ISNUMBER(I307),I307=INT(I307),I307&gt;=1,I307&lt;=3,ISNUMBER(J307),J307=INT(J307),J307&gt;=1,J307&lt;=3),I307*J307,"")</x:f>
        <x:v>6</x:v>
      </x:c>
      <x:c r="L307" s="26" t="str">
        <x:f>IF(K307="","",IF(K307&lt;=2,"LOW",IF(K307&lt;=4,"MEDIUM","HIGH")))</x:f>
        <x:v>HIGH</x:v>
      </x:c>
      <x:c r="M307" s="25" t="str">
        <x:v>Safe-work procedures, inspection, housekeeping, guards, and incident reporting are implemented.</x:v>
      </x:c>
      <x:c r="N307" s="25" t="str">
        <x:v>Correct the unsafe condition, document ownership, and verify effectiveness through a follow-up inspection.</x:v>
      </x:c>
      <x:c r="O307" s="30" t="b">
        <x:v>0</x:v>
      </x:c>
      <x:c r="P307" s="27" t="str">
        <x:v>SAFETY_ACCIDENT</x:v>
      </x:c>
      <x:c r="Q307" s="27" t="str">
        <x:v>pathway_obstruction</x:v>
      </x:c>
      <x:c r="R307" s="27" t="str"/>
      <x:c r="S307" s="31" t="b">
        <x:v>1</x:v>
      </x:c>
      <x:c r="T307" s="27" t="str">
        <x:v>ASM-2026-043</x:v>
      </x:c>
      <x:c r="U307" s="27" t="str">
        <x:v>HZ-2026-043-08</x:v>
      </x:c>
    </x:row>
    <x:row r="308">
      <x:c r="A308" s="28" t="str">
        <x:v>Psychiatry</x:v>
      </x:c>
      <x:c r="B308" s="37" t="n">
        <x:v>46061</x:v>
      </x:c>
      <x:c r="C308" s="26" t="str">
        <x:v>RAH01-2026-044</x:v>
      </x:c>
      <x:c r="D308" s="36" t="n">
        <x:v>1</x:v>
      </x:c>
      <x:c r="E308" s="26" t="str">
        <x:v>Ergonomic Hazards</x:v>
      </x:c>
      <x:c r="F308" s="26" t="str">
        <x:v>Prolonged Standing or Sitting</x:v>
      </x:c>
      <x:c r="G308" s="35" t="n">
        <x:v>17</x:v>
      </x:c>
      <x:c r="H308" s="35" t="n">
        <x:v>2</x:v>
      </x:c>
      <x:c r="I308" s="35" t="n">
        <x:v>2</x:v>
      </x:c>
      <x:c r="J308" s="35" t="n">
        <x:v>1</x:v>
      </x:c>
      <x:c r="K308" s="36" t="n">
        <x:f>IF(AND(S308=TRUE,ISNUMBER(I308),I308=INT(I308),I308&gt;=1,I308&lt;=3,ISNUMBER(J308),J308=INT(J308),J308&gt;=1,J308&lt;=3),I308*J308,"")</x:f>
        <x:v>2</x:v>
      </x:c>
      <x:c r="L308" s="26" t="str">
        <x:f>IF(K308="","",IF(K308&lt;=2,"LOW",IF(K308&lt;=4,"MEDIUM","HIGH")))</x:f>
        <x:v>LOW</x:v>
      </x:c>
      <x:c r="M308" s="25" t="str">
        <x:v>Task rotation, adjustable equipment, team lifting, and safe-patient-handling guidance are used.</x:v>
      </x:c>
      <x:c r="N308" s="25" t="str"/>
      <x:c r="O308" s="30" t="b">
        <x:v>0</x:v>
      </x:c>
      <x:c r="P308" s="27" t="str">
        <x:v>ERGONOMIC</x:v>
      </x:c>
      <x:c r="Q308" s="27" t="str">
        <x:v>prolonged_standing_sitting</x:v>
      </x:c>
      <x:c r="R308" s="27" t="str"/>
      <x:c r="S308" s="31" t="b">
        <x:v>1</x:v>
      </x:c>
      <x:c r="T308" s="27" t="str">
        <x:v>ASM-2026-044</x:v>
      </x:c>
      <x:c r="U308" s="27" t="str">
        <x:v>HZ-2026-044-01</x:v>
      </x:c>
    </x:row>
    <x:row r="309">
      <x:c r="A309" s="28" t="str">
        <x:v>Psychiatry</x:v>
      </x:c>
      <x:c r="B309" s="37" t="n">
        <x:v>46061</x:v>
      </x:c>
      <x:c r="C309" s="26" t="str">
        <x:v>RAH01-2026-044</x:v>
      </x:c>
      <x:c r="D309" s="36" t="n">
        <x:v>2</x:v>
      </x:c>
      <x:c r="E309" s="26" t="str">
        <x:v>Ergonomic Hazards</x:v>
      </x:c>
      <x:c r="F309" s="26" t="str">
        <x:v>Unsuitable Desk or Chair</x:v>
      </x:c>
      <x:c r="G309" s="35" t="n">
        <x:v>20</x:v>
      </x:c>
      <x:c r="H309" s="35" t="n">
        <x:v>0</x:v>
      </x:c>
      <x:c r="I309" s="35" t="n">
        <x:v>1</x:v>
      </x:c>
      <x:c r="J309" s="35" t="n">
        <x:v>2</x:v>
      </x:c>
      <x:c r="K309" s="36" t="n">
        <x:f>IF(AND(S309=TRUE,ISNUMBER(I309),I309=INT(I309),I309&gt;=1,I309&lt;=3,ISNUMBER(J309),J309=INT(J309),J309&gt;=1,J309&lt;=3),I309*J309,"")</x:f>
        <x:v>2</x:v>
      </x:c>
      <x:c r="L309" s="26" t="str">
        <x:f>IF(K309="","",IF(K309&lt;=2,"LOW",IF(K309&lt;=4,"MEDIUM","HIGH")))</x:f>
        <x:v>LOW</x:v>
      </x:c>
      <x:c r="M309" s="25" t="str">
        <x:v>Task rotation, adjustable equipment, team lifting, and safe-patient-handling guidance are used.</x:v>
      </x:c>
      <x:c r="N309" s="25" t="str"/>
      <x:c r="O309" s="30" t="b">
        <x:v>0</x:v>
      </x:c>
      <x:c r="P309" s="27" t="str">
        <x:v>ERGONOMIC</x:v>
      </x:c>
      <x:c r="Q309" s="27" t="str">
        <x:v>unsuitable_desk_chair</x:v>
      </x:c>
      <x:c r="R309" s="27" t="str"/>
      <x:c r="S309" s="31" t="b">
        <x:v>1</x:v>
      </x:c>
      <x:c r="T309" s="27" t="str">
        <x:v>ASM-2026-044</x:v>
      </x:c>
      <x:c r="U309" s="27" t="str">
        <x:v>HZ-2026-044-02</x:v>
      </x:c>
    </x:row>
    <x:row r="310">
      <x:c r="A310" s="28" t="str">
        <x:v>Psychiatry</x:v>
      </x:c>
      <x:c r="B310" s="37" t="n">
        <x:v>46061</x:v>
      </x:c>
      <x:c r="C310" s="26" t="str">
        <x:v>RAH01-2026-044</x:v>
      </x:c>
      <x:c r="D310" s="36" t="n">
        <x:v>3</x:v>
      </x:c>
      <x:c r="E310" s="26" t="str">
        <x:v>Ergonomic Hazards</x:v>
      </x:c>
      <x:c r="F310" s="26" t="str">
        <x:v>Repetitive Tasks</x:v>
      </x:c>
      <x:c r="G310" s="35" t="n">
        <x:v>23</x:v>
      </x:c>
      <x:c r="H310" s="35" t="n">
        <x:v>1</x:v>
      </x:c>
      <x:c r="I310" s="35" t="n">
        <x:v>1</x:v>
      </x:c>
      <x:c r="J310" s="35" t="n">
        <x:v>1</x:v>
      </x:c>
      <x:c r="K310" s="36" t="n">
        <x:f>IF(AND(S310=TRUE,ISNUMBER(I310),I310=INT(I310),I310&gt;=1,I310&lt;=3,ISNUMBER(J310),J310=INT(J310),J310&gt;=1,J310&lt;=3),I310*J310,"")</x:f>
        <x:v>1</x:v>
      </x:c>
      <x:c r="L310" s="26" t="str">
        <x:f>IF(K310="","",IF(K310&lt;=2,"LOW",IF(K310&lt;=4,"MEDIUM","HIGH")))</x:f>
        <x:v>LOW</x:v>
      </x:c>
      <x:c r="M310" s="25" t="str">
        <x:v>Task rotation, adjustable equipment, team lifting, and safe-patient-handling guidance are used.</x:v>
      </x:c>
      <x:c r="N310" s="25" t="str"/>
      <x:c r="O310" s="30" t="b">
        <x:v>0</x:v>
      </x:c>
      <x:c r="P310" s="27" t="str">
        <x:v>ERGONOMIC</x:v>
      </x:c>
      <x:c r="Q310" s="27" t="str">
        <x:v>repetitive_tasks</x:v>
      </x:c>
      <x:c r="R310" s="27" t="str"/>
      <x:c r="S310" s="31" t="b">
        <x:v>1</x:v>
      </x:c>
      <x:c r="T310" s="27" t="str">
        <x:v>ASM-2026-044</x:v>
      </x:c>
      <x:c r="U310" s="27" t="str">
        <x:v>HZ-2026-044-03</x:v>
      </x:c>
    </x:row>
    <x:row r="311">
      <x:c r="A311" s="28" t="str">
        <x:v>Psychiatry</x:v>
      </x:c>
      <x:c r="B311" s="37" t="n">
        <x:v>46061</x:v>
      </x:c>
      <x:c r="C311" s="26" t="str">
        <x:v>RAH01-2026-044</x:v>
      </x:c>
      <x:c r="D311" s="36" t="n">
        <x:v>4</x:v>
      </x:c>
      <x:c r="E311" s="26" t="str">
        <x:v>Psychosocial Hazards</x:v>
      </x:c>
      <x:c r="F311" s="26" t="str">
        <x:v>Work Stress</x:v>
      </x:c>
      <x:c r="G311" s="35" t="n">
        <x:v>2</x:v>
      </x:c>
      <x:c r="H311" s="35" t="n">
        <x:v>2</x:v>
      </x:c>
      <x:c r="I311" s="35" t="n">
        <x:v>2</x:v>
      </x:c>
      <x:c r="J311" s="35" t="n">
        <x:v>1</x:v>
      </x:c>
      <x:c r="K311" s="36" t="n">
        <x:f>IF(AND(S311=TRUE,ISNUMBER(I311),I311=INT(I311),I311&gt;=1,I311&lt;=3,ISNUMBER(J311),J311=INT(J311),J311&gt;=1,J311&lt;=3),I311*J311,"")</x:f>
        <x:v>2</x:v>
      </x:c>
      <x:c r="L311" s="26" t="str">
        <x:f>IF(K311="","",IF(K311&lt;=2,"LOW",IF(K311&lt;=4,"MEDIUM","HIGH")))</x:f>
        <x:v>LOW</x:v>
      </x:c>
      <x:c r="M311" s="25" t="str">
        <x:v>Shift planning, escalation pathways, security support, breaks, and supervisor check-ins are available.</x:v>
      </x:c>
      <x:c r="N311" s="25" t="str"/>
      <x:c r="O311" s="30" t="b">
        <x:v>0</x:v>
      </x:c>
      <x:c r="P311" s="27" t="str">
        <x:v>PSYCHOSOCIAL</x:v>
      </x:c>
      <x:c r="Q311" s="27" t="str">
        <x:v>work_stress</x:v>
      </x:c>
      <x:c r="R311" s="27" t="str"/>
      <x:c r="S311" s="31" t="b">
        <x:v>1</x:v>
      </x:c>
      <x:c r="T311" s="27" t="str">
        <x:v>ASM-2026-044</x:v>
      </x:c>
      <x:c r="U311" s="27" t="str">
        <x:v>HZ-2026-044-04</x:v>
      </x:c>
    </x:row>
    <x:row r="312">
      <x:c r="A312" s="28" t="str">
        <x:v>Psychiatry</x:v>
      </x:c>
      <x:c r="B312" s="37" t="n">
        <x:v>46061</x:v>
      </x:c>
      <x:c r="C312" s="26" t="str">
        <x:v>RAH01-2026-044</x:v>
      </x:c>
      <x:c r="D312" s="36" t="n">
        <x:v>5</x:v>
      </x:c>
      <x:c r="E312" s="26" t="str">
        <x:v>Physical Hazards</x:v>
      </x:c>
      <x:c r="F312" s="26" t="str">
        <x:v>Lighting</x:v>
      </x:c>
      <x:c r="G312" s="35" t="n">
        <x:v>5</x:v>
      </x:c>
      <x:c r="H312" s="35" t="n">
        <x:v>0</x:v>
      </x:c>
      <x:c r="I312" s="35" t="n">
        <x:v>1</x:v>
      </x:c>
      <x:c r="J312" s="35" t="n">
        <x:v>2</x:v>
      </x:c>
      <x:c r="K312" s="36" t="n">
        <x:f>IF(AND(S312=TRUE,ISNUMBER(I312),I312=INT(I312),I312&gt;=1,I312&lt;=3,ISNUMBER(J312),J312=INT(J312),J312&gt;=1,J312&lt;=3),I312*J312,"")</x:f>
        <x:v>2</x:v>
      </x:c>
      <x:c r="L312" s="26" t="str">
        <x:f>IF(K312="","",IF(K312&lt;=2,"LOW",IF(K312&lt;=4,"MEDIUM","HIGH")))</x:f>
        <x:v>LOW</x:v>
      </x:c>
      <x:c r="M312" s="25" t="str">
        <x:v>Engineering controls, preventive maintenance, posted limits, and periodic exposure monitoring are in place.</x:v>
      </x:c>
      <x:c r="N312" s="25" t="str"/>
      <x:c r="O312" s="30" t="b">
        <x:v>0</x:v>
      </x:c>
      <x:c r="P312" s="27" t="str">
        <x:v>PHYSICAL</x:v>
      </x:c>
      <x:c r="Q312" s="27" t="str">
        <x:v>lighting</x:v>
      </x:c>
      <x:c r="R312" s="27" t="str"/>
      <x:c r="S312" s="31" t="b">
        <x:v>1</x:v>
      </x:c>
      <x:c r="T312" s="27" t="str">
        <x:v>ASM-2026-044</x:v>
      </x:c>
      <x:c r="U312" s="27" t="str">
        <x:v>HZ-2026-044-05</x:v>
      </x:c>
    </x:row>
    <x:row r="313">
      <x:c r="A313" s="28" t="str">
        <x:v>Quality Improvement</x:v>
      </x:c>
      <x:c r="B313" s="37" t="n">
        <x:v>46092</x:v>
      </x:c>
      <x:c r="C313" s="26" t="str">
        <x:v>RAH01-2026-045</x:v>
      </x:c>
      <x:c r="D313" s="36" t="n">
        <x:v>1</x:v>
      </x:c>
      <x:c r="E313" s="26" t="str">
        <x:v>Ergonomic Hazards</x:v>
      </x:c>
      <x:c r="F313" s="26" t="str">
        <x:v>Prolonged Standing or Sitting</x:v>
      </x:c>
      <x:c r="G313" s="35" t="n">
        <x:v>29</x:v>
      </x:c>
      <x:c r="H313" s="35" t="n">
        <x:v>0</x:v>
      </x:c>
      <x:c r="I313" s="35" t="n">
        <x:v>1</x:v>
      </x:c>
      <x:c r="J313" s="35" t="n">
        <x:v>3</x:v>
      </x:c>
      <x:c r="K313" s="36" t="n">
        <x:f>IF(AND(S313=TRUE,ISNUMBER(I313),I313=INT(I313),I313&gt;=1,I313&lt;=3,ISNUMBER(J313),J313=INT(J313),J313&gt;=1,J313&lt;=3),I313*J313,"")</x:f>
        <x:v>3</x:v>
      </x:c>
      <x:c r="L313" s="26" t="str">
        <x:f>IF(K313="","",IF(K313&lt;=2,"LOW",IF(K313&lt;=4,"MEDIUM","HIGH")))</x:f>
        <x:v>MEDIUM</x:v>
      </x:c>
      <x:c r="M313" s="25" t="str">
        <x:v>Task rotation, adjustable equipment, team lifting, and safe-patient-handling guidance are used.</x:v>
      </x:c>
      <x:c r="N313" s="25" t="str">
        <x:v>Complete an ergonomic task assessment and implement equipment or workflow changes to reduce force and repetition.</x:v>
      </x:c>
      <x:c r="O313" s="30" t="b">
        <x:v>0</x:v>
      </x:c>
      <x:c r="P313" s="27" t="str">
        <x:v>ERGONOMIC</x:v>
      </x:c>
      <x:c r="Q313" s="27" t="str">
        <x:v>prolonged_standing_sitting</x:v>
      </x:c>
      <x:c r="R313" s="27" t="str"/>
      <x:c r="S313" s="31" t="b">
        <x:v>1</x:v>
      </x:c>
      <x:c r="T313" s="27" t="str">
        <x:v>ASM-2026-045</x:v>
      </x:c>
      <x:c r="U313" s="27" t="str">
        <x:v>HZ-2026-045-01</x:v>
      </x:c>
    </x:row>
    <x:row r="314">
      <x:c r="A314" s="28" t="str">
        <x:v>Quality Improvement</x:v>
      </x:c>
      <x:c r="B314" s="37" t="n">
        <x:v>46092</x:v>
      </x:c>
      <x:c r="C314" s="26" t="str">
        <x:v>RAH01-2026-045</x:v>
      </x:c>
      <x:c r="D314" s="36" t="n">
        <x:v>2</x:v>
      </x:c>
      <x:c r="E314" s="26" t="str">
        <x:v>Ergonomic Hazards</x:v>
      </x:c>
      <x:c r="F314" s="26" t="str">
        <x:v>Unsuitable Desk or Chair</x:v>
      </x:c>
      <x:c r="G314" s="35" t="n">
        <x:v>1</x:v>
      </x:c>
      <x:c r="H314" s="35" t="n">
        <x:v>1</x:v>
      </x:c>
      <x:c r="I314" s="35" t="n">
        <x:v>3</x:v>
      </x:c>
      <x:c r="J314" s="35" t="n">
        <x:v>1</x:v>
      </x:c>
      <x:c r="K314" s="36" t="n">
        <x:f>IF(AND(S314=TRUE,ISNUMBER(I314),I314=INT(I314),I314&gt;=1,I314&lt;=3,ISNUMBER(J314),J314=INT(J314),J314&gt;=1,J314&lt;=3),I314*J314,"")</x:f>
        <x:v>3</x:v>
      </x:c>
      <x:c r="L314" s="26" t="str">
        <x:f>IF(K314="","",IF(K314&lt;=2,"LOW",IF(K314&lt;=4,"MEDIUM","HIGH")))</x:f>
        <x:v>MEDIUM</x:v>
      </x:c>
      <x:c r="M314" s="25" t="str">
        <x:v>Task rotation, adjustable equipment, team lifting, and safe-patient-handling guidance are used.</x:v>
      </x:c>
      <x:c r="N314" s="25" t="str">
        <x:v>Complete an ergonomic task assessment and implement equipment or workflow changes to reduce force and repetition.</x:v>
      </x:c>
      <x:c r="O314" s="30" t="b">
        <x:v>0</x:v>
      </x:c>
      <x:c r="P314" s="27" t="str">
        <x:v>ERGONOMIC</x:v>
      </x:c>
      <x:c r="Q314" s="27" t="str">
        <x:v>unsuitable_desk_chair</x:v>
      </x:c>
      <x:c r="R314" s="27" t="str"/>
      <x:c r="S314" s="31" t="b">
        <x:v>1</x:v>
      </x:c>
      <x:c r="T314" s="27" t="str">
        <x:v>ASM-2026-045</x:v>
      </x:c>
      <x:c r="U314" s="27" t="str">
        <x:v>HZ-2026-045-02</x:v>
      </x:c>
    </x:row>
    <x:row r="315">
      <x:c r="A315" s="28" t="str">
        <x:v>Quality Improvement</x:v>
      </x:c>
      <x:c r="B315" s="37" t="n">
        <x:v>46092</x:v>
      </x:c>
      <x:c r="C315" s="26" t="str">
        <x:v>RAH01-2026-045</x:v>
      </x:c>
      <x:c r="D315" s="36" t="n">
        <x:v>3</x:v>
      </x:c>
      <x:c r="E315" s="26" t="str">
        <x:v>Ergonomic Hazards</x:v>
      </x:c>
      <x:c r="F315" s="26" t="str">
        <x:v>Repetitive Tasks</x:v>
      </x:c>
      <x:c r="G315" s="35" t="n">
        <x:v>4</x:v>
      </x:c>
      <x:c r="H315" s="35" t="n">
        <x:v>2</x:v>
      </x:c>
      <x:c r="I315" s="35" t="n">
        <x:v>2</x:v>
      </x:c>
      <x:c r="J315" s="35" t="n">
        <x:v>2</x:v>
      </x:c>
      <x:c r="K315" s="36" t="n">
        <x:f>IF(AND(S315=TRUE,ISNUMBER(I315),I315=INT(I315),I315&gt;=1,I315&lt;=3,ISNUMBER(J315),J315=INT(J315),J315&gt;=1,J315&lt;=3),I315*J315,"")</x:f>
        <x:v>4</x:v>
      </x:c>
      <x:c r="L315" s="26" t="str">
        <x:f>IF(K315="","",IF(K315&lt;=2,"LOW",IF(K315&lt;=4,"MEDIUM","HIGH")))</x:f>
        <x:v>MEDIUM</x:v>
      </x:c>
      <x:c r="M315" s="25" t="str">
        <x:v>Task rotation, adjustable equipment, team lifting, and safe-patient-handling guidance are used.</x:v>
      </x:c>
      <x:c r="N315" s="25" t="str">
        <x:v>Complete an ergonomic task assessment and implement equipment or workflow changes to reduce force and repetition.</x:v>
      </x:c>
      <x:c r="O315" s="30" t="b">
        <x:v>0</x:v>
      </x:c>
      <x:c r="P315" s="27" t="str">
        <x:v>ERGONOMIC</x:v>
      </x:c>
      <x:c r="Q315" s="27" t="str">
        <x:v>repetitive_tasks</x:v>
      </x:c>
      <x:c r="R315" s="27" t="str"/>
      <x:c r="S315" s="31" t="b">
        <x:v>1</x:v>
      </x:c>
      <x:c r="T315" s="27" t="str">
        <x:v>ASM-2026-045</x:v>
      </x:c>
      <x:c r="U315" s="27" t="str">
        <x:v>HZ-2026-045-03</x:v>
      </x:c>
    </x:row>
    <x:row r="316">
      <x:c r="A316" s="28" t="str">
        <x:v>Quality Improvement</x:v>
      </x:c>
      <x:c r="B316" s="37" t="n">
        <x:v>46092</x:v>
      </x:c>
      <x:c r="C316" s="26" t="str">
        <x:v>RAH01-2026-045</x:v>
      </x:c>
      <x:c r="D316" s="36" t="n">
        <x:v>4</x:v>
      </x:c>
      <x:c r="E316" s="26" t="str">
        <x:v>Psychosocial Hazards</x:v>
      </x:c>
      <x:c r="F316" s="26" t="str">
        <x:v>Work Stress</x:v>
      </x:c>
      <x:c r="G316" s="35" t="n">
        <x:v>7</x:v>
      </x:c>
      <x:c r="H316" s="35" t="n">
        <x:v>0</x:v>
      </x:c>
      <x:c r="I316" s="35" t="n">
        <x:v>1</x:v>
      </x:c>
      <x:c r="J316" s="35" t="n">
        <x:v>3</x:v>
      </x:c>
      <x:c r="K316" s="36" t="n">
        <x:f>IF(AND(S316=TRUE,ISNUMBER(I316),I316=INT(I316),I316&gt;=1,I316&lt;=3,ISNUMBER(J316),J316=INT(J316),J316&gt;=1,J316&lt;=3),I316*J316,"")</x:f>
        <x:v>3</x:v>
      </x:c>
      <x:c r="L316" s="26" t="str">
        <x:f>IF(K316="","",IF(K316&lt;=2,"LOW",IF(K316&lt;=4,"MEDIUM","HIGH")))</x:f>
        <x:v>MEDIUM</x:v>
      </x:c>
      <x:c r="M316" s="25" t="str">
        <x:v>Shift planning, escalation pathways, security support, breaks, and supervisor check-ins are available.</x:v>
      </x:c>
      <x:c r="N316" s="25" t="str">
        <x:v>Review staffing, breaks, escalation support, and violence-prevention controls with the department manager.</x:v>
      </x:c>
      <x:c r="O316" s="30" t="b">
        <x:v>0</x:v>
      </x:c>
      <x:c r="P316" s="27" t="str">
        <x:v>PSYCHOSOCIAL</x:v>
      </x:c>
      <x:c r="Q316" s="27" t="str">
        <x:v>work_stress</x:v>
      </x:c>
      <x:c r="R316" s="27" t="str"/>
      <x:c r="S316" s="31" t="b">
        <x:v>1</x:v>
      </x:c>
      <x:c r="T316" s="27" t="str">
        <x:v>ASM-2026-045</x:v>
      </x:c>
      <x:c r="U316" s="27" t="str">
        <x:v>HZ-2026-045-04</x:v>
      </x:c>
    </x:row>
    <x:row r="317">
      <x:c r="A317" s="28" t="str">
        <x:v>Quality Improvement</x:v>
      </x:c>
      <x:c r="B317" s="37" t="n">
        <x:v>46092</x:v>
      </x:c>
      <x:c r="C317" s="26" t="str">
        <x:v>RAH01-2026-045</x:v>
      </x:c>
      <x:c r="D317" s="36" t="n">
        <x:v>5</x:v>
      </x:c>
      <x:c r="E317" s="26" t="str">
        <x:v>Physical Hazards</x:v>
      </x:c>
      <x:c r="F317" s="26" t="str">
        <x:v>Lighting</x:v>
      </x:c>
      <x:c r="G317" s="35" t="n">
        <x:v>10</x:v>
      </x:c>
      <x:c r="H317" s="35" t="n">
        <x:v>1</x:v>
      </x:c>
      <x:c r="I317" s="35" t="n">
        <x:v>3</x:v>
      </x:c>
      <x:c r="J317" s="35" t="n">
        <x:v>1</x:v>
      </x:c>
      <x:c r="K317" s="36" t="n">
        <x:f>IF(AND(S317=TRUE,ISNUMBER(I317),I317=INT(I317),I317&gt;=1,I317&lt;=3,ISNUMBER(J317),J317=INT(J317),J317&gt;=1,J317&lt;=3),I317*J317,"")</x:f>
        <x:v>3</x:v>
      </x:c>
      <x:c r="L317" s="26" t="str">
        <x:f>IF(K317="","",IF(K317&lt;=2,"LOW",IF(K317&lt;=4,"MEDIUM","HIGH")))</x:f>
        <x:v>MEDIUM</x:v>
      </x:c>
      <x:c r="M317" s="25" t="str">
        <x:v>Engineering controls, preventive maintenance, posted limits, and periodic exposure monitoring are in place.</x:v>
      </x:c>
      <x:c r="N317" s="25" t="str">
        <x:v>Measure exposure against the hospital standard and close any engineering-control gap within 90 days.</x:v>
      </x:c>
      <x:c r="O317" s="30" t="b">
        <x:v>0</x:v>
      </x:c>
      <x:c r="P317" s="27" t="str">
        <x:v>PHYSICAL</x:v>
      </x:c>
      <x:c r="Q317" s="27" t="str">
        <x:v>lighting</x:v>
      </x:c>
      <x:c r="R317" s="27" t="str"/>
      <x:c r="S317" s="31" t="b">
        <x:v>1</x:v>
      </x:c>
      <x:c r="T317" s="27" t="str">
        <x:v>ASM-2026-045</x:v>
      </x:c>
      <x:c r="U317" s="27" t="str">
        <x:v>HZ-2026-045-05</x:v>
      </x:c>
    </x:row>
    <x:row r="318">
      <x:c r="A318" s="28" t="str">
        <x:v>Quality Improvement</x:v>
      </x:c>
      <x:c r="B318" s="37" t="n">
        <x:v>46092</x:v>
      </x:c>
      <x:c r="C318" s="26" t="str">
        <x:v>RAH01-2026-045</x:v>
      </x:c>
      <x:c r="D318" s="36" t="n">
        <x:v>6</x:v>
      </x:c>
      <x:c r="E318" s="26" t="str">
        <x:v>Psychosocial Hazards</x:v>
      </x:c>
      <x:c r="F318" s="26" t="str">
        <x:v>Insufficient Rest</x:v>
      </x:c>
      <x:c r="G318" s="35" t="n">
        <x:v>13</x:v>
      </x:c>
      <x:c r="H318" s="35" t="n">
        <x:v>2</x:v>
      </x:c>
      <x:c r="I318" s="35" t="n">
        <x:v>2</x:v>
      </x:c>
      <x:c r="J318" s="35" t="n">
        <x:v>2</x:v>
      </x:c>
      <x:c r="K318" s="36" t="n">
        <x:f>IF(AND(S318=TRUE,ISNUMBER(I318),I318=INT(I318),I318&gt;=1,I318&lt;=3,ISNUMBER(J318),J318=INT(J318),J318&gt;=1,J318&lt;=3),I318*J318,"")</x:f>
        <x:v>4</x:v>
      </x:c>
      <x:c r="L318" s="26" t="str">
        <x:f>IF(K318="","",IF(K318&lt;=2,"LOW",IF(K318&lt;=4,"MEDIUM","HIGH")))</x:f>
        <x:v>MEDIUM</x:v>
      </x:c>
      <x:c r="M318" s="25" t="str">
        <x:v>Shift planning, escalation pathways, security support, breaks, and supervisor check-ins are available.</x:v>
      </x:c>
      <x:c r="N318" s="25" t="str">
        <x:v>Review staffing, breaks, escalation support, and violence-prevention controls with the department manager.</x:v>
      </x:c>
      <x:c r="O318" s="30" t="b">
        <x:v>0</x:v>
      </x:c>
      <x:c r="P318" s="27" t="str">
        <x:v>PSYCHOSOCIAL</x:v>
      </x:c>
      <x:c r="Q318" s="27" t="str">
        <x:v>insufficient_rest</x:v>
      </x:c>
      <x:c r="R318" s="27" t="str"/>
      <x:c r="S318" s="31" t="b">
        <x:v>1</x:v>
      </x:c>
      <x:c r="T318" s="27" t="str">
        <x:v>ASM-2026-045</x:v>
      </x:c>
      <x:c r="U318" s="27" t="str">
        <x:v>HZ-2026-045-06</x:v>
      </x:c>
    </x:row>
    <x:row r="319">
      <x:c r="A319" s="28" t="str">
        <x:v>Radiotherapy</x:v>
      </x:c>
      <x:c r="B319" s="37" t="n">
        <x:v>46126</x:v>
      </x:c>
      <x:c r="C319" s="26" t="str">
        <x:v>RAH01-2026-046</x:v>
      </x:c>
      <x:c r="D319" s="36" t="n">
        <x:v>1</x:v>
      </x:c>
      <x:c r="E319" s="26" t="str">
        <x:v>Ergonomic Hazards</x:v>
      </x:c>
      <x:c r="F319" s="26" t="str">
        <x:v>Prolonged Standing or Sitting</x:v>
      </x:c>
      <x:c r="G319" s="35" t="n">
        <x:v>17</x:v>
      </x:c>
      <x:c r="H319" s="35" t="n">
        <x:v>1</x:v>
      </x:c>
      <x:c r="I319" s="35" t="n">
        <x:v>1</x:v>
      </x:c>
      <x:c r="J319" s="35" t="n">
        <x:v>2</x:v>
      </x:c>
      <x:c r="K319" s="36" t="n">
        <x:f>IF(AND(S319=TRUE,ISNUMBER(I319),I319=INT(I319),I319&gt;=1,I319&lt;=3,ISNUMBER(J319),J319=INT(J319),J319&gt;=1,J319&lt;=3),I319*J319,"")</x:f>
        <x:v>2</x:v>
      </x:c>
      <x:c r="L319" s="26" t="str">
        <x:f>IF(K319="","",IF(K319&lt;=2,"LOW",IF(K319&lt;=4,"MEDIUM","HIGH")))</x:f>
        <x:v>LOW</x:v>
      </x:c>
      <x:c r="M319" s="25" t="str">
        <x:v>Task rotation, adjustable equipment, team lifting, and safe-patient-handling guidance are used.</x:v>
      </x:c>
      <x:c r="N319" s="25" t="str"/>
      <x:c r="O319" s="30" t="b">
        <x:v>0</x:v>
      </x:c>
      <x:c r="P319" s="27" t="str">
        <x:v>ERGONOMIC</x:v>
      </x:c>
      <x:c r="Q319" s="27" t="str">
        <x:v>prolonged_standing_sitting</x:v>
      </x:c>
      <x:c r="R319" s="27" t="str"/>
      <x:c r="S319" s="31" t="b">
        <x:v>1</x:v>
      </x:c>
      <x:c r="T319" s="27" t="str">
        <x:v>ASM-2026-046</x:v>
      </x:c>
      <x:c r="U319" s="27" t="str">
        <x:v>HZ-2026-046-01</x:v>
      </x:c>
    </x:row>
    <x:row r="320">
      <x:c r="A320" s="28" t="str">
        <x:v>Radiotherapy</x:v>
      </x:c>
      <x:c r="B320" s="37" t="n">
        <x:v>46126</x:v>
      </x:c>
      <x:c r="C320" s="26" t="str">
        <x:v>RAH01-2026-046</x:v>
      </x:c>
      <x:c r="D320" s="36" t="n">
        <x:v>2</x:v>
      </x:c>
      <x:c r="E320" s="26" t="str">
        <x:v>Ergonomic Hazards</x:v>
      </x:c>
      <x:c r="F320" s="26" t="str">
        <x:v>Unsuitable Desk or Chair</x:v>
      </x:c>
      <x:c r="G320" s="35" t="n">
        <x:v>20</x:v>
      </x:c>
      <x:c r="H320" s="35" t="n">
        <x:v>2</x:v>
      </x:c>
      <x:c r="I320" s="35" t="n">
        <x:v>1</x:v>
      </x:c>
      <x:c r="J320" s="35" t="n">
        <x:v>1</x:v>
      </x:c>
      <x:c r="K320" s="36" t="n">
        <x:f>IF(AND(S320=TRUE,ISNUMBER(I320),I320=INT(I320),I320&gt;=1,I320&lt;=3,ISNUMBER(J320),J320=INT(J320),J320&gt;=1,J320&lt;=3),I320*J320,"")</x:f>
        <x:v>1</x:v>
      </x:c>
      <x:c r="L320" s="26" t="str">
        <x:f>IF(K320="","",IF(K320&lt;=2,"LOW",IF(K320&lt;=4,"MEDIUM","HIGH")))</x:f>
        <x:v>LOW</x:v>
      </x:c>
      <x:c r="M320" s="25" t="str">
        <x:v>Task rotation, adjustable equipment, team lifting, and safe-patient-handling guidance are used.</x:v>
      </x:c>
      <x:c r="N320" s="25" t="str"/>
      <x:c r="O320" s="30" t="b">
        <x:v>0</x:v>
      </x:c>
      <x:c r="P320" s="27" t="str">
        <x:v>ERGONOMIC</x:v>
      </x:c>
      <x:c r="Q320" s="27" t="str">
        <x:v>unsuitable_desk_chair</x:v>
      </x:c>
      <x:c r="R320" s="27" t="str"/>
      <x:c r="S320" s="31" t="b">
        <x:v>1</x:v>
      </x:c>
      <x:c r="T320" s="27" t="str">
        <x:v>ASM-2026-046</x:v>
      </x:c>
      <x:c r="U320" s="27" t="str">
        <x:v>HZ-2026-046-02</x:v>
      </x:c>
    </x:row>
    <x:row r="321">
      <x:c r="A321" s="28" t="str">
        <x:v>Radiotherapy</x:v>
      </x:c>
      <x:c r="B321" s="37" t="n">
        <x:v>46126</x:v>
      </x:c>
      <x:c r="C321" s="26" t="str">
        <x:v>RAH01-2026-046</x:v>
      </x:c>
      <x:c r="D321" s="36" t="n">
        <x:v>3</x:v>
      </x:c>
      <x:c r="E321" s="26" t="str">
        <x:v>Ergonomic Hazards</x:v>
      </x:c>
      <x:c r="F321" s="26" t="str">
        <x:v>Repetitive Tasks</x:v>
      </x:c>
      <x:c r="G321" s="35" t="n">
        <x:v>23</x:v>
      </x:c>
      <x:c r="H321" s="35" t="n">
        <x:v>0</x:v>
      </x:c>
      <x:c r="I321" s="35" t="n">
        <x:v>2</x:v>
      </x:c>
      <x:c r="J321" s="35" t="n">
        <x:v>1</x:v>
      </x:c>
      <x:c r="K321" s="36" t="n">
        <x:f>IF(AND(S321=TRUE,ISNUMBER(I321),I321=INT(I321),I321&gt;=1,I321&lt;=3,ISNUMBER(J321),J321=INT(J321),J321&gt;=1,J321&lt;=3),I321*J321,"")</x:f>
        <x:v>2</x:v>
      </x:c>
      <x:c r="L321" s="26" t="str">
        <x:f>IF(K321="","",IF(K321&lt;=2,"LOW",IF(K321&lt;=4,"MEDIUM","HIGH")))</x:f>
        <x:v>LOW</x:v>
      </x:c>
      <x:c r="M321" s="25" t="str">
        <x:v>Task rotation, adjustable equipment, team lifting, and safe-patient-handling guidance are used.</x:v>
      </x:c>
      <x:c r="N321" s="25" t="str"/>
      <x:c r="O321" s="30" t="b">
        <x:v>0</x:v>
      </x:c>
      <x:c r="P321" s="27" t="str">
        <x:v>ERGONOMIC</x:v>
      </x:c>
      <x:c r="Q321" s="27" t="str">
        <x:v>repetitive_tasks</x:v>
      </x:c>
      <x:c r="R321" s="27" t="str"/>
      <x:c r="S321" s="31" t="b">
        <x:v>1</x:v>
      </x:c>
      <x:c r="T321" s="27" t="str">
        <x:v>ASM-2026-046</x:v>
      </x:c>
      <x:c r="U321" s="27" t="str">
        <x:v>HZ-2026-046-03</x:v>
      </x:c>
    </x:row>
    <x:row r="322">
      <x:c r="A322" s="28" t="str">
        <x:v>Radiotherapy</x:v>
      </x:c>
      <x:c r="B322" s="37" t="n">
        <x:v>46126</x:v>
      </x:c>
      <x:c r="C322" s="26" t="str">
        <x:v>RAH01-2026-046</x:v>
      </x:c>
      <x:c r="D322" s="36" t="n">
        <x:v>4</x:v>
      </x:c>
      <x:c r="E322" s="26" t="str">
        <x:v>Psychosocial Hazards</x:v>
      </x:c>
      <x:c r="F322" s="26" t="str">
        <x:v>Work Stress</x:v>
      </x:c>
      <x:c r="G322" s="35" t="n">
        <x:v>26</x:v>
      </x:c>
      <x:c r="H322" s="35" t="n">
        <x:v>1</x:v>
      </x:c>
      <x:c r="I322" s="35" t="n">
        <x:v>1</x:v>
      </x:c>
      <x:c r="J322" s="35" t="n">
        <x:v>2</x:v>
      </x:c>
      <x:c r="K322" s="36" t="n">
        <x:f>IF(AND(S322=TRUE,ISNUMBER(I322),I322=INT(I322),I322&gt;=1,I322&lt;=3,ISNUMBER(J322),J322=INT(J322),J322&gt;=1,J322&lt;=3),I322*J322,"")</x:f>
        <x:v>2</x:v>
      </x:c>
      <x:c r="L322" s="26" t="str">
        <x:f>IF(K322="","",IF(K322&lt;=2,"LOW",IF(K322&lt;=4,"MEDIUM","HIGH")))</x:f>
        <x:v>LOW</x:v>
      </x:c>
      <x:c r="M322" s="25" t="str">
        <x:v>Shift planning, escalation pathways, security support, breaks, and supervisor check-ins are available.</x:v>
      </x:c>
      <x:c r="N322" s="25" t="str"/>
      <x:c r="O322" s="30" t="b">
        <x:v>0</x:v>
      </x:c>
      <x:c r="P322" s="27" t="str">
        <x:v>PSYCHOSOCIAL</x:v>
      </x:c>
      <x:c r="Q322" s="27" t="str">
        <x:v>work_stress</x:v>
      </x:c>
      <x:c r="R322" s="27" t="str"/>
      <x:c r="S322" s="31" t="b">
        <x:v>1</x:v>
      </x:c>
      <x:c r="T322" s="27" t="str">
        <x:v>ASM-2026-046</x:v>
      </x:c>
      <x:c r="U322" s="27" t="str">
        <x:v>HZ-2026-046-04</x:v>
      </x:c>
    </x:row>
    <x:row r="323">
      <x:c r="A323" s="28" t="str">
        <x:v>Radiotherapy</x:v>
      </x:c>
      <x:c r="B323" s="37" t="n">
        <x:v>46126</x:v>
      </x:c>
      <x:c r="C323" s="26" t="str">
        <x:v>RAH01-2026-046</x:v>
      </x:c>
      <x:c r="D323" s="36" t="n">
        <x:v>5</x:v>
      </x:c>
      <x:c r="E323" s="26" t="str">
        <x:v>Physical Hazards</x:v>
      </x:c>
      <x:c r="F323" s="26" t="str">
        <x:v>Lighting</x:v>
      </x:c>
      <x:c r="G323" s="35" t="n">
        <x:v>29</x:v>
      </x:c>
      <x:c r="H323" s="35" t="n">
        <x:v>2</x:v>
      </x:c>
      <x:c r="I323" s="35" t="n">
        <x:v>1</x:v>
      </x:c>
      <x:c r="J323" s="35" t="n">
        <x:v>1</x:v>
      </x:c>
      <x:c r="K323" s="36" t="n">
        <x:f>IF(AND(S323=TRUE,ISNUMBER(I323),I323=INT(I323),I323&gt;=1,I323&lt;=3,ISNUMBER(J323),J323=INT(J323),J323&gt;=1,J323&lt;=3),I323*J323,"")</x:f>
        <x:v>1</x:v>
      </x:c>
      <x:c r="L323" s="26" t="str">
        <x:f>IF(K323="","",IF(K323&lt;=2,"LOW",IF(K323&lt;=4,"MEDIUM","HIGH")))</x:f>
        <x:v>LOW</x:v>
      </x:c>
      <x:c r="M323" s="25" t="str">
        <x:v>Engineering controls, preventive maintenance, posted limits, and periodic exposure monitoring are in place.</x:v>
      </x:c>
      <x:c r="N323" s="25" t="str"/>
      <x:c r="O323" s="30" t="b">
        <x:v>0</x:v>
      </x:c>
      <x:c r="P323" s="27" t="str">
        <x:v>PHYSICAL</x:v>
      </x:c>
      <x:c r="Q323" s="27" t="str">
        <x:v>lighting</x:v>
      </x:c>
      <x:c r="R323" s="27" t="str"/>
      <x:c r="S323" s="31" t="b">
        <x:v>1</x:v>
      </x:c>
      <x:c r="T323" s="27" t="str">
        <x:v>ASM-2026-046</x:v>
      </x:c>
      <x:c r="U323" s="27" t="str">
        <x:v>HZ-2026-046-05</x:v>
      </x:c>
    </x:row>
    <x:row r="324">
      <x:c r="A324" s="28" t="str">
        <x:v>Radiotherapy</x:v>
      </x:c>
      <x:c r="B324" s="37" t="n">
        <x:v>46126</x:v>
      </x:c>
      <x:c r="C324" s="26" t="str">
        <x:v>RAH01-2026-046</x:v>
      </x:c>
      <x:c r="D324" s="36" t="n">
        <x:v>6</x:v>
      </x:c>
      <x:c r="E324" s="26" t="str">
        <x:v>Indoor Air Quality Hazards</x:v>
      </x:c>
      <x:c r="F324" s="26" t="str">
        <x:v>Dust</x:v>
      </x:c>
      <x:c r="G324" s="35" t="n">
        <x:v>32</x:v>
      </x:c>
      <x:c r="H324" s="35" t="n">
        <x:v>0</x:v>
      </x:c>
      <x:c r="I324" s="35" t="n">
        <x:v>2</x:v>
      </x:c>
      <x:c r="J324" s="35" t="n">
        <x:v>1</x:v>
      </x:c>
      <x:c r="K324" s="36" t="n">
        <x:f>IF(AND(S324=TRUE,ISNUMBER(I324),I324=INT(I324),I324&gt;=1,I324&lt;=3,ISNUMBER(J324),J324=INT(J324),J324&gt;=1,J324&lt;=3),I324*J324,"")</x:f>
        <x:v>2</x:v>
      </x:c>
      <x:c r="L324" s="26" t="str">
        <x:f>IF(K324="","",IF(K324&lt;=2,"LOW",IF(K324&lt;=4,"MEDIUM","HIGH")))</x:f>
        <x:v>LOW</x:v>
      </x:c>
      <x:c r="M324" s="25" t="str">
        <x:v>Ventilation, cleaning, occupancy management, and environmental inspection are performed.</x:v>
      </x:c>
      <x:c r="N324" s="25" t="str"/>
      <x:c r="O324" s="30" t="b">
        <x:v>0</x:v>
      </x:c>
      <x:c r="P324" s="27" t="str">
        <x:v>INDOOR_AIR_QUALITY</x:v>
      </x:c>
      <x:c r="Q324" s="27" t="str">
        <x:v>dust</x:v>
      </x:c>
      <x:c r="R324" s="27" t="str"/>
      <x:c r="S324" s="31" t="b">
        <x:v>1</x:v>
      </x:c>
      <x:c r="T324" s="27" t="str">
        <x:v>ASM-2026-046</x:v>
      </x:c>
      <x:c r="U324" s="27" t="str">
        <x:v>HZ-2026-046-06</x:v>
      </x:c>
    </x:row>
    <x:row r="325">
      <x:c r="A325" s="28" t="str">
        <x:v>Rehabilitation</x:v>
      </x:c>
      <x:c r="B325" s="37" t="n">
        <x:v>46159</x:v>
      </x:c>
      <x:c r="C325" s="26" t="str">
        <x:v>RAH01-2026-047</x:v>
      </x:c>
      <x:c r="D325" s="36" t="n">
        <x:v>1</x:v>
      </x:c>
      <x:c r="E325" s="26" t="str">
        <x:v>Ergonomic Hazards</x:v>
      </x:c>
      <x:c r="F325" s="26" t="str">
        <x:v>Prolonged Standing or Sitting</x:v>
      </x:c>
      <x:c r="G325" s="35" t="n">
        <x:v>5</x:v>
      </x:c>
      <x:c r="H325" s="35" t="n">
        <x:v>2</x:v>
      </x:c>
      <x:c r="I325" s="35" t="n">
        <x:v>2</x:v>
      </x:c>
      <x:c r="J325" s="35" t="n">
        <x:v>1</x:v>
      </x:c>
      <x:c r="K325" s="36" t="n">
        <x:f>IF(AND(S325=TRUE,ISNUMBER(I325),I325=INT(I325),I325&gt;=1,I325&lt;=3,ISNUMBER(J325),J325=INT(J325),J325&gt;=1,J325&lt;=3),I325*J325,"")</x:f>
        <x:v>2</x:v>
      </x:c>
      <x:c r="L325" s="26" t="str">
        <x:f>IF(K325="","",IF(K325&lt;=2,"LOW",IF(K325&lt;=4,"MEDIUM","HIGH")))</x:f>
        <x:v>LOW</x:v>
      </x:c>
      <x:c r="M325" s="25" t="str">
        <x:v>Task rotation, adjustable equipment, team lifting, and safe-patient-handling guidance are used.</x:v>
      </x:c>
      <x:c r="N325" s="25" t="str"/>
      <x:c r="O325" s="30" t="b">
        <x:v>0</x:v>
      </x:c>
      <x:c r="P325" s="27" t="str">
        <x:v>ERGONOMIC</x:v>
      </x:c>
      <x:c r="Q325" s="27" t="str">
        <x:v>prolonged_standing_sitting</x:v>
      </x:c>
      <x:c r="R325" s="27" t="str"/>
      <x:c r="S325" s="31" t="b">
        <x:v>1</x:v>
      </x:c>
      <x:c r="T325" s="27" t="str">
        <x:v>ASM-2026-047</x:v>
      </x:c>
      <x:c r="U325" s="27" t="str">
        <x:v>HZ-2026-047-01</x:v>
      </x:c>
    </x:row>
    <x:row r="326">
      <x:c r="A326" s="28" t="str">
        <x:v>Rehabilitation</x:v>
      </x:c>
      <x:c r="B326" s="37" t="n">
        <x:v>46159</x:v>
      </x:c>
      <x:c r="C326" s="26" t="str">
        <x:v>RAH01-2026-047</x:v>
      </x:c>
      <x:c r="D326" s="36" t="n">
        <x:v>2</x:v>
      </x:c>
      <x:c r="E326" s="26" t="str">
        <x:v>Ergonomic Hazards</x:v>
      </x:c>
      <x:c r="F326" s="26" t="str">
        <x:v>Unsuitable Desk or Chair</x:v>
      </x:c>
      <x:c r="G326" s="35" t="n">
        <x:v>8</x:v>
      </x:c>
      <x:c r="H326" s="35" t="n">
        <x:v>0</x:v>
      </x:c>
      <x:c r="I326" s="35" t="n">
        <x:v>1</x:v>
      </x:c>
      <x:c r="J326" s="35" t="n">
        <x:v>2</x:v>
      </x:c>
      <x:c r="K326" s="36" t="n">
        <x:f>IF(AND(S326=TRUE,ISNUMBER(I326),I326=INT(I326),I326&gt;=1,I326&lt;=3,ISNUMBER(J326),J326=INT(J326),J326&gt;=1,J326&lt;=3),I326*J326,"")</x:f>
        <x:v>2</x:v>
      </x:c>
      <x:c r="L326" s="26" t="str">
        <x:f>IF(K326="","",IF(K326&lt;=2,"LOW",IF(K326&lt;=4,"MEDIUM","HIGH")))</x:f>
        <x:v>LOW</x:v>
      </x:c>
      <x:c r="M326" s="25" t="str">
        <x:v>Task rotation, adjustable equipment, team lifting, and safe-patient-handling guidance are used.</x:v>
      </x:c>
      <x:c r="N326" s="25" t="str"/>
      <x:c r="O326" s="30" t="b">
        <x:v>0</x:v>
      </x:c>
      <x:c r="P326" s="27" t="str">
        <x:v>ERGONOMIC</x:v>
      </x:c>
      <x:c r="Q326" s="27" t="str">
        <x:v>unsuitable_desk_chair</x:v>
      </x:c>
      <x:c r="R326" s="27" t="str"/>
      <x:c r="S326" s="31" t="b">
        <x:v>1</x:v>
      </x:c>
      <x:c r="T326" s="27" t="str">
        <x:v>ASM-2026-047</x:v>
      </x:c>
      <x:c r="U326" s="27" t="str">
        <x:v>HZ-2026-047-02</x:v>
      </x:c>
    </x:row>
    <x:row r="327">
      <x:c r="A327" s="28" t="str">
        <x:v>Rehabilitation</x:v>
      </x:c>
      <x:c r="B327" s="37" t="n">
        <x:v>46159</x:v>
      </x:c>
      <x:c r="C327" s="26" t="str">
        <x:v>RAH01-2026-047</x:v>
      </x:c>
      <x:c r="D327" s="36" t="n">
        <x:v>3</x:v>
      </x:c>
      <x:c r="E327" s="26" t="str">
        <x:v>Ergonomic Hazards</x:v>
      </x:c>
      <x:c r="F327" s="26" t="str">
        <x:v>Repetitive Tasks</x:v>
      </x:c>
      <x:c r="G327" s="35" t="n">
        <x:v>11</x:v>
      </x:c>
      <x:c r="H327" s="35" t="n">
        <x:v>1</x:v>
      </x:c>
      <x:c r="I327" s="35" t="n">
        <x:v>1</x:v>
      </x:c>
      <x:c r="J327" s="35" t="n">
        <x:v>1</x:v>
      </x:c>
      <x:c r="K327" s="36" t="n">
        <x:f>IF(AND(S327=TRUE,ISNUMBER(I327),I327=INT(I327),I327&gt;=1,I327&lt;=3,ISNUMBER(J327),J327=INT(J327),J327&gt;=1,J327&lt;=3),I327*J327,"")</x:f>
        <x:v>1</x:v>
      </x:c>
      <x:c r="L327" s="26" t="str">
        <x:f>IF(K327="","",IF(K327&lt;=2,"LOW",IF(K327&lt;=4,"MEDIUM","HIGH")))</x:f>
        <x:v>LOW</x:v>
      </x:c>
      <x:c r="M327" s="25" t="str">
        <x:v>Task rotation, adjustable equipment, team lifting, and safe-patient-handling guidance are used.</x:v>
      </x:c>
      <x:c r="N327" s="25" t="str"/>
      <x:c r="O327" s="30" t="b">
        <x:v>0</x:v>
      </x:c>
      <x:c r="P327" s="27" t="str">
        <x:v>ERGONOMIC</x:v>
      </x:c>
      <x:c r="Q327" s="27" t="str">
        <x:v>repetitive_tasks</x:v>
      </x:c>
      <x:c r="R327" s="27" t="str"/>
      <x:c r="S327" s="31" t="b">
        <x:v>1</x:v>
      </x:c>
      <x:c r="T327" s="27" t="str">
        <x:v>ASM-2026-047</x:v>
      </x:c>
      <x:c r="U327" s="27" t="str">
        <x:v>HZ-2026-047-03</x:v>
      </x:c>
    </x:row>
    <x:row r="328">
      <x:c r="A328" s="28" t="str">
        <x:v>Rehabilitation</x:v>
      </x:c>
      <x:c r="B328" s="37" t="n">
        <x:v>46159</x:v>
      </x:c>
      <x:c r="C328" s="26" t="str">
        <x:v>RAH01-2026-047</x:v>
      </x:c>
      <x:c r="D328" s="36" t="n">
        <x:v>4</x:v>
      </x:c>
      <x:c r="E328" s="26" t="str">
        <x:v>Psychosocial Hazards</x:v>
      </x:c>
      <x:c r="F328" s="26" t="str">
        <x:v>Work Stress</x:v>
      </x:c>
      <x:c r="G328" s="35" t="n">
        <x:v>14</x:v>
      </x:c>
      <x:c r="H328" s="35" t="n">
        <x:v>2</x:v>
      </x:c>
      <x:c r="I328" s="35" t="n">
        <x:v>2</x:v>
      </x:c>
      <x:c r="J328" s="35" t="n">
        <x:v>1</x:v>
      </x:c>
      <x:c r="K328" s="36" t="n">
        <x:f>IF(AND(S328=TRUE,ISNUMBER(I328),I328=INT(I328),I328&gt;=1,I328&lt;=3,ISNUMBER(J328),J328=INT(J328),J328&gt;=1,J328&lt;=3),I328*J328,"")</x:f>
        <x:v>2</x:v>
      </x:c>
      <x:c r="L328" s="26" t="str">
        <x:f>IF(K328="","",IF(K328&lt;=2,"LOW",IF(K328&lt;=4,"MEDIUM","HIGH")))</x:f>
        <x:v>LOW</x:v>
      </x:c>
      <x:c r="M328" s="25" t="str">
        <x:v>Shift planning, escalation pathways, security support, breaks, and supervisor check-ins are available.</x:v>
      </x:c>
      <x:c r="N328" s="25" t="str"/>
      <x:c r="O328" s="30" t="b">
        <x:v>0</x:v>
      </x:c>
      <x:c r="P328" s="27" t="str">
        <x:v>PSYCHOSOCIAL</x:v>
      </x:c>
      <x:c r="Q328" s="27" t="str">
        <x:v>work_stress</x:v>
      </x:c>
      <x:c r="R328" s="27" t="str"/>
      <x:c r="S328" s="31" t="b">
        <x:v>1</x:v>
      </x:c>
      <x:c r="T328" s="27" t="str">
        <x:v>ASM-2026-047</x:v>
      </x:c>
      <x:c r="U328" s="27" t="str">
        <x:v>HZ-2026-047-04</x:v>
      </x:c>
    </x:row>
    <x:row r="329">
      <x:c r="A329" s="28" t="str">
        <x:v>Rehabilitation</x:v>
      </x:c>
      <x:c r="B329" s="37" t="n">
        <x:v>46159</x:v>
      </x:c>
      <x:c r="C329" s="26" t="str">
        <x:v>RAH01-2026-047</x:v>
      </x:c>
      <x:c r="D329" s="36" t="n">
        <x:v>5</x:v>
      </x:c>
      <x:c r="E329" s="26" t="str">
        <x:v>Physical Hazards</x:v>
      </x:c>
      <x:c r="F329" s="26" t="str">
        <x:v>Lighting</x:v>
      </x:c>
      <x:c r="G329" s="35" t="n">
        <x:v>17</x:v>
      </x:c>
      <x:c r="H329" s="35" t="n">
        <x:v>0</x:v>
      </x:c>
      <x:c r="I329" s="35" t="n">
        <x:v>1</x:v>
      </x:c>
      <x:c r="J329" s="35" t="n">
        <x:v>2</x:v>
      </x:c>
      <x:c r="K329" s="36" t="n">
        <x:f>IF(AND(S329=TRUE,ISNUMBER(I329),I329=INT(I329),I329&gt;=1,I329&lt;=3,ISNUMBER(J329),J329=INT(J329),J329&gt;=1,J329&lt;=3),I329*J329,"")</x:f>
        <x:v>2</x:v>
      </x:c>
      <x:c r="L329" s="26" t="str">
        <x:f>IF(K329="","",IF(K329&lt;=2,"LOW",IF(K329&lt;=4,"MEDIUM","HIGH")))</x:f>
        <x:v>LOW</x:v>
      </x:c>
      <x:c r="M329" s="25" t="str">
        <x:v>Engineering controls, preventive maintenance, posted limits, and periodic exposure monitoring are in place.</x:v>
      </x:c>
      <x:c r="N329" s="25" t="str"/>
      <x:c r="O329" s="30" t="b">
        <x:v>0</x:v>
      </x:c>
      <x:c r="P329" s="27" t="str">
        <x:v>PHYSICAL</x:v>
      </x:c>
      <x:c r="Q329" s="27" t="str">
        <x:v>lighting</x:v>
      </x:c>
      <x:c r="R329" s="27" t="str"/>
      <x:c r="S329" s="31" t="b">
        <x:v>1</x:v>
      </x:c>
      <x:c r="T329" s="27" t="str">
        <x:v>ASM-2026-047</x:v>
      </x:c>
      <x:c r="U329" s="27" t="str">
        <x:v>HZ-2026-047-05</x:v>
      </x:c>
    </x:row>
    <x:row r="330">
      <x:c r="A330" s="28" t="str">
        <x:v>Rehabilitation</x:v>
      </x:c>
      <x:c r="B330" s="37" t="n">
        <x:v>46159</x:v>
      </x:c>
      <x:c r="C330" s="26" t="str">
        <x:v>RAH01-2026-047</x:v>
      </x:c>
      <x:c r="D330" s="36" t="n">
        <x:v>6</x:v>
      </x:c>
      <x:c r="E330" s="26" t="str">
        <x:v>Fire and Disaster Hazards</x:v>
      </x:c>
      <x:c r="F330" s="26" t="str">
        <x:v>Electrical Equipment</x:v>
      </x:c>
      <x:c r="G330" s="35" t="n">
        <x:v>20</x:v>
      </x:c>
      <x:c r="H330" s="35" t="n">
        <x:v>1</x:v>
      </x:c>
      <x:c r="I330" s="35" t="n">
        <x:v>1</x:v>
      </x:c>
      <x:c r="J330" s="35" t="n">
        <x:v>1</x:v>
      </x:c>
      <x:c r="K330" s="36" t="n">
        <x:f>IF(AND(S330=TRUE,ISNUMBER(I330),I330=INT(I330),I330&gt;=1,I330&lt;=3,ISNUMBER(J330),J330=INT(J330),J330&gt;=1,J330&lt;=3),I330*J330,"")</x:f>
        <x:v>1</x:v>
      </x:c>
      <x:c r="L330" s="26" t="str">
        <x:f>IF(K330="","",IF(K330&lt;=2,"LOW",IF(K330&lt;=4,"MEDIUM","HIGH")))</x:f>
        <x:v>LOW</x:v>
      </x:c>
      <x:c r="M330" s="25" t="str">
        <x:v>Electrical inspection, isolation procedures, alarms, extinguishers, and emergency response plans are maintained.</x:v>
      </x:c>
      <x:c r="N330" s="25" t="str"/>
      <x:c r="O330" s="30" t="b">
        <x:v>0</x:v>
      </x:c>
      <x:c r="P330" s="27" t="str">
        <x:v>FIRE_DISASTER</x:v>
      </x:c>
      <x:c r="Q330" s="27" t="str">
        <x:v>electrical_equipment</x:v>
      </x:c>
      <x:c r="R330" s="27" t="str"/>
      <x:c r="S330" s="31" t="b">
        <x:v>1</x:v>
      </x:c>
      <x:c r="T330" s="27" t="str">
        <x:v>ASM-2026-047</x:v>
      </x:c>
      <x:c r="U330" s="27" t="str">
        <x:v>HZ-2026-047-06</x:v>
      </x:c>
    </x:row>
    <x:row r="331">
      <x:c r="A331" s="28" t="str">
        <x:v>Renal Unit</x:v>
      </x:c>
      <x:c r="B331" s="37" t="n">
        <x:v>46193</x:v>
      </x:c>
      <x:c r="C331" s="26" t="str">
        <x:v>RAH01-2026-048</x:v>
      </x:c>
      <x:c r="D331" s="36" t="n">
        <x:v>1</x:v>
      </x:c>
      <x:c r="E331" s="26" t="str">
        <x:v>Ergonomic Hazards</x:v>
      </x:c>
      <x:c r="F331" s="26" t="str">
        <x:v>Prolonged Standing or Sitting</x:v>
      </x:c>
      <x:c r="G331" s="35" t="n">
        <x:v>45</x:v>
      </x:c>
      <x:c r="H331" s="35" t="n">
        <x:v>0</x:v>
      </x:c>
      <x:c r="I331" s="35" t="n">
        <x:v>1</x:v>
      </x:c>
      <x:c r="J331" s="35" t="n">
        <x:v>3</x:v>
      </x:c>
      <x:c r="K331" s="36" t="n">
        <x:f>IF(AND(S331=TRUE,ISNUMBER(I331),I331=INT(I331),I331&gt;=1,I331&lt;=3,ISNUMBER(J331),J331=INT(J331),J331&gt;=1,J331&lt;=3),I331*J331,"")</x:f>
        <x:v>3</x:v>
      </x:c>
      <x:c r="L331" s="26" t="str">
        <x:f>IF(K331="","",IF(K331&lt;=2,"LOW",IF(K331&lt;=4,"MEDIUM","HIGH")))</x:f>
        <x:v>MEDIUM</x:v>
      </x:c>
      <x:c r="M331" s="25" t="str">
        <x:v>Task rotation, adjustable equipment, team lifting, and safe-patient-handling guidance are used.</x:v>
      </x:c>
      <x:c r="N331" s="25" t="str">
        <x:v>Complete an ergonomic task assessment and implement equipment or workflow changes to reduce force and repetition.</x:v>
      </x:c>
      <x:c r="O331" s="30" t="b">
        <x:v>0</x:v>
      </x:c>
      <x:c r="P331" s="27" t="str">
        <x:v>ERGONOMIC</x:v>
      </x:c>
      <x:c r="Q331" s="27" t="str">
        <x:v>prolonged_standing_sitting</x:v>
      </x:c>
      <x:c r="R331" s="27" t="str"/>
      <x:c r="S331" s="31" t="b">
        <x:v>1</x:v>
      </x:c>
      <x:c r="T331" s="27" t="str">
        <x:v>ASM-2026-048</x:v>
      </x:c>
      <x:c r="U331" s="27" t="str">
        <x:v>HZ-2026-048-01</x:v>
      </x:c>
    </x:row>
    <x:row r="332">
      <x:c r="A332" s="28" t="str">
        <x:v>Renal Unit</x:v>
      </x:c>
      <x:c r="B332" s="37" t="n">
        <x:v>46193</x:v>
      </x:c>
      <x:c r="C332" s="26" t="str">
        <x:v>RAH01-2026-048</x:v>
      </x:c>
      <x:c r="D332" s="36" t="n">
        <x:v>2</x:v>
      </x:c>
      <x:c r="E332" s="26" t="str">
        <x:v>Ergonomic Hazards</x:v>
      </x:c>
      <x:c r="F332" s="26" t="str">
        <x:v>Unsuitable Desk or Chair</x:v>
      </x:c>
      <x:c r="G332" s="35" t="n">
        <x:v>48</x:v>
      </x:c>
      <x:c r="H332" s="35" t="n">
        <x:v>1</x:v>
      </x:c>
      <x:c r="I332" s="35" t="n">
        <x:v>3</x:v>
      </x:c>
      <x:c r="J332" s="35" t="n">
        <x:v>1</x:v>
      </x:c>
      <x:c r="K332" s="36" t="n">
        <x:f>IF(AND(S332=TRUE,ISNUMBER(I332),I332=INT(I332),I332&gt;=1,I332&lt;=3,ISNUMBER(J332),J332=INT(J332),J332&gt;=1,J332&lt;=3),I332*J332,"")</x:f>
        <x:v>3</x:v>
      </x:c>
      <x:c r="L332" s="26" t="str">
        <x:f>IF(K332="","",IF(K332&lt;=2,"LOW",IF(K332&lt;=4,"MEDIUM","HIGH")))</x:f>
        <x:v>MEDIUM</x:v>
      </x:c>
      <x:c r="M332" s="25" t="str">
        <x:v>Task rotation, adjustable equipment, team lifting, and safe-patient-handling guidance are used.</x:v>
      </x:c>
      <x:c r="N332" s="25" t="str">
        <x:v>Complete an ergonomic task assessment and implement equipment or workflow changes to reduce force and repetition.</x:v>
      </x:c>
      <x:c r="O332" s="30" t="b">
        <x:v>0</x:v>
      </x:c>
      <x:c r="P332" s="27" t="str">
        <x:v>ERGONOMIC</x:v>
      </x:c>
      <x:c r="Q332" s="27" t="str">
        <x:v>unsuitable_desk_chair</x:v>
      </x:c>
      <x:c r="R332" s="27" t="str"/>
      <x:c r="S332" s="31" t="b">
        <x:v>1</x:v>
      </x:c>
      <x:c r="T332" s="27" t="str">
        <x:v>ASM-2026-048</x:v>
      </x:c>
      <x:c r="U332" s="27" t="str">
        <x:v>HZ-2026-048-02</x:v>
      </x:c>
    </x:row>
    <x:row r="333">
      <x:c r="A333" s="28" t="str">
        <x:v>Renal Unit</x:v>
      </x:c>
      <x:c r="B333" s="37" t="n">
        <x:v>46193</x:v>
      </x:c>
      <x:c r="C333" s="26" t="str">
        <x:v>RAH01-2026-048</x:v>
      </x:c>
      <x:c r="D333" s="36" t="n">
        <x:v>3</x:v>
      </x:c>
      <x:c r="E333" s="26" t="str">
        <x:v>Ergonomic Hazards</x:v>
      </x:c>
      <x:c r="F333" s="26" t="str">
        <x:v>Repetitive Tasks</x:v>
      </x:c>
      <x:c r="G333" s="35" t="n">
        <x:v>51</x:v>
      </x:c>
      <x:c r="H333" s="35" t="n">
        <x:v>2</x:v>
      </x:c>
      <x:c r="I333" s="35" t="n">
        <x:v>2</x:v>
      </x:c>
      <x:c r="J333" s="35" t="n">
        <x:v>2</x:v>
      </x:c>
      <x:c r="K333" s="36" t="n">
        <x:f>IF(AND(S333=TRUE,ISNUMBER(I333),I333=INT(I333),I333&gt;=1,I333&lt;=3,ISNUMBER(J333),J333=INT(J333),J333&gt;=1,J333&lt;=3),I333*J333,"")</x:f>
        <x:v>4</x:v>
      </x:c>
      <x:c r="L333" s="26" t="str">
        <x:f>IF(K333="","",IF(K333&lt;=2,"LOW",IF(K333&lt;=4,"MEDIUM","HIGH")))</x:f>
        <x:v>MEDIUM</x:v>
      </x:c>
      <x:c r="M333" s="25" t="str">
        <x:v>Task rotation, adjustable equipment, team lifting, and safe-patient-handling guidance are used.</x:v>
      </x:c>
      <x:c r="N333" s="25" t="str">
        <x:v>Complete an ergonomic task assessment and implement equipment or workflow changes to reduce force and repetition.</x:v>
      </x:c>
      <x:c r="O333" s="30" t="b">
        <x:v>0</x:v>
      </x:c>
      <x:c r="P333" s="27" t="str">
        <x:v>ERGONOMIC</x:v>
      </x:c>
      <x:c r="Q333" s="27" t="str">
        <x:v>repetitive_tasks</x:v>
      </x:c>
      <x:c r="R333" s="27" t="str"/>
      <x:c r="S333" s="31" t="b">
        <x:v>1</x:v>
      </x:c>
      <x:c r="T333" s="27" t="str">
        <x:v>ASM-2026-048</x:v>
      </x:c>
      <x:c r="U333" s="27" t="str">
        <x:v>HZ-2026-048-03</x:v>
      </x:c>
    </x:row>
    <x:row r="334">
      <x:c r="A334" s="28" t="str">
        <x:v>Renal Unit</x:v>
      </x:c>
      <x:c r="B334" s="37" t="n">
        <x:v>46193</x:v>
      </x:c>
      <x:c r="C334" s="26" t="str">
        <x:v>RAH01-2026-048</x:v>
      </x:c>
      <x:c r="D334" s="36" t="n">
        <x:v>4</x:v>
      </x:c>
      <x:c r="E334" s="26" t="str">
        <x:v>Psychosocial Hazards</x:v>
      </x:c>
      <x:c r="F334" s="26" t="str">
        <x:v>Work Stress</x:v>
      </x:c>
      <x:c r="G334" s="35" t="n">
        <x:v>2</x:v>
      </x:c>
      <x:c r="H334" s="35" t="n">
        <x:v>0</x:v>
      </x:c>
      <x:c r="I334" s="35" t="n">
        <x:v>1</x:v>
      </x:c>
      <x:c r="J334" s="35" t="n">
        <x:v>3</x:v>
      </x:c>
      <x:c r="K334" s="36" t="n">
        <x:f>IF(AND(S334=TRUE,ISNUMBER(I334),I334=INT(I334),I334&gt;=1,I334&lt;=3,ISNUMBER(J334),J334=INT(J334),J334&gt;=1,J334&lt;=3),I334*J334,"")</x:f>
        <x:v>3</x:v>
      </x:c>
      <x:c r="L334" s="26" t="str">
        <x:f>IF(K334="","",IF(K334&lt;=2,"LOW",IF(K334&lt;=4,"MEDIUM","HIGH")))</x:f>
        <x:v>MEDIUM</x:v>
      </x:c>
      <x:c r="M334" s="25" t="str">
        <x:v>Shift planning, escalation pathways, security support, breaks, and supervisor check-ins are available.</x:v>
      </x:c>
      <x:c r="N334" s="25" t="str">
        <x:v>Review staffing, breaks, escalation support, and violence-prevention controls with the department manager.</x:v>
      </x:c>
      <x:c r="O334" s="30" t="b">
        <x:v>0</x:v>
      </x:c>
      <x:c r="P334" s="27" t="str">
        <x:v>PSYCHOSOCIAL</x:v>
      </x:c>
      <x:c r="Q334" s="27" t="str">
        <x:v>work_stress</x:v>
      </x:c>
      <x:c r="R334" s="27" t="str"/>
      <x:c r="S334" s="31" t="b">
        <x:v>1</x:v>
      </x:c>
      <x:c r="T334" s="27" t="str">
        <x:v>ASM-2026-048</x:v>
      </x:c>
      <x:c r="U334" s="27" t="str">
        <x:v>HZ-2026-048-04</x:v>
      </x:c>
    </x:row>
    <x:row r="335">
      <x:c r="A335" s="28" t="str">
        <x:v>Renal Unit</x:v>
      </x:c>
      <x:c r="B335" s="37" t="n">
        <x:v>46193</x:v>
      </x:c>
      <x:c r="C335" s="26" t="str">
        <x:v>RAH01-2026-048</x:v>
      </x:c>
      <x:c r="D335" s="36" t="n">
        <x:v>5</x:v>
      </x:c>
      <x:c r="E335" s="26" t="str">
        <x:v>Physical Hazards</x:v>
      </x:c>
      <x:c r="F335" s="26" t="str">
        <x:v>Lighting</x:v>
      </x:c>
      <x:c r="G335" s="35" t="n">
        <x:v>5</x:v>
      </x:c>
      <x:c r="H335" s="35" t="n">
        <x:v>1</x:v>
      </x:c>
      <x:c r="I335" s="35" t="n">
        <x:v>3</x:v>
      </x:c>
      <x:c r="J335" s="35" t="n">
        <x:v>1</x:v>
      </x:c>
      <x:c r="K335" s="36" t="n">
        <x:f>IF(AND(S335=TRUE,ISNUMBER(I335),I335=INT(I335),I335&gt;=1,I335&lt;=3,ISNUMBER(J335),J335=INT(J335),J335&gt;=1,J335&lt;=3),I335*J335,"")</x:f>
        <x:v>3</x:v>
      </x:c>
      <x:c r="L335" s="26" t="str">
        <x:f>IF(K335="","",IF(K335&lt;=2,"LOW",IF(K335&lt;=4,"MEDIUM","HIGH")))</x:f>
        <x:v>MEDIUM</x:v>
      </x:c>
      <x:c r="M335" s="25" t="str">
        <x:v>Engineering controls, preventive maintenance, posted limits, and periodic exposure monitoring are in place.</x:v>
      </x:c>
      <x:c r="N335" s="25" t="str">
        <x:v>Measure exposure against the hospital standard and close any engineering-control gap within 90 days.</x:v>
      </x:c>
      <x:c r="O335" s="30" t="b">
        <x:v>0</x:v>
      </x:c>
      <x:c r="P335" s="27" t="str">
        <x:v>PHYSICAL</x:v>
      </x:c>
      <x:c r="Q335" s="27" t="str">
        <x:v>lighting</x:v>
      </x:c>
      <x:c r="R335" s="27" t="str"/>
      <x:c r="S335" s="31" t="b">
        <x:v>1</x:v>
      </x:c>
      <x:c r="T335" s="27" t="str">
        <x:v>ASM-2026-048</x:v>
      </x:c>
      <x:c r="U335" s="27" t="str">
        <x:v>HZ-2026-048-05</x:v>
      </x:c>
    </x:row>
    <x:row r="336">
      <x:c r="A336" s="28" t="str">
        <x:v>Renal Unit</x:v>
      </x:c>
      <x:c r="B336" s="37" t="n">
        <x:v>46193</x:v>
      </x:c>
      <x:c r="C336" s="26" t="str">
        <x:v>RAH01-2026-048</x:v>
      </x:c>
      <x:c r="D336" s="36" t="n">
        <x:v>6</x:v>
      </x:c>
      <x:c r="E336" s="26" t="str">
        <x:v>Indoor Air Quality Hazards</x:v>
      </x:c>
      <x:c r="F336" s="26" t="str">
        <x:v>Poor Ventilation</x:v>
      </x:c>
      <x:c r="G336" s="35" t="n">
        <x:v>8</x:v>
      </x:c>
      <x:c r="H336" s="35" t="n">
        <x:v>2</x:v>
      </x:c>
      <x:c r="I336" s="35" t="n">
        <x:v>2</x:v>
      </x:c>
      <x:c r="J336" s="35" t="n">
        <x:v>2</x:v>
      </x:c>
      <x:c r="K336" s="36" t="n">
        <x:f>IF(AND(S336=TRUE,ISNUMBER(I336),I336=INT(I336),I336&gt;=1,I336&lt;=3,ISNUMBER(J336),J336=INT(J336),J336&gt;=1,J336&lt;=3),I336*J336,"")</x:f>
        <x:v>4</x:v>
      </x:c>
      <x:c r="L336" s="26" t="str">
        <x:f>IF(K336="","",IF(K336&lt;=2,"LOW",IF(K336&lt;=4,"MEDIUM","HIGH")))</x:f>
        <x:v>MEDIUM</x:v>
      </x:c>
      <x:c r="M336" s="25" t="str">
        <x:v>Ventilation, cleaning, occupancy management, and environmental inspection are performed.</x:v>
      </x:c>
      <x:c r="N336" s="25" t="str">
        <x:v>Inspect ventilation and moisture sources, then document corrective action and environmental recheck.</x:v>
      </x:c>
      <x:c r="O336" s="30" t="b">
        <x:v>0</x:v>
      </x:c>
      <x:c r="P336" s="27" t="str">
        <x:v>INDOOR_AIR_QUALITY</x:v>
      </x:c>
      <x:c r="Q336" s="27" t="str">
        <x:v>poor_ventilation</x:v>
      </x:c>
      <x:c r="R336" s="27" t="str"/>
      <x:c r="S336" s="31" t="b">
        <x:v>1</x:v>
      </x:c>
      <x:c r="T336" s="27" t="str">
        <x:v>ASM-2026-048</x:v>
      </x:c>
      <x:c r="U336" s="27" t="str">
        <x:v>HZ-2026-048-06</x:v>
      </x:c>
    </x:row>
    <x:row r="337">
      <x:c r="A337" s="28" t="str">
        <x:v>Respiratory Medicine</x:v>
      </x:c>
      <x:c r="B337" s="37" t="n">
        <x:v>46045</x:v>
      </x:c>
      <x:c r="C337" s="26" t="str">
        <x:v>RAH01-2026-049</x:v>
      </x:c>
      <x:c r="D337" s="36" t="n">
        <x:v>1</x:v>
      </x:c>
      <x:c r="E337" s="26" t="str">
        <x:v>Ergonomic Hazards</x:v>
      </x:c>
      <x:c r="F337" s="26" t="str">
        <x:v>Prolonged Standing or Sitting</x:v>
      </x:c>
      <x:c r="G337" s="35" t="n">
        <x:v>40</x:v>
      </x:c>
      <x:c r="H337" s="35" t="n">
        <x:v>1</x:v>
      </x:c>
      <x:c r="I337" s="35" t="n">
        <x:v>1</x:v>
      </x:c>
      <x:c r="J337" s="35" t="n">
        <x:v>2</x:v>
      </x:c>
      <x:c r="K337" s="36" t="n">
        <x:f>IF(AND(S337=TRUE,ISNUMBER(I337),I337=INT(I337),I337&gt;=1,I337&lt;=3,ISNUMBER(J337),J337=INT(J337),J337&gt;=1,J337&lt;=3),I337*J337,"")</x:f>
        <x:v>2</x:v>
      </x:c>
      <x:c r="L337" s="26" t="str">
        <x:f>IF(K337="","",IF(K337&lt;=2,"LOW",IF(K337&lt;=4,"MEDIUM","HIGH")))</x:f>
        <x:v>LOW</x:v>
      </x:c>
      <x:c r="M337" s="25" t="str">
        <x:v>Task rotation, adjustable equipment, team lifting, and safe-patient-handling guidance are used.</x:v>
      </x:c>
      <x:c r="N337" s="25" t="str"/>
      <x:c r="O337" s="30" t="b">
        <x:v>0</x:v>
      </x:c>
      <x:c r="P337" s="27" t="str">
        <x:v>ERGONOMIC</x:v>
      </x:c>
      <x:c r="Q337" s="27" t="str">
        <x:v>prolonged_standing_sitting</x:v>
      </x:c>
      <x:c r="R337" s="27" t="str"/>
      <x:c r="S337" s="31" t="b">
        <x:v>1</x:v>
      </x:c>
      <x:c r="T337" s="27" t="str">
        <x:v>ASM-2026-049</x:v>
      </x:c>
      <x:c r="U337" s="27" t="str">
        <x:v>HZ-2026-049-01</x:v>
      </x:c>
    </x:row>
    <x:row r="338">
      <x:c r="A338" s="28" t="str">
        <x:v>Respiratory Medicine</x:v>
      </x:c>
      <x:c r="B338" s="37" t="n">
        <x:v>46045</x:v>
      </x:c>
      <x:c r="C338" s="26" t="str">
        <x:v>RAH01-2026-049</x:v>
      </x:c>
      <x:c r="D338" s="36" t="n">
        <x:v>2</x:v>
      </x:c>
      <x:c r="E338" s="26" t="str">
        <x:v>Ergonomic Hazards</x:v>
      </x:c>
      <x:c r="F338" s="26" t="str">
        <x:v>Unsuitable Desk or Chair</x:v>
      </x:c>
      <x:c r="G338" s="35" t="n">
        <x:v>43</x:v>
      </x:c>
      <x:c r="H338" s="35" t="n">
        <x:v>2</x:v>
      </x:c>
      <x:c r="I338" s="35" t="n">
        <x:v>1</x:v>
      </x:c>
      <x:c r="J338" s="35" t="n">
        <x:v>1</x:v>
      </x:c>
      <x:c r="K338" s="36" t="n">
        <x:f>IF(AND(S338=TRUE,ISNUMBER(I338),I338=INT(I338),I338&gt;=1,I338&lt;=3,ISNUMBER(J338),J338=INT(J338),J338&gt;=1,J338&lt;=3),I338*J338,"")</x:f>
        <x:v>1</x:v>
      </x:c>
      <x:c r="L338" s="26" t="str">
        <x:f>IF(K338="","",IF(K338&lt;=2,"LOW",IF(K338&lt;=4,"MEDIUM","HIGH")))</x:f>
        <x:v>LOW</x:v>
      </x:c>
      <x:c r="M338" s="25" t="str">
        <x:v>Task rotation, adjustable equipment, team lifting, and safe-patient-handling guidance are used.</x:v>
      </x:c>
      <x:c r="N338" s="25" t="str"/>
      <x:c r="O338" s="30" t="b">
        <x:v>0</x:v>
      </x:c>
      <x:c r="P338" s="27" t="str">
        <x:v>ERGONOMIC</x:v>
      </x:c>
      <x:c r="Q338" s="27" t="str">
        <x:v>unsuitable_desk_chair</x:v>
      </x:c>
      <x:c r="R338" s="27" t="str"/>
      <x:c r="S338" s="31" t="b">
        <x:v>1</x:v>
      </x:c>
      <x:c r="T338" s="27" t="str">
        <x:v>ASM-2026-049</x:v>
      </x:c>
      <x:c r="U338" s="27" t="str">
        <x:v>HZ-2026-049-02</x:v>
      </x:c>
    </x:row>
    <x:row r="339">
      <x:c r="A339" s="28" t="str">
        <x:v>Respiratory Medicine</x:v>
      </x:c>
      <x:c r="B339" s="37" t="n">
        <x:v>46045</x:v>
      </x:c>
      <x:c r="C339" s="26" t="str">
        <x:v>RAH01-2026-049</x:v>
      </x:c>
      <x:c r="D339" s="36" t="n">
        <x:v>3</x:v>
      </x:c>
      <x:c r="E339" s="26" t="str">
        <x:v>Ergonomic Hazards</x:v>
      </x:c>
      <x:c r="F339" s="26" t="str">
        <x:v>Repetitive Tasks</x:v>
      </x:c>
      <x:c r="G339" s="35" t="n">
        <x:v>46</x:v>
      </x:c>
      <x:c r="H339" s="35" t="n">
        <x:v>0</x:v>
      </x:c>
      <x:c r="I339" s="35" t="n">
        <x:v>2</x:v>
      </x:c>
      <x:c r="J339" s="35" t="n">
        <x:v>1</x:v>
      </x:c>
      <x:c r="K339" s="36" t="n">
        <x:f>IF(AND(S339=TRUE,ISNUMBER(I339),I339=INT(I339),I339&gt;=1,I339&lt;=3,ISNUMBER(J339),J339=INT(J339),J339&gt;=1,J339&lt;=3),I339*J339,"")</x:f>
        <x:v>2</x:v>
      </x:c>
      <x:c r="L339" s="26" t="str">
        <x:f>IF(K339="","",IF(K339&lt;=2,"LOW",IF(K339&lt;=4,"MEDIUM","HIGH")))</x:f>
        <x:v>LOW</x:v>
      </x:c>
      <x:c r="M339" s="25" t="str">
        <x:v>Task rotation, adjustable equipment, team lifting, and safe-patient-handling guidance are used.</x:v>
      </x:c>
      <x:c r="N339" s="25" t="str"/>
      <x:c r="O339" s="30" t="b">
        <x:v>0</x:v>
      </x:c>
      <x:c r="P339" s="27" t="str">
        <x:v>ERGONOMIC</x:v>
      </x:c>
      <x:c r="Q339" s="27" t="str">
        <x:v>repetitive_tasks</x:v>
      </x:c>
      <x:c r="R339" s="27" t="str"/>
      <x:c r="S339" s="31" t="b">
        <x:v>1</x:v>
      </x:c>
      <x:c r="T339" s="27" t="str">
        <x:v>ASM-2026-049</x:v>
      </x:c>
      <x:c r="U339" s="27" t="str">
        <x:v>HZ-2026-049-03</x:v>
      </x:c>
    </x:row>
    <x:row r="340">
      <x:c r="A340" s="28" t="str">
        <x:v>Respiratory Medicine</x:v>
      </x:c>
      <x:c r="B340" s="37" t="n">
        <x:v>46045</x:v>
      </x:c>
      <x:c r="C340" s="26" t="str">
        <x:v>RAH01-2026-049</x:v>
      </x:c>
      <x:c r="D340" s="36" t="n">
        <x:v>4</x:v>
      </x:c>
      <x:c r="E340" s="26" t="str">
        <x:v>Psychosocial Hazards</x:v>
      </x:c>
      <x:c r="F340" s="26" t="str">
        <x:v>Work Stress</x:v>
      </x:c>
      <x:c r="G340" s="35" t="n">
        <x:v>49</x:v>
      </x:c>
      <x:c r="H340" s="35" t="n">
        <x:v>1</x:v>
      </x:c>
      <x:c r="I340" s="35" t="n">
        <x:v>1</x:v>
      </x:c>
      <x:c r="J340" s="35" t="n">
        <x:v>2</x:v>
      </x:c>
      <x:c r="K340" s="36" t="n">
        <x:f>IF(AND(S340=TRUE,ISNUMBER(I340),I340=INT(I340),I340&gt;=1,I340&lt;=3,ISNUMBER(J340),J340=INT(J340),J340&gt;=1,J340&lt;=3),I340*J340,"")</x:f>
        <x:v>2</x:v>
      </x:c>
      <x:c r="L340" s="26" t="str">
        <x:f>IF(K340="","",IF(K340&lt;=2,"LOW",IF(K340&lt;=4,"MEDIUM","HIGH")))</x:f>
        <x:v>LOW</x:v>
      </x:c>
      <x:c r="M340" s="25" t="str">
        <x:v>Shift planning, escalation pathways, security support, breaks, and supervisor check-ins are available.</x:v>
      </x:c>
      <x:c r="N340" s="25" t="str"/>
      <x:c r="O340" s="30" t="b">
        <x:v>0</x:v>
      </x:c>
      <x:c r="P340" s="27" t="str">
        <x:v>PSYCHOSOCIAL</x:v>
      </x:c>
      <x:c r="Q340" s="27" t="str">
        <x:v>work_stress</x:v>
      </x:c>
      <x:c r="R340" s="27" t="str"/>
      <x:c r="S340" s="31" t="b">
        <x:v>1</x:v>
      </x:c>
      <x:c r="T340" s="27" t="str">
        <x:v>ASM-2026-049</x:v>
      </x:c>
      <x:c r="U340" s="27" t="str">
        <x:v>HZ-2026-049-04</x:v>
      </x:c>
    </x:row>
    <x:row r="341">
      <x:c r="A341" s="28" t="str">
        <x:v>Respiratory Medicine</x:v>
      </x:c>
      <x:c r="B341" s="37" t="n">
        <x:v>46045</x:v>
      </x:c>
      <x:c r="C341" s="26" t="str">
        <x:v>RAH01-2026-049</x:v>
      </x:c>
      <x:c r="D341" s="36" t="n">
        <x:v>5</x:v>
      </x:c>
      <x:c r="E341" s="26" t="str">
        <x:v>Physical Hazards</x:v>
      </x:c>
      <x:c r="F341" s="26" t="str">
        <x:v>Lighting</x:v>
      </x:c>
      <x:c r="G341" s="35" t="n">
        <x:v>52</x:v>
      </x:c>
      <x:c r="H341" s="35" t="n">
        <x:v>2</x:v>
      </x:c>
      <x:c r="I341" s="35" t="n">
        <x:v>1</x:v>
      </x:c>
      <x:c r="J341" s="35" t="n">
        <x:v>1</x:v>
      </x:c>
      <x:c r="K341" s="36" t="n">
        <x:f>IF(AND(S341=TRUE,ISNUMBER(I341),I341=INT(I341),I341&gt;=1,I341&lt;=3,ISNUMBER(J341),J341=INT(J341),J341&gt;=1,J341&lt;=3),I341*J341,"")</x:f>
        <x:v>1</x:v>
      </x:c>
      <x:c r="L341" s="26" t="str">
        <x:f>IF(K341="","",IF(K341&lt;=2,"LOW",IF(K341&lt;=4,"MEDIUM","HIGH")))</x:f>
        <x:v>LOW</x:v>
      </x:c>
      <x:c r="M341" s="25" t="str">
        <x:v>Engineering controls, preventive maintenance, posted limits, and periodic exposure monitoring are in place.</x:v>
      </x:c>
      <x:c r="N341" s="25" t="str"/>
      <x:c r="O341" s="30" t="b">
        <x:v>0</x:v>
      </x:c>
      <x:c r="P341" s="27" t="str">
        <x:v>PHYSICAL</x:v>
      </x:c>
      <x:c r="Q341" s="27" t="str">
        <x:v>lighting</x:v>
      </x:c>
      <x:c r="R341" s="27" t="str"/>
      <x:c r="S341" s="31" t="b">
        <x:v>1</x:v>
      </x:c>
      <x:c r="T341" s="27" t="str">
        <x:v>ASM-2026-049</x:v>
      </x:c>
      <x:c r="U341" s="27" t="str">
        <x:v>HZ-2026-049-05</x:v>
      </x:c>
    </x:row>
    <x:row r="342">
      <x:c r="A342" s="28" t="str">
        <x:v>Respiratory Medicine</x:v>
      </x:c>
      <x:c r="B342" s="37" t="n">
        <x:v>46045</x:v>
      </x:c>
      <x:c r="C342" s="26" t="str">
        <x:v>RAH01-2026-049</x:v>
      </x:c>
      <x:c r="D342" s="36" t="n">
        <x:v>6</x:v>
      </x:c>
      <x:c r="E342" s="26" t="str">
        <x:v>Safety and Accident Hazards</x:v>
      </x:c>
      <x:c r="F342" s="26" t="str">
        <x:v>Pathway Obstruction</x:v>
      </x:c>
      <x:c r="G342" s="35" t="n">
        <x:v>55</x:v>
      </x:c>
      <x:c r="H342" s="35" t="n">
        <x:v>0</x:v>
      </x:c>
      <x:c r="I342" s="35" t="n">
        <x:v>2</x:v>
      </x:c>
      <x:c r="J342" s="35" t="n">
        <x:v>1</x:v>
      </x:c>
      <x:c r="K342" s="36" t="n">
        <x:f>IF(AND(S342=TRUE,ISNUMBER(I342),I342=INT(I342),I342&gt;=1,I342&lt;=3,ISNUMBER(J342),J342=INT(J342),J342&gt;=1,J342&lt;=3),I342*J342,"")</x:f>
        <x:v>2</x:v>
      </x:c>
      <x:c r="L342" s="26" t="str">
        <x:f>IF(K342="","",IF(K342&lt;=2,"LOW",IF(K342&lt;=4,"MEDIUM","HIGH")))</x:f>
        <x:v>LOW</x:v>
      </x:c>
      <x:c r="M342" s="25" t="str">
        <x:v>Safe-work procedures, inspection, housekeeping, guards, and incident reporting are implemented.</x:v>
      </x:c>
      <x:c r="N342" s="25" t="str"/>
      <x:c r="O342" s="30" t="b">
        <x:v>0</x:v>
      </x:c>
      <x:c r="P342" s="27" t="str">
        <x:v>SAFETY_ACCIDENT</x:v>
      </x:c>
      <x:c r="Q342" s="27" t="str">
        <x:v>pathway_obstruction</x:v>
      </x:c>
      <x:c r="R342" s="27" t="str"/>
      <x:c r="S342" s="31" t="b">
        <x:v>1</x:v>
      </x:c>
      <x:c r="T342" s="27" t="str">
        <x:v>ASM-2026-049</x:v>
      </x:c>
      <x:c r="U342" s="27" t="str">
        <x:v>HZ-2026-049-06</x:v>
      </x:c>
    </x:row>
    <x:row r="343">
      <x:c r="A343" s="28" t="str">
        <x:v>Social Work</x:v>
      </x:c>
      <x:c r="B343" s="37" t="n">
        <x:v>46054</x:v>
      </x:c>
      <x:c r="C343" s="26" t="str">
        <x:v>RAH01-2026-050</x:v>
      </x:c>
      <x:c r="D343" s="36" t="n">
        <x:v>1</x:v>
      </x:c>
      <x:c r="E343" s="26" t="str">
        <x:v>Ergonomic Hazards</x:v>
      </x:c>
      <x:c r="F343" s="26" t="str">
        <x:v>Prolonged Standing or Sitting</x:v>
      </x:c>
      <x:c r="G343" s="35" t="n">
        <x:v>5</x:v>
      </x:c>
      <x:c r="H343" s="35" t="n">
        <x:v>2</x:v>
      </x:c>
      <x:c r="I343" s="35" t="n">
        <x:v>2</x:v>
      </x:c>
      <x:c r="J343" s="35" t="n">
        <x:v>1</x:v>
      </x:c>
      <x:c r="K343" s="36" t="n">
        <x:f>IF(AND(S343=TRUE,ISNUMBER(I343),I343=INT(I343),I343&gt;=1,I343&lt;=3,ISNUMBER(J343),J343=INT(J343),J343&gt;=1,J343&lt;=3),I343*J343,"")</x:f>
        <x:v>2</x:v>
      </x:c>
      <x:c r="L343" s="26" t="str">
        <x:f>IF(K343="","",IF(K343&lt;=2,"LOW",IF(K343&lt;=4,"MEDIUM","HIGH")))</x:f>
        <x:v>LOW</x:v>
      </x:c>
      <x:c r="M343" s="25" t="str">
        <x:v>Task rotation, adjustable equipment, team lifting, and safe-patient-handling guidance are used.</x:v>
      </x:c>
      <x:c r="N343" s="25" t="str"/>
      <x:c r="O343" s="30" t="b">
        <x:v>0</x:v>
      </x:c>
      <x:c r="P343" s="27" t="str">
        <x:v>ERGONOMIC</x:v>
      </x:c>
      <x:c r="Q343" s="27" t="str">
        <x:v>prolonged_standing_sitting</x:v>
      </x:c>
      <x:c r="R343" s="27" t="str"/>
      <x:c r="S343" s="31" t="b">
        <x:v>1</x:v>
      </x:c>
      <x:c r="T343" s="27" t="str">
        <x:v>ASM-2026-050</x:v>
      </x:c>
      <x:c r="U343" s="27" t="str">
        <x:v>HZ-2026-050-01</x:v>
      </x:c>
    </x:row>
    <x:row r="344">
      <x:c r="A344" s="28" t="str">
        <x:v>Social Work</x:v>
      </x:c>
      <x:c r="B344" s="37" t="n">
        <x:v>46054</x:v>
      </x:c>
      <x:c r="C344" s="26" t="str">
        <x:v>RAH01-2026-050</x:v>
      </x:c>
      <x:c r="D344" s="36" t="n">
        <x:v>2</x:v>
      </x:c>
      <x:c r="E344" s="26" t="str">
        <x:v>Ergonomic Hazards</x:v>
      </x:c>
      <x:c r="F344" s="26" t="str">
        <x:v>Unsuitable Desk or Chair</x:v>
      </x:c>
      <x:c r="G344" s="35" t="n">
        <x:v>8</x:v>
      </x:c>
      <x:c r="H344" s="35" t="n">
        <x:v>0</x:v>
      </x:c>
      <x:c r="I344" s="35" t="n">
        <x:v>1</x:v>
      </x:c>
      <x:c r="J344" s="35" t="n">
        <x:v>2</x:v>
      </x:c>
      <x:c r="K344" s="36" t="n">
        <x:f>IF(AND(S344=TRUE,ISNUMBER(I344),I344=INT(I344),I344&gt;=1,I344&lt;=3,ISNUMBER(J344),J344=INT(J344),J344&gt;=1,J344&lt;=3),I344*J344,"")</x:f>
        <x:v>2</x:v>
      </x:c>
      <x:c r="L344" s="26" t="str">
        <x:f>IF(K344="","",IF(K344&lt;=2,"LOW",IF(K344&lt;=4,"MEDIUM","HIGH")))</x:f>
        <x:v>LOW</x:v>
      </x:c>
      <x:c r="M344" s="25" t="str">
        <x:v>Task rotation, adjustable equipment, team lifting, and safe-patient-handling guidance are used.</x:v>
      </x:c>
      <x:c r="N344" s="25" t="str"/>
      <x:c r="O344" s="30" t="b">
        <x:v>0</x:v>
      </x:c>
      <x:c r="P344" s="27" t="str">
        <x:v>ERGONOMIC</x:v>
      </x:c>
      <x:c r="Q344" s="27" t="str">
        <x:v>unsuitable_desk_chair</x:v>
      </x:c>
      <x:c r="R344" s="27" t="str"/>
      <x:c r="S344" s="31" t="b">
        <x:v>1</x:v>
      </x:c>
      <x:c r="T344" s="27" t="str">
        <x:v>ASM-2026-050</x:v>
      </x:c>
      <x:c r="U344" s="27" t="str">
        <x:v>HZ-2026-050-02</x:v>
      </x:c>
    </x:row>
    <x:row r="345">
      <x:c r="A345" s="28" t="str">
        <x:v>Social Work</x:v>
      </x:c>
      <x:c r="B345" s="37" t="n">
        <x:v>46054</x:v>
      </x:c>
      <x:c r="C345" s="26" t="str">
        <x:v>RAH01-2026-050</x:v>
      </x:c>
      <x:c r="D345" s="36" t="n">
        <x:v>3</x:v>
      </x:c>
      <x:c r="E345" s="26" t="str">
        <x:v>Ergonomic Hazards</x:v>
      </x:c>
      <x:c r="F345" s="26" t="str">
        <x:v>Repetitive Tasks</x:v>
      </x:c>
      <x:c r="G345" s="35" t="n">
        <x:v>3</x:v>
      </x:c>
      <x:c r="H345" s="35" t="n">
        <x:v>1</x:v>
      </x:c>
      <x:c r="I345" s="35" t="n">
        <x:v>1</x:v>
      </x:c>
      <x:c r="J345" s="35" t="n">
        <x:v>1</x:v>
      </x:c>
      <x:c r="K345" s="36" t="n">
        <x:f>IF(AND(S345=TRUE,ISNUMBER(I345),I345=INT(I345),I345&gt;=1,I345&lt;=3,ISNUMBER(J345),J345=INT(J345),J345&gt;=1,J345&lt;=3),I345*J345,"")</x:f>
        <x:v>1</x:v>
      </x:c>
      <x:c r="L345" s="26" t="str">
        <x:f>IF(K345="","",IF(K345&lt;=2,"LOW",IF(K345&lt;=4,"MEDIUM","HIGH")))</x:f>
        <x:v>LOW</x:v>
      </x:c>
      <x:c r="M345" s="25" t="str">
        <x:v>Task rotation, adjustable equipment, team lifting, and safe-patient-handling guidance are used.</x:v>
      </x:c>
      <x:c r="N345" s="25" t="str"/>
      <x:c r="O345" s="30" t="b">
        <x:v>0</x:v>
      </x:c>
      <x:c r="P345" s="27" t="str">
        <x:v>ERGONOMIC</x:v>
      </x:c>
      <x:c r="Q345" s="27" t="str">
        <x:v>repetitive_tasks</x:v>
      </x:c>
      <x:c r="R345" s="27" t="str"/>
      <x:c r="S345" s="31" t="b">
        <x:v>1</x:v>
      </x:c>
      <x:c r="T345" s="27" t="str">
        <x:v>ASM-2026-050</x:v>
      </x:c>
      <x:c r="U345" s="27" t="str">
        <x:v>HZ-2026-050-03</x:v>
      </x:c>
    </x:row>
    <x:row r="346">
      <x:c r="A346" s="28" t="str">
        <x:v>Social Work</x:v>
      </x:c>
      <x:c r="B346" s="37" t="n">
        <x:v>46054</x:v>
      </x:c>
      <x:c r="C346" s="26" t="str">
        <x:v>RAH01-2026-050</x:v>
      </x:c>
      <x:c r="D346" s="36" t="n">
        <x:v>4</x:v>
      </x:c>
      <x:c r="E346" s="26" t="str">
        <x:v>Psychosocial Hazards</x:v>
      </x:c>
      <x:c r="F346" s="26" t="str">
        <x:v>Work Stress</x:v>
      </x:c>
      <x:c r="G346" s="35" t="n">
        <x:v>6</x:v>
      </x:c>
      <x:c r="H346" s="35" t="n">
        <x:v>2</x:v>
      </x:c>
      <x:c r="I346" s="35" t="n">
        <x:v>2</x:v>
      </x:c>
      <x:c r="J346" s="35" t="n">
        <x:v>1</x:v>
      </x:c>
      <x:c r="K346" s="36" t="n">
        <x:f>IF(AND(S346=TRUE,ISNUMBER(I346),I346=INT(I346),I346&gt;=1,I346&lt;=3,ISNUMBER(J346),J346=INT(J346),J346&gt;=1,J346&lt;=3),I346*J346,"")</x:f>
        <x:v>2</x:v>
      </x:c>
      <x:c r="L346" s="26" t="str">
        <x:f>IF(K346="","",IF(K346&lt;=2,"LOW",IF(K346&lt;=4,"MEDIUM","HIGH")))</x:f>
        <x:v>LOW</x:v>
      </x:c>
      <x:c r="M346" s="25" t="str">
        <x:v>Shift planning, escalation pathways, security support, breaks, and supervisor check-ins are available.</x:v>
      </x:c>
      <x:c r="N346" s="25" t="str"/>
      <x:c r="O346" s="30" t="b">
        <x:v>0</x:v>
      </x:c>
      <x:c r="P346" s="27" t="str">
        <x:v>PSYCHOSOCIAL</x:v>
      </x:c>
      <x:c r="Q346" s="27" t="str">
        <x:v>work_stress</x:v>
      </x:c>
      <x:c r="R346" s="27" t="str"/>
      <x:c r="S346" s="31" t="b">
        <x:v>1</x:v>
      </x:c>
      <x:c r="T346" s="27" t="str">
        <x:v>ASM-2026-050</x:v>
      </x:c>
      <x:c r="U346" s="27" t="str">
        <x:v>HZ-2026-050-04</x:v>
      </x:c>
    </x:row>
    <x:row r="347">
      <x:c r="A347" s="28" t="str">
        <x:v>Social Work</x:v>
      </x:c>
      <x:c r="B347" s="37" t="n">
        <x:v>46054</x:v>
      </x:c>
      <x:c r="C347" s="26" t="str">
        <x:v>RAH01-2026-050</x:v>
      </x:c>
      <x:c r="D347" s="36" t="n">
        <x:v>5</x:v>
      </x:c>
      <x:c r="E347" s="26" t="str">
        <x:v>Physical Hazards</x:v>
      </x:c>
      <x:c r="F347" s="26" t="str">
        <x:v>Lighting</x:v>
      </x:c>
      <x:c r="G347" s="35" t="n">
        <x:v>1</x:v>
      </x:c>
      <x:c r="H347" s="35" t="n">
        <x:v>0</x:v>
      </x:c>
      <x:c r="I347" s="35" t="n">
        <x:v>1</x:v>
      </x:c>
      <x:c r="J347" s="35" t="n">
        <x:v>2</x:v>
      </x:c>
      <x:c r="K347" s="36" t="n">
        <x:f>IF(AND(S347=TRUE,ISNUMBER(I347),I347=INT(I347),I347&gt;=1,I347&lt;=3,ISNUMBER(J347),J347=INT(J347),J347&gt;=1,J347&lt;=3),I347*J347,"")</x:f>
        <x:v>2</x:v>
      </x:c>
      <x:c r="L347" s="26" t="str">
        <x:f>IF(K347="","",IF(K347&lt;=2,"LOW",IF(K347&lt;=4,"MEDIUM","HIGH")))</x:f>
        <x:v>LOW</x:v>
      </x:c>
      <x:c r="M347" s="25" t="str">
        <x:v>Engineering controls, preventive maintenance, posted limits, and periodic exposure monitoring are in place.</x:v>
      </x:c>
      <x:c r="N347" s="25" t="str"/>
      <x:c r="O347" s="30" t="b">
        <x:v>0</x:v>
      </x:c>
      <x:c r="P347" s="27" t="str">
        <x:v>PHYSICAL</x:v>
      </x:c>
      <x:c r="Q347" s="27" t="str">
        <x:v>lighting</x:v>
      </x:c>
      <x:c r="R347" s="27" t="str"/>
      <x:c r="S347" s="31" t="b">
        <x:v>1</x:v>
      </x:c>
      <x:c r="T347" s="27" t="str">
        <x:v>ASM-2026-050</x:v>
      </x:c>
      <x:c r="U347" s="27" t="str">
        <x:v>HZ-2026-050-05</x:v>
      </x:c>
    </x:row>
    <x:row r="348">
      <x:c r="A348" s="28" t="str">
        <x:v>Social Work</x:v>
      </x:c>
      <x:c r="B348" s="37" t="n">
        <x:v>46054</x:v>
      </x:c>
      <x:c r="C348" s="26" t="str">
        <x:v>RAH01-2026-050</x:v>
      </x:c>
      <x:c r="D348" s="36" t="n">
        <x:v>6</x:v>
      </x:c>
      <x:c r="E348" s="26" t="str">
        <x:v>Psychosocial Hazards</x:v>
      </x:c>
      <x:c r="F348" s="26" t="str">
        <x:v>Peak-period complaint escalation and emotional demand</x:v>
      </x:c>
      <x:c r="G348" s="35" t="n">
        <x:v>4</x:v>
      </x:c>
      <x:c r="H348" s="35" t="n">
        <x:v>1</x:v>
      </x:c>
      <x:c r="I348" s="35" t="n">
        <x:v>1</x:v>
      </x:c>
      <x:c r="J348" s="35" t="n">
        <x:v>1</x:v>
      </x:c>
      <x:c r="K348" s="36" t="n">
        <x:f>IF(AND(S348=TRUE,ISNUMBER(I348),I348=INT(I348),I348&gt;=1,I348&lt;=3,ISNUMBER(J348),J348=INT(J348),J348&gt;=1,J348&lt;=3),I348*J348,"")</x:f>
        <x:v>1</x:v>
      </x:c>
      <x:c r="L348" s="26" t="str">
        <x:f>IF(K348="","",IF(K348&lt;=2,"LOW",IF(K348&lt;=4,"MEDIUM","HIGH")))</x:f>
        <x:v>LOW</x:v>
      </x:c>
      <x:c r="M348" s="25" t="str">
        <x:v>Shift planning, escalation pathways, security support, breaks, and supervisor check-ins are available.</x:v>
      </x:c>
      <x:c r="N348" s="25" t="str"/>
      <x:c r="O348" s="30" t="b">
        <x:v>0</x:v>
      </x:c>
      <x:c r="P348" s="27" t="str">
        <x:v>PSYCHOSOCIAL</x:v>
      </x:c>
      <x:c r="Q348" s="27" t="str">
        <x:v>OTHER</x:v>
      </x:c>
      <x:c r="R348" s="27" t="str">
        <x:v>Peak-period complaint escalation and emotional demand</x:v>
      </x:c>
      <x:c r="S348" s="31" t="b">
        <x:v>1</x:v>
      </x:c>
      <x:c r="T348" s="27" t="str">
        <x:v>ASM-2026-050</x:v>
      </x:c>
      <x:c r="U348" s="27" t="str">
        <x:v>HZ-2026-050-06</x:v>
      </x:c>
    </x:row>
    <x:row r="349">
      <x:c r="A349" s="28" t="str">
        <x:v>Speech Therapy</x:v>
      </x:c>
      <x:c r="B349" s="37" t="n">
        <x:v>46085</x:v>
      </x:c>
      <x:c r="C349" s="26" t="str">
        <x:v>RAH01-2026-051</x:v>
      </x:c>
      <x:c r="D349" s="36" t="n">
        <x:v>1</x:v>
      </x:c>
      <x:c r="E349" s="26" t="str">
        <x:v>Ergonomic Hazards</x:v>
      </x:c>
      <x:c r="F349" s="26" t="str">
        <x:v>Prolonged Standing or Sitting</x:v>
      </x:c>
      <x:c r="G349" s="35" t="n">
        <x:v>13</x:v>
      </x:c>
      <x:c r="H349" s="35" t="n">
        <x:v>0</x:v>
      </x:c>
      <x:c r="I349" s="35" t="n">
        <x:v>1</x:v>
      </x:c>
      <x:c r="J349" s="35" t="n">
        <x:v>3</x:v>
      </x:c>
      <x:c r="K349" s="36" t="n">
        <x:f>IF(AND(S349=TRUE,ISNUMBER(I349),I349=INT(I349),I349&gt;=1,I349&lt;=3,ISNUMBER(J349),J349=INT(J349),J349&gt;=1,J349&lt;=3),I349*J349,"")</x:f>
        <x:v>3</x:v>
      </x:c>
      <x:c r="L349" s="26" t="str">
        <x:f>IF(K349="","",IF(K349&lt;=2,"LOW",IF(K349&lt;=4,"MEDIUM","HIGH")))</x:f>
        <x:v>MEDIUM</x:v>
      </x:c>
      <x:c r="M349" s="25" t="str">
        <x:v>Task rotation, adjustable equipment, team lifting, and safe-patient-handling guidance are used.</x:v>
      </x:c>
      <x:c r="N349" s="25" t="str">
        <x:v>Complete an ergonomic task assessment and implement equipment or workflow changes to reduce force and repetition.</x:v>
      </x:c>
      <x:c r="O349" s="30" t="b">
        <x:v>0</x:v>
      </x:c>
      <x:c r="P349" s="27" t="str">
        <x:v>ERGONOMIC</x:v>
      </x:c>
      <x:c r="Q349" s="27" t="str">
        <x:v>prolonged_standing_sitting</x:v>
      </x:c>
      <x:c r="R349" s="27" t="str"/>
      <x:c r="S349" s="31" t="b">
        <x:v>1</x:v>
      </x:c>
      <x:c r="T349" s="27" t="str">
        <x:v>ASM-2026-051</x:v>
      </x:c>
      <x:c r="U349" s="27" t="str">
        <x:v>HZ-2026-051-01</x:v>
      </x:c>
    </x:row>
    <x:row r="350">
      <x:c r="A350" s="28" t="str">
        <x:v>Speech Therapy</x:v>
      </x:c>
      <x:c r="B350" s="37" t="n">
        <x:v>46085</x:v>
      </x:c>
      <x:c r="C350" s="26" t="str">
        <x:v>RAH01-2026-051</x:v>
      </x:c>
      <x:c r="D350" s="36" t="n">
        <x:v>2</x:v>
      </x:c>
      <x:c r="E350" s="26" t="str">
        <x:v>Ergonomic Hazards</x:v>
      </x:c>
      <x:c r="F350" s="26" t="str">
        <x:v>Unsuitable Desk or Chair</x:v>
      </x:c>
      <x:c r="G350" s="35" t="n">
        <x:v>1</x:v>
      </x:c>
      <x:c r="H350" s="35" t="n">
        <x:v>1</x:v>
      </x:c>
      <x:c r="I350" s="35" t="n">
        <x:v>3</x:v>
      </x:c>
      <x:c r="J350" s="35" t="n">
        <x:v>1</x:v>
      </x:c>
      <x:c r="K350" s="36" t="n">
        <x:f>IF(AND(S350=TRUE,ISNUMBER(I350),I350=INT(I350),I350&gt;=1,I350&lt;=3,ISNUMBER(J350),J350=INT(J350),J350&gt;=1,J350&lt;=3),I350*J350,"")</x:f>
        <x:v>3</x:v>
      </x:c>
      <x:c r="L350" s="26" t="str">
        <x:f>IF(K350="","",IF(K350&lt;=2,"LOW",IF(K350&lt;=4,"MEDIUM","HIGH")))</x:f>
        <x:v>MEDIUM</x:v>
      </x:c>
      <x:c r="M350" s="25" t="str">
        <x:v>Task rotation, adjustable equipment, team lifting, and safe-patient-handling guidance are used.</x:v>
      </x:c>
      <x:c r="N350" s="25" t="str">
        <x:v>Complete an ergonomic task assessment and implement equipment or workflow changes to reduce force and repetition.</x:v>
      </x:c>
      <x:c r="O350" s="30" t="b">
        <x:v>0</x:v>
      </x:c>
      <x:c r="P350" s="27" t="str">
        <x:v>ERGONOMIC</x:v>
      </x:c>
      <x:c r="Q350" s="27" t="str">
        <x:v>unsuitable_desk_chair</x:v>
      </x:c>
      <x:c r="R350" s="27" t="str"/>
      <x:c r="S350" s="31" t="b">
        <x:v>1</x:v>
      </x:c>
      <x:c r="T350" s="27" t="str">
        <x:v>ASM-2026-051</x:v>
      </x:c>
      <x:c r="U350" s="27" t="str">
        <x:v>HZ-2026-051-02</x:v>
      </x:c>
    </x:row>
    <x:row r="351">
      <x:c r="A351" s="28" t="str">
        <x:v>Speech Therapy</x:v>
      </x:c>
      <x:c r="B351" s="37" t="n">
        <x:v>46085</x:v>
      </x:c>
      <x:c r="C351" s="26" t="str">
        <x:v>RAH01-2026-051</x:v>
      </x:c>
      <x:c r="D351" s="36" t="n">
        <x:v>3</x:v>
      </x:c>
      <x:c r="E351" s="26" t="str">
        <x:v>Ergonomic Hazards</x:v>
      </x:c>
      <x:c r="F351" s="26" t="str">
        <x:v>Repetitive Tasks</x:v>
      </x:c>
      <x:c r="G351" s="35" t="n">
        <x:v>4</x:v>
      </x:c>
      <x:c r="H351" s="35" t="n">
        <x:v>2</x:v>
      </x:c>
      <x:c r="I351" s="35" t="n">
        <x:v>2</x:v>
      </x:c>
      <x:c r="J351" s="35" t="n">
        <x:v>2</x:v>
      </x:c>
      <x:c r="K351" s="36" t="n">
        <x:f>IF(AND(S351=TRUE,ISNUMBER(I351),I351=INT(I351),I351&gt;=1,I351&lt;=3,ISNUMBER(J351),J351=INT(J351),J351&gt;=1,J351&lt;=3),I351*J351,"")</x:f>
        <x:v>4</x:v>
      </x:c>
      <x:c r="L351" s="26" t="str">
        <x:f>IF(K351="","",IF(K351&lt;=2,"LOW",IF(K351&lt;=4,"MEDIUM","HIGH")))</x:f>
        <x:v>MEDIUM</x:v>
      </x:c>
      <x:c r="M351" s="25" t="str">
        <x:v>Task rotation, adjustable equipment, team lifting, and safe-patient-handling guidance are used.</x:v>
      </x:c>
      <x:c r="N351" s="25" t="str">
        <x:v>Complete an ergonomic task assessment and implement equipment or workflow changes to reduce force and repetition.</x:v>
      </x:c>
      <x:c r="O351" s="30" t="b">
        <x:v>0</x:v>
      </x:c>
      <x:c r="P351" s="27" t="str">
        <x:v>ERGONOMIC</x:v>
      </x:c>
      <x:c r="Q351" s="27" t="str">
        <x:v>repetitive_tasks</x:v>
      </x:c>
      <x:c r="R351" s="27" t="str"/>
      <x:c r="S351" s="31" t="b">
        <x:v>1</x:v>
      </x:c>
      <x:c r="T351" s="27" t="str">
        <x:v>ASM-2026-051</x:v>
      </x:c>
      <x:c r="U351" s="27" t="str">
        <x:v>HZ-2026-051-03</x:v>
      </x:c>
    </x:row>
    <x:row r="352">
      <x:c r="A352" s="28" t="str">
        <x:v>Speech Therapy</x:v>
      </x:c>
      <x:c r="B352" s="37" t="n">
        <x:v>46085</x:v>
      </x:c>
      <x:c r="C352" s="26" t="str">
        <x:v>RAH01-2026-051</x:v>
      </x:c>
      <x:c r="D352" s="36" t="n">
        <x:v>4</x:v>
      </x:c>
      <x:c r="E352" s="26" t="str">
        <x:v>Psychosocial Hazards</x:v>
      </x:c>
      <x:c r="F352" s="26" t="str">
        <x:v>Work Stress</x:v>
      </x:c>
      <x:c r="G352" s="35" t="n">
        <x:v>7</x:v>
      </x:c>
      <x:c r="H352" s="35" t="n">
        <x:v>0</x:v>
      </x:c>
      <x:c r="I352" s="35" t="n">
        <x:v>1</x:v>
      </x:c>
      <x:c r="J352" s="35" t="n">
        <x:v>3</x:v>
      </x:c>
      <x:c r="K352" s="36" t="n">
        <x:f>IF(AND(S352=TRUE,ISNUMBER(I352),I352=INT(I352),I352&gt;=1,I352&lt;=3,ISNUMBER(J352),J352=INT(J352),J352&gt;=1,J352&lt;=3),I352*J352,"")</x:f>
        <x:v>3</x:v>
      </x:c>
      <x:c r="L352" s="26" t="str">
        <x:f>IF(K352="","",IF(K352&lt;=2,"LOW",IF(K352&lt;=4,"MEDIUM","HIGH")))</x:f>
        <x:v>MEDIUM</x:v>
      </x:c>
      <x:c r="M352" s="25" t="str">
        <x:v>Shift planning, escalation pathways, security support, breaks, and supervisor check-ins are available.</x:v>
      </x:c>
      <x:c r="N352" s="25" t="str">
        <x:v>Review staffing, breaks, escalation support, and violence-prevention controls with the department manager.</x:v>
      </x:c>
      <x:c r="O352" s="30" t="b">
        <x:v>0</x:v>
      </x:c>
      <x:c r="P352" s="27" t="str">
        <x:v>PSYCHOSOCIAL</x:v>
      </x:c>
      <x:c r="Q352" s="27" t="str">
        <x:v>work_stress</x:v>
      </x:c>
      <x:c r="R352" s="27" t="str"/>
      <x:c r="S352" s="31" t="b">
        <x:v>1</x:v>
      </x:c>
      <x:c r="T352" s="27" t="str">
        <x:v>ASM-2026-051</x:v>
      </x:c>
      <x:c r="U352" s="27" t="str">
        <x:v>HZ-2026-051-04</x:v>
      </x:c>
    </x:row>
    <x:row r="353">
      <x:c r="A353" s="28" t="str">
        <x:v>Speech Therapy</x:v>
      </x:c>
      <x:c r="B353" s="37" t="n">
        <x:v>46085</x:v>
      </x:c>
      <x:c r="C353" s="26" t="str">
        <x:v>RAH01-2026-051</x:v>
      </x:c>
      <x:c r="D353" s="36" t="n">
        <x:v>5</x:v>
      </x:c>
      <x:c r="E353" s="26" t="str">
        <x:v>Physical Hazards</x:v>
      </x:c>
      <x:c r="F353" s="26" t="str">
        <x:v>Lighting</x:v>
      </x:c>
      <x:c r="G353" s="35" t="n">
        <x:v>10</x:v>
      </x:c>
      <x:c r="H353" s="35" t="n">
        <x:v>1</x:v>
      </x:c>
      <x:c r="I353" s="35" t="n">
        <x:v>3</x:v>
      </x:c>
      <x:c r="J353" s="35" t="n">
        <x:v>1</x:v>
      </x:c>
      <x:c r="K353" s="36" t="n">
        <x:f>IF(AND(S353=TRUE,ISNUMBER(I353),I353=INT(I353),I353&gt;=1,I353&lt;=3,ISNUMBER(J353),J353=INT(J353),J353&gt;=1,J353&lt;=3),I353*J353,"")</x:f>
        <x:v>3</x:v>
      </x:c>
      <x:c r="L353" s="26" t="str">
        <x:f>IF(K353="","",IF(K353&lt;=2,"LOW",IF(K353&lt;=4,"MEDIUM","HIGH")))</x:f>
        <x:v>MEDIUM</x:v>
      </x:c>
      <x:c r="M353" s="25" t="str">
        <x:v>Engineering controls, preventive maintenance, posted limits, and periodic exposure monitoring are in place.</x:v>
      </x:c>
      <x:c r="N353" s="25" t="str">
        <x:v>Measure exposure against the hospital standard and close any engineering-control gap within 90 days.</x:v>
      </x:c>
      <x:c r="O353" s="30" t="b">
        <x:v>0</x:v>
      </x:c>
      <x:c r="P353" s="27" t="str">
        <x:v>PHYSICAL</x:v>
      </x:c>
      <x:c r="Q353" s="27" t="str">
        <x:v>lighting</x:v>
      </x:c>
      <x:c r="R353" s="27" t="str"/>
      <x:c r="S353" s="31" t="b">
        <x:v>1</x:v>
      </x:c>
      <x:c r="T353" s="27" t="str">
        <x:v>ASM-2026-051</x:v>
      </x:c>
      <x:c r="U353" s="27" t="str">
        <x:v>HZ-2026-051-05</x:v>
      </x:c>
    </x:row>
    <x:row r="354">
      <x:c r="A354" s="28" t="str">
        <x:v>Speech Therapy</x:v>
      </x:c>
      <x:c r="B354" s="37" t="n">
        <x:v>46085</x:v>
      </x:c>
      <x:c r="C354" s="26" t="str">
        <x:v>RAH01-2026-051</x:v>
      </x:c>
      <x:c r="D354" s="36" t="n">
        <x:v>6</x:v>
      </x:c>
      <x:c r="E354" s="26" t="str">
        <x:v>Psychosocial Hazards</x:v>
      </x:c>
      <x:c r="F354" s="26" t="str">
        <x:v>Insufficient Rest</x:v>
      </x:c>
      <x:c r="G354" s="35" t="n">
        <x:v>13</x:v>
      </x:c>
      <x:c r="H354" s="35" t="n">
        <x:v>2</x:v>
      </x:c>
      <x:c r="I354" s="35" t="n">
        <x:v>2</x:v>
      </x:c>
      <x:c r="J354" s="35" t="n">
        <x:v>2</x:v>
      </x:c>
      <x:c r="K354" s="36" t="n">
        <x:f>IF(AND(S354=TRUE,ISNUMBER(I354),I354=INT(I354),I354&gt;=1,I354&lt;=3,ISNUMBER(J354),J354=INT(J354),J354&gt;=1,J354&lt;=3),I354*J354,"")</x:f>
        <x:v>4</x:v>
      </x:c>
      <x:c r="L354" s="26" t="str">
        <x:f>IF(K354="","",IF(K354&lt;=2,"LOW",IF(K354&lt;=4,"MEDIUM","HIGH")))</x:f>
        <x:v>MEDIUM</x:v>
      </x:c>
      <x:c r="M354" s="25" t="str">
        <x:v>Shift planning, escalation pathways, security support, breaks, and supervisor check-ins are available.</x:v>
      </x:c>
      <x:c r="N354" s="25" t="str">
        <x:v>Review staffing, breaks, escalation support, and violence-prevention controls with the department manager.</x:v>
      </x:c>
      <x:c r="O354" s="30" t="b">
        <x:v>0</x:v>
      </x:c>
      <x:c r="P354" s="27" t="str">
        <x:v>PSYCHOSOCIAL</x:v>
      </x:c>
      <x:c r="Q354" s="27" t="str">
        <x:v>insufficient_rest</x:v>
      </x:c>
      <x:c r="R354" s="27" t="str"/>
      <x:c r="S354" s="31" t="b">
        <x:v>1</x:v>
      </x:c>
      <x:c r="T354" s="27" t="str">
        <x:v>ASM-2026-051</x:v>
      </x:c>
      <x:c r="U354" s="27" t="str">
        <x:v>HZ-2026-051-06</x:v>
      </x:c>
    </x:row>
    <x:row r="355">
      <x:c r="A355" s="28" t="str">
        <x:v>Surgical ICU</x:v>
      </x:c>
      <x:c r="B355" s="37" t="n">
        <x:v>46119</x:v>
      </x:c>
      <x:c r="C355" s="26" t="str">
        <x:v>RAH01-2026-052</x:v>
      </x:c>
      <x:c r="D355" s="36" t="n">
        <x:v>1</x:v>
      </x:c>
      <x:c r="E355" s="26" t="str">
        <x:v>Ergonomic Hazards</x:v>
      </x:c>
      <x:c r="F355" s="26" t="str">
        <x:v>Prolonged Standing or Sitting</x:v>
      </x:c>
      <x:c r="G355" s="35" t="n">
        <x:v>17</x:v>
      </x:c>
      <x:c r="H355" s="35" t="n">
        <x:v>1</x:v>
      </x:c>
      <x:c r="I355" s="35" t="n">
        <x:v>1</x:v>
      </x:c>
      <x:c r="J355" s="35" t="n">
        <x:v>2</x:v>
      </x:c>
      <x:c r="K355" s="36" t="n">
        <x:f>IF(AND(S355=TRUE,ISNUMBER(I355),I355=INT(I355),I355&gt;=1,I355&lt;=3,ISNUMBER(J355),J355=INT(J355),J355&gt;=1,J355&lt;=3),I355*J355,"")</x:f>
        <x:v>2</x:v>
      </x:c>
      <x:c r="L355" s="26" t="str">
        <x:f>IF(K355="","",IF(K355&lt;=2,"LOW",IF(K355&lt;=4,"MEDIUM","HIGH")))</x:f>
        <x:v>LOW</x:v>
      </x:c>
      <x:c r="M355" s="25" t="str">
        <x:v>Task rotation, adjustable equipment, team lifting, and safe-patient-handling guidance are used.</x:v>
      </x:c>
      <x:c r="N355" s="25" t="str"/>
      <x:c r="O355" s="30" t="b">
        <x:v>0</x:v>
      </x:c>
      <x:c r="P355" s="27" t="str">
        <x:v>ERGONOMIC</x:v>
      </x:c>
      <x:c r="Q355" s="27" t="str">
        <x:v>prolonged_standing_sitting</x:v>
      </x:c>
      <x:c r="R355" s="27" t="str"/>
      <x:c r="S355" s="31" t="b">
        <x:v>1</x:v>
      </x:c>
      <x:c r="T355" s="27" t="str">
        <x:v>ASM-2026-052</x:v>
      </x:c>
      <x:c r="U355" s="27" t="str">
        <x:v>HZ-2026-052-01</x:v>
      </x:c>
    </x:row>
    <x:row r="356">
      <x:c r="A356" s="28" t="str">
        <x:v>Surgical ICU</x:v>
      </x:c>
      <x:c r="B356" s="37" t="n">
        <x:v>46119</x:v>
      </x:c>
      <x:c r="C356" s="26" t="str">
        <x:v>RAH01-2026-052</x:v>
      </x:c>
      <x:c r="D356" s="36" t="n">
        <x:v>2</x:v>
      </x:c>
      <x:c r="E356" s="26" t="str">
        <x:v>Ergonomic Hazards</x:v>
      </x:c>
      <x:c r="F356" s="26" t="str">
        <x:v>Unsuitable Desk or Chair</x:v>
      </x:c>
      <x:c r="G356" s="35" t="n">
        <x:v>20</x:v>
      </x:c>
      <x:c r="H356" s="35" t="n">
        <x:v>2</x:v>
      </x:c>
      <x:c r="I356" s="35" t="n">
        <x:v>1</x:v>
      </x:c>
      <x:c r="J356" s="35" t="n">
        <x:v>1</x:v>
      </x:c>
      <x:c r="K356" s="36" t="n">
        <x:f>IF(AND(S356=TRUE,ISNUMBER(I356),I356=INT(I356),I356&gt;=1,I356&lt;=3,ISNUMBER(J356),J356=INT(J356),J356&gt;=1,J356&lt;=3),I356*J356,"")</x:f>
        <x:v>1</x:v>
      </x:c>
      <x:c r="L356" s="26" t="str">
        <x:f>IF(K356="","",IF(K356&lt;=2,"LOW",IF(K356&lt;=4,"MEDIUM","HIGH")))</x:f>
        <x:v>LOW</x:v>
      </x:c>
      <x:c r="M356" s="25" t="str">
        <x:v>Task rotation, adjustable equipment, team lifting, and safe-patient-handling guidance are used.</x:v>
      </x:c>
      <x:c r="N356" s="25" t="str"/>
      <x:c r="O356" s="30" t="b">
        <x:v>0</x:v>
      </x:c>
      <x:c r="P356" s="27" t="str">
        <x:v>ERGONOMIC</x:v>
      </x:c>
      <x:c r="Q356" s="27" t="str">
        <x:v>unsuitable_desk_chair</x:v>
      </x:c>
      <x:c r="R356" s="27" t="str"/>
      <x:c r="S356" s="31" t="b">
        <x:v>1</x:v>
      </x:c>
      <x:c r="T356" s="27" t="str">
        <x:v>ASM-2026-052</x:v>
      </x:c>
      <x:c r="U356" s="27" t="str">
        <x:v>HZ-2026-052-02</x:v>
      </x:c>
    </x:row>
    <x:row r="357">
      <x:c r="A357" s="28" t="str">
        <x:v>Surgical ICU</x:v>
      </x:c>
      <x:c r="B357" s="37" t="n">
        <x:v>46119</x:v>
      </x:c>
      <x:c r="C357" s="26" t="str">
        <x:v>RAH01-2026-052</x:v>
      </x:c>
      <x:c r="D357" s="36" t="n">
        <x:v>3</x:v>
      </x:c>
      <x:c r="E357" s="26" t="str">
        <x:v>Ergonomic Hazards</x:v>
      </x:c>
      <x:c r="F357" s="26" t="str">
        <x:v>Repetitive Tasks</x:v>
      </x:c>
      <x:c r="G357" s="35" t="n">
        <x:v>1</x:v>
      </x:c>
      <x:c r="H357" s="35" t="n">
        <x:v>0</x:v>
      </x:c>
      <x:c r="I357" s="35" t="n">
        <x:v>2</x:v>
      </x:c>
      <x:c r="J357" s="35" t="n">
        <x:v>1</x:v>
      </x:c>
      <x:c r="K357" s="36" t="n">
        <x:f>IF(AND(S357=TRUE,ISNUMBER(I357),I357=INT(I357),I357&gt;=1,I357&lt;=3,ISNUMBER(J357),J357=INT(J357),J357&gt;=1,J357&lt;=3),I357*J357,"")</x:f>
        <x:v>2</x:v>
      </x:c>
      <x:c r="L357" s="26" t="str">
        <x:f>IF(K357="","",IF(K357&lt;=2,"LOW",IF(K357&lt;=4,"MEDIUM","HIGH")))</x:f>
        <x:v>LOW</x:v>
      </x:c>
      <x:c r="M357" s="25" t="str">
        <x:v>Task rotation, adjustable equipment, team lifting, and safe-patient-handling guidance are used.</x:v>
      </x:c>
      <x:c r="N357" s="25" t="str"/>
      <x:c r="O357" s="30" t="b">
        <x:v>0</x:v>
      </x:c>
      <x:c r="P357" s="27" t="str">
        <x:v>ERGONOMIC</x:v>
      </x:c>
      <x:c r="Q357" s="27" t="str">
        <x:v>repetitive_tasks</x:v>
      </x:c>
      <x:c r="R357" s="27" t="str"/>
      <x:c r="S357" s="31" t="b">
        <x:v>1</x:v>
      </x:c>
      <x:c r="T357" s="27" t="str">
        <x:v>ASM-2026-052</x:v>
      </x:c>
      <x:c r="U357" s="27" t="str">
        <x:v>HZ-2026-052-03</x:v>
      </x:c>
    </x:row>
    <x:row r="358">
      <x:c r="A358" s="28" t="str">
        <x:v>Surgical ICU</x:v>
      </x:c>
      <x:c r="B358" s="37" t="n">
        <x:v>46119</x:v>
      </x:c>
      <x:c r="C358" s="26" t="str">
        <x:v>RAH01-2026-052</x:v>
      </x:c>
      <x:c r="D358" s="36" t="n">
        <x:v>4</x:v>
      </x:c>
      <x:c r="E358" s="26" t="str">
        <x:v>Psychosocial Hazards</x:v>
      </x:c>
      <x:c r="F358" s="26" t="str">
        <x:v>Work Stress</x:v>
      </x:c>
      <x:c r="G358" s="35" t="n">
        <x:v>4</x:v>
      </x:c>
      <x:c r="H358" s="35" t="n">
        <x:v>1</x:v>
      </x:c>
      <x:c r="I358" s="35" t="n">
        <x:v>1</x:v>
      </x:c>
      <x:c r="J358" s="35" t="n">
        <x:v>2</x:v>
      </x:c>
      <x:c r="K358" s="36" t="n">
        <x:f>IF(AND(S358=TRUE,ISNUMBER(I358),I358=INT(I358),I358&gt;=1,I358&lt;=3,ISNUMBER(J358),J358=INT(J358),J358&gt;=1,J358&lt;=3),I358*J358,"")</x:f>
        <x:v>2</x:v>
      </x:c>
      <x:c r="L358" s="26" t="str">
        <x:f>IF(K358="","",IF(K358&lt;=2,"LOW",IF(K358&lt;=4,"MEDIUM","HIGH")))</x:f>
        <x:v>LOW</x:v>
      </x:c>
      <x:c r="M358" s="25" t="str">
        <x:v>Shift planning, escalation pathways, security support, breaks, and supervisor check-ins are available.</x:v>
      </x:c>
      <x:c r="N358" s="25" t="str"/>
      <x:c r="O358" s="30" t="b">
        <x:v>0</x:v>
      </x:c>
      <x:c r="P358" s="27" t="str">
        <x:v>PSYCHOSOCIAL</x:v>
      </x:c>
      <x:c r="Q358" s="27" t="str">
        <x:v>work_stress</x:v>
      </x:c>
      <x:c r="R358" s="27" t="str"/>
      <x:c r="S358" s="31" t="b">
        <x:v>1</x:v>
      </x:c>
      <x:c r="T358" s="27" t="str">
        <x:v>ASM-2026-052</x:v>
      </x:c>
      <x:c r="U358" s="27" t="str">
        <x:v>HZ-2026-052-04</x:v>
      </x:c>
    </x:row>
    <x:row r="359">
      <x:c r="A359" s="28" t="str">
        <x:v>Surgical ICU</x:v>
      </x:c>
      <x:c r="B359" s="37" t="n">
        <x:v>46119</x:v>
      </x:c>
      <x:c r="C359" s="26" t="str">
        <x:v>RAH01-2026-052</x:v>
      </x:c>
      <x:c r="D359" s="36" t="n">
        <x:v>5</x:v>
      </x:c>
      <x:c r="E359" s="26" t="str">
        <x:v>Physical Hazards</x:v>
      </x:c>
      <x:c r="F359" s="26" t="str">
        <x:v>Lighting</x:v>
      </x:c>
      <x:c r="G359" s="35" t="n">
        <x:v>7</x:v>
      </x:c>
      <x:c r="H359" s="35" t="n">
        <x:v>2</x:v>
      </x:c>
      <x:c r="I359" s="35" t="n">
        <x:v>1</x:v>
      </x:c>
      <x:c r="J359" s="35" t="n">
        <x:v>1</x:v>
      </x:c>
      <x:c r="K359" s="36" t="n">
        <x:f>IF(AND(S359=TRUE,ISNUMBER(I359),I359=INT(I359),I359&gt;=1,I359&lt;=3,ISNUMBER(J359),J359=INT(J359),J359&gt;=1,J359&lt;=3),I359*J359,"")</x:f>
        <x:v>1</x:v>
      </x:c>
      <x:c r="L359" s="26" t="str">
        <x:f>IF(K359="","",IF(K359&lt;=2,"LOW",IF(K359&lt;=4,"MEDIUM","HIGH")))</x:f>
        <x:v>LOW</x:v>
      </x:c>
      <x:c r="M359" s="25" t="str">
        <x:v>Engineering controls, preventive maintenance, posted limits, and periodic exposure monitoring are in place.</x:v>
      </x:c>
      <x:c r="N359" s="25" t="str"/>
      <x:c r="O359" s="30" t="b">
        <x:v>0</x:v>
      </x:c>
      <x:c r="P359" s="27" t="str">
        <x:v>PHYSICAL</x:v>
      </x:c>
      <x:c r="Q359" s="27" t="str">
        <x:v>lighting</x:v>
      </x:c>
      <x:c r="R359" s="27" t="str"/>
      <x:c r="S359" s="31" t="b">
        <x:v>1</x:v>
      </x:c>
      <x:c r="T359" s="27" t="str">
        <x:v>ASM-2026-052</x:v>
      </x:c>
      <x:c r="U359" s="27" t="str">
        <x:v>HZ-2026-052-05</x:v>
      </x:c>
    </x:row>
    <x:row r="360">
      <x:c r="A360" s="28" t="str">
        <x:v>Surgical ICU</x:v>
      </x:c>
      <x:c r="B360" s="37" t="n">
        <x:v>46119</x:v>
      </x:c>
      <x:c r="C360" s="26" t="str">
        <x:v>RAH01-2026-052</x:v>
      </x:c>
      <x:c r="D360" s="36" t="n">
        <x:v>6</x:v>
      </x:c>
      <x:c r="E360" s="26" t="str">
        <x:v>Indoor Air Quality Hazards</x:v>
      </x:c>
      <x:c r="F360" s="26" t="str">
        <x:v>Dust</x:v>
      </x:c>
      <x:c r="G360" s="35" t="n">
        <x:v>10</x:v>
      </x:c>
      <x:c r="H360" s="35" t="n">
        <x:v>0</x:v>
      </x:c>
      <x:c r="I360" s="35" t="n">
        <x:v>2</x:v>
      </x:c>
      <x:c r="J360" s="35" t="n">
        <x:v>1</x:v>
      </x:c>
      <x:c r="K360" s="36" t="n">
        <x:f>IF(AND(S360=TRUE,ISNUMBER(I360),I360=INT(I360),I360&gt;=1,I360&lt;=3,ISNUMBER(J360),J360=INT(J360),J360&gt;=1,J360&lt;=3),I360*J360,"")</x:f>
        <x:v>2</x:v>
      </x:c>
      <x:c r="L360" s="26" t="str">
        <x:f>IF(K360="","",IF(K360&lt;=2,"LOW",IF(K360&lt;=4,"MEDIUM","HIGH")))</x:f>
        <x:v>LOW</x:v>
      </x:c>
      <x:c r="M360" s="25" t="str">
        <x:v>Ventilation, cleaning, occupancy management, and environmental inspection are performed.</x:v>
      </x:c>
      <x:c r="N360" s="25" t="str"/>
      <x:c r="O360" s="30" t="b">
        <x:v>0</x:v>
      </x:c>
      <x:c r="P360" s="27" t="str">
        <x:v>INDOOR_AIR_QUALITY</x:v>
      </x:c>
      <x:c r="Q360" s="27" t="str">
        <x:v>dust</x:v>
      </x:c>
      <x:c r="R360" s="27" t="str"/>
      <x:c r="S360" s="31" t="b">
        <x:v>1</x:v>
      </x:c>
      <x:c r="T360" s="27" t="str">
        <x:v>ASM-2026-052</x:v>
      </x:c>
      <x:c r="U360" s="27" t="str">
        <x:v>HZ-2026-052-06</x:v>
      </x:c>
    </x:row>
    <x:row r="361">
      <x:c r="A361" s="28" t="str">
        <x:v>Thai Traditional Medicine</x:v>
      </x:c>
      <x:c r="B361" s="37" t="n">
        <x:v>46152</x:v>
      </x:c>
      <x:c r="C361" s="26" t="str">
        <x:v>RAH01-2026-053</x:v>
      </x:c>
      <x:c r="D361" s="36" t="n">
        <x:v>1</x:v>
      </x:c>
      <x:c r="E361" s="26" t="str">
        <x:v>Ergonomic Hazards</x:v>
      </x:c>
      <x:c r="F361" s="26" t="str">
        <x:v>Prolonged Standing or Sitting</x:v>
      </x:c>
      <x:c r="G361" s="35" t="n">
        <x:v>20</x:v>
      </x:c>
      <x:c r="H361" s="35" t="n">
        <x:v>2</x:v>
      </x:c>
      <x:c r="I361" s="35" t="n">
        <x:v>2</x:v>
      </x:c>
      <x:c r="J361" s="35" t="n">
        <x:v>1</x:v>
      </x:c>
      <x:c r="K361" s="36" t="n">
        <x:f>IF(AND(S361=TRUE,ISNUMBER(I361),I361=INT(I361),I361&gt;=1,I361&lt;=3,ISNUMBER(J361),J361=INT(J361),J361&gt;=1,J361&lt;=3),I361*J361,"")</x:f>
        <x:v>2</x:v>
      </x:c>
      <x:c r="L361" s="26" t="str">
        <x:f>IF(K361="","",IF(K361&lt;=2,"LOW",IF(K361&lt;=4,"MEDIUM","HIGH")))</x:f>
        <x:v>LOW</x:v>
      </x:c>
      <x:c r="M361" s="25" t="str">
        <x:v>Task rotation, adjustable equipment, team lifting, and safe-patient-handling guidance are used.</x:v>
      </x:c>
      <x:c r="N361" s="25" t="str"/>
      <x:c r="O361" s="30" t="b">
        <x:v>0</x:v>
      </x:c>
      <x:c r="P361" s="27" t="str">
        <x:v>ERGONOMIC</x:v>
      </x:c>
      <x:c r="Q361" s="27" t="str">
        <x:v>prolonged_standing_sitting</x:v>
      </x:c>
      <x:c r="R361" s="27" t="str"/>
      <x:c r="S361" s="31" t="b">
        <x:v>1</x:v>
      </x:c>
      <x:c r="T361" s="27" t="str">
        <x:v>ASM-2026-053</x:v>
      </x:c>
      <x:c r="U361" s="27" t="str">
        <x:v>HZ-2026-053-01</x:v>
      </x:c>
    </x:row>
    <x:row r="362">
      <x:c r="A362" s="28" t="str">
        <x:v>Thai Traditional Medicine</x:v>
      </x:c>
      <x:c r="B362" s="37" t="n">
        <x:v>46152</x:v>
      </x:c>
      <x:c r="C362" s="26" t="str">
        <x:v>RAH01-2026-053</x:v>
      </x:c>
      <x:c r="D362" s="36" t="n">
        <x:v>2</x:v>
      </x:c>
      <x:c r="E362" s="26" t="str">
        <x:v>Ergonomic Hazards</x:v>
      </x:c>
      <x:c r="F362" s="26" t="str">
        <x:v>Unsuitable Desk or Chair</x:v>
      </x:c>
      <x:c r="G362" s="35" t="n">
        <x:v>23</x:v>
      </x:c>
      <x:c r="H362" s="35" t="n">
        <x:v>0</x:v>
      </x:c>
      <x:c r="I362" s="35" t="n">
        <x:v>1</x:v>
      </x:c>
      <x:c r="J362" s="35" t="n">
        <x:v>2</x:v>
      </x:c>
      <x:c r="K362" s="36" t="n">
        <x:f>IF(AND(S362=TRUE,ISNUMBER(I362),I362=INT(I362),I362&gt;=1,I362&lt;=3,ISNUMBER(J362),J362=INT(J362),J362&gt;=1,J362&lt;=3),I362*J362,"")</x:f>
        <x:v>2</x:v>
      </x:c>
      <x:c r="L362" s="26" t="str">
        <x:f>IF(K362="","",IF(K362&lt;=2,"LOW",IF(K362&lt;=4,"MEDIUM","HIGH")))</x:f>
        <x:v>LOW</x:v>
      </x:c>
      <x:c r="M362" s="25" t="str">
        <x:v>Task rotation, adjustable equipment, team lifting, and safe-patient-handling guidance are used.</x:v>
      </x:c>
      <x:c r="N362" s="25" t="str"/>
      <x:c r="O362" s="30" t="b">
        <x:v>0</x:v>
      </x:c>
      <x:c r="P362" s="27" t="str">
        <x:v>ERGONOMIC</x:v>
      </x:c>
      <x:c r="Q362" s="27" t="str">
        <x:v>unsuitable_desk_chair</x:v>
      </x:c>
      <x:c r="R362" s="27" t="str"/>
      <x:c r="S362" s="31" t="b">
        <x:v>1</x:v>
      </x:c>
      <x:c r="T362" s="27" t="str">
        <x:v>ASM-2026-053</x:v>
      </x:c>
      <x:c r="U362" s="27" t="str">
        <x:v>HZ-2026-053-02</x:v>
      </x:c>
    </x:row>
    <x:row r="363">
      <x:c r="A363" s="28" t="str">
        <x:v>Thai Traditional Medicine</x:v>
      </x:c>
      <x:c r="B363" s="37" t="n">
        <x:v>46152</x:v>
      </x:c>
      <x:c r="C363" s="26" t="str">
        <x:v>RAH01-2026-053</x:v>
      </x:c>
      <x:c r="D363" s="36" t="n">
        <x:v>3</x:v>
      </x:c>
      <x:c r="E363" s="26" t="str">
        <x:v>Ergonomic Hazards</x:v>
      </x:c>
      <x:c r="F363" s="26" t="str">
        <x:v>Repetitive Tasks</x:v>
      </x:c>
      <x:c r="G363" s="35" t="n">
        <x:v>26</x:v>
      </x:c>
      <x:c r="H363" s="35" t="n">
        <x:v>1</x:v>
      </x:c>
      <x:c r="I363" s="35" t="n">
        <x:v>1</x:v>
      </x:c>
      <x:c r="J363" s="35" t="n">
        <x:v>1</x:v>
      </x:c>
      <x:c r="K363" s="36" t="n">
        <x:f>IF(AND(S363=TRUE,ISNUMBER(I363),I363=INT(I363),I363&gt;=1,I363&lt;=3,ISNUMBER(J363),J363=INT(J363),J363&gt;=1,J363&lt;=3),I363*J363,"")</x:f>
        <x:v>1</x:v>
      </x:c>
      <x:c r="L363" s="26" t="str">
        <x:f>IF(K363="","",IF(K363&lt;=2,"LOW",IF(K363&lt;=4,"MEDIUM","HIGH")))</x:f>
        <x:v>LOW</x:v>
      </x:c>
      <x:c r="M363" s="25" t="str">
        <x:v>Task rotation, adjustable equipment, team lifting, and safe-patient-handling guidance are used.</x:v>
      </x:c>
      <x:c r="N363" s="25" t="str"/>
      <x:c r="O363" s="30" t="b">
        <x:v>0</x:v>
      </x:c>
      <x:c r="P363" s="27" t="str">
        <x:v>ERGONOMIC</x:v>
      </x:c>
      <x:c r="Q363" s="27" t="str">
        <x:v>repetitive_tasks</x:v>
      </x:c>
      <x:c r="R363" s="27" t="str"/>
      <x:c r="S363" s="31" t="b">
        <x:v>1</x:v>
      </x:c>
      <x:c r="T363" s="27" t="str">
        <x:v>ASM-2026-053</x:v>
      </x:c>
      <x:c r="U363" s="27" t="str">
        <x:v>HZ-2026-053-03</x:v>
      </x:c>
    </x:row>
    <x:row r="364">
      <x:c r="A364" s="28" t="str">
        <x:v>Thai Traditional Medicine</x:v>
      </x:c>
      <x:c r="B364" s="37" t="n">
        <x:v>46152</x:v>
      </x:c>
      <x:c r="C364" s="26" t="str">
        <x:v>RAH01-2026-053</x:v>
      </x:c>
      <x:c r="D364" s="36" t="n">
        <x:v>4</x:v>
      </x:c>
      <x:c r="E364" s="26" t="str">
        <x:v>Psychosocial Hazards</x:v>
      </x:c>
      <x:c r="F364" s="26" t="str">
        <x:v>Work Stress</x:v>
      </x:c>
      <x:c r="G364" s="35" t="n">
        <x:v>29</x:v>
      </x:c>
      <x:c r="H364" s="35" t="n">
        <x:v>2</x:v>
      </x:c>
      <x:c r="I364" s="35" t="n">
        <x:v>2</x:v>
      </x:c>
      <x:c r="J364" s="35" t="n">
        <x:v>1</x:v>
      </x:c>
      <x:c r="K364" s="36" t="n">
        <x:f>IF(AND(S364=TRUE,ISNUMBER(I364),I364=INT(I364),I364&gt;=1,I364&lt;=3,ISNUMBER(J364),J364=INT(J364),J364&gt;=1,J364&lt;=3),I364*J364,"")</x:f>
        <x:v>2</x:v>
      </x:c>
      <x:c r="L364" s="26" t="str">
        <x:f>IF(K364="","",IF(K364&lt;=2,"LOW",IF(K364&lt;=4,"MEDIUM","HIGH")))</x:f>
        <x:v>LOW</x:v>
      </x:c>
      <x:c r="M364" s="25" t="str">
        <x:v>Shift planning, escalation pathways, security support, breaks, and supervisor check-ins are available.</x:v>
      </x:c>
      <x:c r="N364" s="25" t="str"/>
      <x:c r="O364" s="30" t="b">
        <x:v>0</x:v>
      </x:c>
      <x:c r="P364" s="27" t="str">
        <x:v>PSYCHOSOCIAL</x:v>
      </x:c>
      <x:c r="Q364" s="27" t="str">
        <x:v>work_stress</x:v>
      </x:c>
      <x:c r="R364" s="27" t="str"/>
      <x:c r="S364" s="31" t="b">
        <x:v>1</x:v>
      </x:c>
      <x:c r="T364" s="27" t="str">
        <x:v>ASM-2026-053</x:v>
      </x:c>
      <x:c r="U364" s="27" t="str">
        <x:v>HZ-2026-053-04</x:v>
      </x:c>
    </x:row>
    <x:row r="365">
      <x:c r="A365" s="28" t="str">
        <x:v>Thai Traditional Medicine</x:v>
      </x:c>
      <x:c r="B365" s="37" t="n">
        <x:v>46152</x:v>
      </x:c>
      <x:c r="C365" s="26" t="str">
        <x:v>RAH01-2026-053</x:v>
      </x:c>
      <x:c r="D365" s="36" t="n">
        <x:v>5</x:v>
      </x:c>
      <x:c r="E365" s="26" t="str">
        <x:v>Physical Hazards</x:v>
      </x:c>
      <x:c r="F365" s="26" t="str">
        <x:v>Lighting</x:v>
      </x:c>
      <x:c r="G365" s="35" t="n">
        <x:v>3</x:v>
      </x:c>
      <x:c r="H365" s="35" t="n">
        <x:v>0</x:v>
      </x:c>
      <x:c r="I365" s="35" t="n">
        <x:v>1</x:v>
      </x:c>
      <x:c r="J365" s="35" t="n">
        <x:v>2</x:v>
      </x:c>
      <x:c r="K365" s="36" t="n">
        <x:f>IF(AND(S365=TRUE,ISNUMBER(I365),I365=INT(I365),I365&gt;=1,I365&lt;=3,ISNUMBER(J365),J365=INT(J365),J365&gt;=1,J365&lt;=3),I365*J365,"")</x:f>
        <x:v>2</x:v>
      </x:c>
      <x:c r="L365" s="26" t="str">
        <x:f>IF(K365="","",IF(K365&lt;=2,"LOW",IF(K365&lt;=4,"MEDIUM","HIGH")))</x:f>
        <x:v>LOW</x:v>
      </x:c>
      <x:c r="M365" s="25" t="str">
        <x:v>Engineering controls, preventive maintenance, posted limits, and periodic exposure monitoring are in place.</x:v>
      </x:c>
      <x:c r="N365" s="25" t="str"/>
      <x:c r="O365" s="30" t="b">
        <x:v>0</x:v>
      </x:c>
      <x:c r="P365" s="27" t="str">
        <x:v>PHYSICAL</x:v>
      </x:c>
      <x:c r="Q365" s="27" t="str">
        <x:v>lighting</x:v>
      </x:c>
      <x:c r="R365" s="27" t="str"/>
      <x:c r="S365" s="31" t="b">
        <x:v>1</x:v>
      </x:c>
      <x:c r="T365" s="27" t="str">
        <x:v>ASM-2026-053</x:v>
      </x:c>
      <x:c r="U365" s="27" t="str">
        <x:v>HZ-2026-053-05</x:v>
      </x:c>
    </x:row>
    <x:row r="366">
      <x:c r="A366" s="28" t="str">
        <x:v>Thai Traditional Medicine</x:v>
      </x:c>
      <x:c r="B366" s="37" t="n">
        <x:v>46152</x:v>
      </x:c>
      <x:c r="C366" s="26" t="str">
        <x:v>RAH01-2026-053</x:v>
      </x:c>
      <x:c r="D366" s="36" t="n">
        <x:v>6</x:v>
      </x:c>
      <x:c r="E366" s="26" t="str">
        <x:v>Fire and Disaster Hazards</x:v>
      </x:c>
      <x:c r="F366" s="26" t="str">
        <x:v>Electrical Equipment</x:v>
      </x:c>
      <x:c r="G366" s="35" t="n">
        <x:v>6</x:v>
      </x:c>
      <x:c r="H366" s="35" t="n">
        <x:v>1</x:v>
      </x:c>
      <x:c r="I366" s="35" t="n">
        <x:v>1</x:v>
      </x:c>
      <x:c r="J366" s="35" t="n">
        <x:v>1</x:v>
      </x:c>
      <x:c r="K366" s="36" t="n">
        <x:f>IF(AND(S366=TRUE,ISNUMBER(I366),I366=INT(I366),I366&gt;=1,I366&lt;=3,ISNUMBER(J366),J366=INT(J366),J366&gt;=1,J366&lt;=3),I366*J366,"")</x:f>
        <x:v>1</x:v>
      </x:c>
      <x:c r="L366" s="26" t="str">
        <x:f>IF(K366="","",IF(K366&lt;=2,"LOW",IF(K366&lt;=4,"MEDIUM","HIGH")))</x:f>
        <x:v>LOW</x:v>
      </x:c>
      <x:c r="M366" s="25" t="str">
        <x:v>Electrical inspection, isolation procedures, alarms, extinguishers, and emergency response plans are maintained.</x:v>
      </x:c>
      <x:c r="N366" s="25" t="str"/>
      <x:c r="O366" s="30" t="b">
        <x:v>0</x:v>
      </x:c>
      <x:c r="P366" s="27" t="str">
        <x:v>FIRE_DISASTER</x:v>
      </x:c>
      <x:c r="Q366" s="27" t="str">
        <x:v>electrical_equipment</x:v>
      </x:c>
      <x:c r="R366" s="27" t="str"/>
      <x:c r="S366" s="31" t="b">
        <x:v>1</x:v>
      </x:c>
      <x:c r="T366" s="27" t="str">
        <x:v>ASM-2026-053</x:v>
      </x:c>
      <x:c r="U366" s="27" t="str">
        <x:v>HZ-2026-053-06</x:v>
      </x:c>
    </x:row>
    <x:row r="367">
      <x:c r="A367" s="28" t="str">
        <x:v>Thoracic Medicine</x:v>
      </x:c>
      <x:c r="B367" s="37" t="n">
        <x:v>46186</x:v>
      </x:c>
      <x:c r="C367" s="26" t="str">
        <x:v>RAH01-2026-054</x:v>
      </x:c>
      <x:c r="D367" s="36" t="n">
        <x:v>1</x:v>
      </x:c>
      <x:c r="E367" s="26" t="str">
        <x:v>Ergonomic Hazards</x:v>
      </x:c>
      <x:c r="F367" s="26" t="str">
        <x:v>Prolonged Standing or Sitting</x:v>
      </x:c>
      <x:c r="G367" s="35" t="n">
        <x:v>1</x:v>
      </x:c>
      <x:c r="H367" s="35" t="n">
        <x:v>0</x:v>
      </x:c>
      <x:c r="I367" s="35" t="n">
        <x:v>1</x:v>
      </x:c>
      <x:c r="J367" s="35" t="n">
        <x:v>3</x:v>
      </x:c>
      <x:c r="K367" s="36" t="n">
        <x:f>IF(AND(S367=TRUE,ISNUMBER(I367),I367=INT(I367),I367&gt;=1,I367&lt;=3,ISNUMBER(J367),J367=INT(J367),J367&gt;=1,J367&lt;=3),I367*J367,"")</x:f>
        <x:v>3</x:v>
      </x:c>
      <x:c r="L367" s="26" t="str">
        <x:f>IF(K367="","",IF(K367&lt;=2,"LOW",IF(K367&lt;=4,"MEDIUM","HIGH")))</x:f>
        <x:v>MEDIUM</x:v>
      </x:c>
      <x:c r="M367" s="25" t="str">
        <x:v>Task rotation, adjustable equipment, team lifting, and safe-patient-handling guidance are used.</x:v>
      </x:c>
      <x:c r="N367" s="25" t="str">
        <x:v>Complete an ergonomic task assessment and implement equipment or workflow changes to reduce force and repetition.</x:v>
      </x:c>
      <x:c r="O367" s="30" t="b">
        <x:v>0</x:v>
      </x:c>
      <x:c r="P367" s="27" t="str">
        <x:v>ERGONOMIC</x:v>
      </x:c>
      <x:c r="Q367" s="27" t="str">
        <x:v>prolonged_standing_sitting</x:v>
      </x:c>
      <x:c r="R367" s="27" t="str"/>
      <x:c r="S367" s="31" t="b">
        <x:v>1</x:v>
      </x:c>
      <x:c r="T367" s="27" t="str">
        <x:v>ASM-2026-054</x:v>
      </x:c>
      <x:c r="U367" s="27" t="str">
        <x:v>HZ-2026-054-01</x:v>
      </x:c>
    </x:row>
    <x:row r="368">
      <x:c r="A368" s="28" t="str">
        <x:v>Thoracic Medicine</x:v>
      </x:c>
      <x:c r="B368" s="37" t="n">
        <x:v>46186</x:v>
      </x:c>
      <x:c r="C368" s="26" t="str">
        <x:v>RAH01-2026-054</x:v>
      </x:c>
      <x:c r="D368" s="36" t="n">
        <x:v>2</x:v>
      </x:c>
      <x:c r="E368" s="26" t="str">
        <x:v>Ergonomic Hazards</x:v>
      </x:c>
      <x:c r="F368" s="26" t="str">
        <x:v>Unsuitable Desk or Chair</x:v>
      </x:c>
      <x:c r="G368" s="35" t="n">
        <x:v>4</x:v>
      </x:c>
      <x:c r="H368" s="35" t="n">
        <x:v>1</x:v>
      </x:c>
      <x:c r="I368" s="35" t="n">
        <x:v>3</x:v>
      </x:c>
      <x:c r="J368" s="35" t="n">
        <x:v>1</x:v>
      </x:c>
      <x:c r="K368" s="36" t="n">
        <x:f>IF(AND(S368=TRUE,ISNUMBER(I368),I368=INT(I368),I368&gt;=1,I368&lt;=3,ISNUMBER(J368),J368=INT(J368),J368&gt;=1,J368&lt;=3),I368*J368,"")</x:f>
        <x:v>3</x:v>
      </x:c>
      <x:c r="L368" s="26" t="str">
        <x:f>IF(K368="","",IF(K368&lt;=2,"LOW",IF(K368&lt;=4,"MEDIUM","HIGH")))</x:f>
        <x:v>MEDIUM</x:v>
      </x:c>
      <x:c r="M368" s="25" t="str">
        <x:v>Task rotation, adjustable equipment, team lifting, and safe-patient-handling guidance are used.</x:v>
      </x:c>
      <x:c r="N368" s="25" t="str">
        <x:v>Complete an ergonomic task assessment and implement equipment or workflow changes to reduce force and repetition.</x:v>
      </x:c>
      <x:c r="O368" s="30" t="b">
        <x:v>0</x:v>
      </x:c>
      <x:c r="P368" s="27" t="str">
        <x:v>ERGONOMIC</x:v>
      </x:c>
      <x:c r="Q368" s="27" t="str">
        <x:v>unsuitable_desk_chair</x:v>
      </x:c>
      <x:c r="R368" s="27" t="str"/>
      <x:c r="S368" s="31" t="b">
        <x:v>1</x:v>
      </x:c>
      <x:c r="T368" s="27" t="str">
        <x:v>ASM-2026-054</x:v>
      </x:c>
      <x:c r="U368" s="27" t="str">
        <x:v>HZ-2026-054-02</x:v>
      </x:c>
    </x:row>
    <x:row r="369">
      <x:c r="A369" s="28" t="str">
        <x:v>Thoracic Medicine</x:v>
      </x:c>
      <x:c r="B369" s="37" t="n">
        <x:v>46186</x:v>
      </x:c>
      <x:c r="C369" s="26" t="str">
        <x:v>RAH01-2026-054</x:v>
      </x:c>
      <x:c r="D369" s="36" t="n">
        <x:v>3</x:v>
      </x:c>
      <x:c r="E369" s="26" t="str">
        <x:v>Ergonomic Hazards</x:v>
      </x:c>
      <x:c r="F369" s="26" t="str">
        <x:v>Repetitive Tasks</x:v>
      </x:c>
      <x:c r="G369" s="35" t="n">
        <x:v>7</x:v>
      </x:c>
      <x:c r="H369" s="35" t="n">
        <x:v>2</x:v>
      </x:c>
      <x:c r="I369" s="35" t="n">
        <x:v>2</x:v>
      </x:c>
      <x:c r="J369" s="35" t="n">
        <x:v>2</x:v>
      </x:c>
      <x:c r="K369" s="36" t="n">
        <x:f>IF(AND(S369=TRUE,ISNUMBER(I369),I369=INT(I369),I369&gt;=1,I369&lt;=3,ISNUMBER(J369),J369=INT(J369),J369&gt;=1,J369&lt;=3),I369*J369,"")</x:f>
        <x:v>4</x:v>
      </x:c>
      <x:c r="L369" s="26" t="str">
        <x:f>IF(K369="","",IF(K369&lt;=2,"LOW",IF(K369&lt;=4,"MEDIUM","HIGH")))</x:f>
        <x:v>MEDIUM</x:v>
      </x:c>
      <x:c r="M369" s="25" t="str">
        <x:v>Task rotation, adjustable equipment, team lifting, and safe-patient-handling guidance are used.</x:v>
      </x:c>
      <x:c r="N369" s="25" t="str">
        <x:v>Complete an ergonomic task assessment and implement equipment or workflow changes to reduce force and repetition.</x:v>
      </x:c>
      <x:c r="O369" s="30" t="b">
        <x:v>0</x:v>
      </x:c>
      <x:c r="P369" s="27" t="str">
        <x:v>ERGONOMIC</x:v>
      </x:c>
      <x:c r="Q369" s="27" t="str">
        <x:v>repetitive_tasks</x:v>
      </x:c>
      <x:c r="R369" s="27" t="str"/>
      <x:c r="S369" s="31" t="b">
        <x:v>1</x:v>
      </x:c>
      <x:c r="T369" s="27" t="str">
        <x:v>ASM-2026-054</x:v>
      </x:c>
      <x:c r="U369" s="27" t="str">
        <x:v>HZ-2026-054-03</x:v>
      </x:c>
    </x:row>
    <x:row r="370">
      <x:c r="A370" s="28" t="str">
        <x:v>Thoracic Medicine</x:v>
      </x:c>
      <x:c r="B370" s="37" t="n">
        <x:v>46186</x:v>
      </x:c>
      <x:c r="C370" s="26" t="str">
        <x:v>RAH01-2026-054</x:v>
      </x:c>
      <x:c r="D370" s="36" t="n">
        <x:v>4</x:v>
      </x:c>
      <x:c r="E370" s="26" t="str">
        <x:v>Psychosocial Hazards</x:v>
      </x:c>
      <x:c r="F370" s="26" t="str">
        <x:v>Work Stress</x:v>
      </x:c>
      <x:c r="G370" s="35" t="n">
        <x:v>10</x:v>
      </x:c>
      <x:c r="H370" s="35" t="n">
        <x:v>0</x:v>
      </x:c>
      <x:c r="I370" s="35" t="n">
        <x:v>1</x:v>
      </x:c>
      <x:c r="J370" s="35" t="n">
        <x:v>3</x:v>
      </x:c>
      <x:c r="K370" s="36" t="n">
        <x:f>IF(AND(S370=TRUE,ISNUMBER(I370),I370=INT(I370),I370&gt;=1,I370&lt;=3,ISNUMBER(J370),J370=INT(J370),J370&gt;=1,J370&lt;=3),I370*J370,"")</x:f>
        <x:v>3</x:v>
      </x:c>
      <x:c r="L370" s="26" t="str">
        <x:f>IF(K370="","",IF(K370&lt;=2,"LOW",IF(K370&lt;=4,"MEDIUM","HIGH")))</x:f>
        <x:v>MEDIUM</x:v>
      </x:c>
      <x:c r="M370" s="25" t="str">
        <x:v>Shift planning, escalation pathways, security support, breaks, and supervisor check-ins are available.</x:v>
      </x:c>
      <x:c r="N370" s="25" t="str">
        <x:v>Review staffing, breaks, escalation support, and violence-prevention controls with the department manager.</x:v>
      </x:c>
      <x:c r="O370" s="30" t="b">
        <x:v>0</x:v>
      </x:c>
      <x:c r="P370" s="27" t="str">
        <x:v>PSYCHOSOCIAL</x:v>
      </x:c>
      <x:c r="Q370" s="27" t="str">
        <x:v>work_stress</x:v>
      </x:c>
      <x:c r="R370" s="27" t="str"/>
      <x:c r="S370" s="31" t="b">
        <x:v>1</x:v>
      </x:c>
      <x:c r="T370" s="27" t="str">
        <x:v>ASM-2026-054</x:v>
      </x:c>
      <x:c r="U370" s="27" t="str">
        <x:v>HZ-2026-054-04</x:v>
      </x:c>
    </x:row>
    <x:row r="371">
      <x:c r="A371" s="28" t="str">
        <x:v>Thoracic Medicine</x:v>
      </x:c>
      <x:c r="B371" s="37" t="n">
        <x:v>46186</x:v>
      </x:c>
      <x:c r="C371" s="26" t="str">
        <x:v>RAH01-2026-054</x:v>
      </x:c>
      <x:c r="D371" s="36" t="n">
        <x:v>5</x:v>
      </x:c>
      <x:c r="E371" s="26" t="str">
        <x:v>Physical Hazards</x:v>
      </x:c>
      <x:c r="F371" s="26" t="str">
        <x:v>Lighting</x:v>
      </x:c>
      <x:c r="G371" s="35" t="n">
        <x:v>13</x:v>
      </x:c>
      <x:c r="H371" s="35" t="n">
        <x:v>1</x:v>
      </x:c>
      <x:c r="I371" s="35" t="n">
        <x:v>3</x:v>
      </x:c>
      <x:c r="J371" s="35" t="n">
        <x:v>1</x:v>
      </x:c>
      <x:c r="K371" s="36" t="n">
        <x:f>IF(AND(S371=TRUE,ISNUMBER(I371),I371=INT(I371),I371&gt;=1,I371&lt;=3,ISNUMBER(J371),J371=INT(J371),J371&gt;=1,J371&lt;=3),I371*J371,"")</x:f>
        <x:v>3</x:v>
      </x:c>
      <x:c r="L371" s="26" t="str">
        <x:f>IF(K371="","",IF(K371&lt;=2,"LOW",IF(K371&lt;=4,"MEDIUM","HIGH")))</x:f>
        <x:v>MEDIUM</x:v>
      </x:c>
      <x:c r="M371" s="25" t="str">
        <x:v>Engineering controls, preventive maintenance, posted limits, and periodic exposure monitoring are in place.</x:v>
      </x:c>
      <x:c r="N371" s="25" t="str">
        <x:v>Measure exposure against the hospital standard and close any engineering-control gap within 90 days.</x:v>
      </x:c>
      <x:c r="O371" s="30" t="b">
        <x:v>0</x:v>
      </x:c>
      <x:c r="P371" s="27" t="str">
        <x:v>PHYSICAL</x:v>
      </x:c>
      <x:c r="Q371" s="27" t="str">
        <x:v>lighting</x:v>
      </x:c>
      <x:c r="R371" s="27" t="str"/>
      <x:c r="S371" s="31" t="b">
        <x:v>1</x:v>
      </x:c>
      <x:c r="T371" s="27" t="str">
        <x:v>ASM-2026-054</x:v>
      </x:c>
      <x:c r="U371" s="27" t="str">
        <x:v>HZ-2026-054-05</x:v>
      </x:c>
    </x:row>
    <x:row r="372">
      <x:c r="A372" s="28" t="str">
        <x:v>Thoracic Medicine</x:v>
      </x:c>
      <x:c r="B372" s="37" t="n">
        <x:v>46186</x:v>
      </x:c>
      <x:c r="C372" s="26" t="str">
        <x:v>RAH01-2026-054</x:v>
      </x:c>
      <x:c r="D372" s="36" t="n">
        <x:v>6</x:v>
      </x:c>
      <x:c r="E372" s="26" t="str">
        <x:v>Indoor Air Quality Hazards</x:v>
      </x:c>
      <x:c r="F372" s="26" t="str">
        <x:v>Poor Ventilation</x:v>
      </x:c>
      <x:c r="G372" s="35" t="n">
        <x:v>16</x:v>
      </x:c>
      <x:c r="H372" s="35" t="n">
        <x:v>2</x:v>
      </x:c>
      <x:c r="I372" s="35" t="n">
        <x:v>2</x:v>
      </x:c>
      <x:c r="J372" s="35" t="n">
        <x:v>2</x:v>
      </x:c>
      <x:c r="K372" s="36" t="n">
        <x:f>IF(AND(S372=TRUE,ISNUMBER(I372),I372=INT(I372),I372&gt;=1,I372&lt;=3,ISNUMBER(J372),J372=INT(J372),J372&gt;=1,J372&lt;=3),I372*J372,"")</x:f>
        <x:v>4</x:v>
      </x:c>
      <x:c r="L372" s="26" t="str">
        <x:f>IF(K372="","",IF(K372&lt;=2,"LOW",IF(K372&lt;=4,"MEDIUM","HIGH")))</x:f>
        <x:v>MEDIUM</x:v>
      </x:c>
      <x:c r="M372" s="25" t="str">
        <x:v>Ventilation, cleaning, occupancy management, and environmental inspection are performed.</x:v>
      </x:c>
      <x:c r="N372" s="25" t="str">
        <x:v>Inspect ventilation and moisture sources, then document corrective action and environmental recheck.</x:v>
      </x:c>
      <x:c r="O372" s="30" t="b">
        <x:v>0</x:v>
      </x:c>
      <x:c r="P372" s="27" t="str">
        <x:v>INDOOR_AIR_QUALITY</x:v>
      </x:c>
      <x:c r="Q372" s="27" t="str">
        <x:v>poor_ventilation</x:v>
      </x:c>
      <x:c r="R372" s="27" t="str"/>
      <x:c r="S372" s="31" t="b">
        <x:v>1</x:v>
      </x:c>
      <x:c r="T372" s="27" t="str">
        <x:v>ASM-2026-054</x:v>
      </x:c>
      <x:c r="U372" s="27" t="str">
        <x:v>HZ-2026-054-06</x:v>
      </x:c>
    </x:row>
    <x:row r="373">
      <x:c r="A373" s="28" t="str">
        <x:v>Transfusion Medicine</x:v>
      </x:c>
      <x:c r="B373" s="37" t="n">
        <x:v>46038</x:v>
      </x:c>
      <x:c r="C373" s="26" t="str">
        <x:v>RAH01-2026-055</x:v>
      </x:c>
      <x:c r="D373" s="36" t="n">
        <x:v>1</x:v>
      </x:c>
      <x:c r="E373" s="26" t="str">
        <x:v>Ergonomic Hazards</x:v>
      </x:c>
      <x:c r="F373" s="26" t="str">
        <x:v>Prolonged Standing or Sitting</x:v>
      </x:c>
      <x:c r="G373" s="35" t="n">
        <x:v>25</x:v>
      </x:c>
      <x:c r="H373" s="35" t="n">
        <x:v>1</x:v>
      </x:c>
      <x:c r="I373" s="35" t="n">
        <x:v>1</x:v>
      </x:c>
      <x:c r="J373" s="35" t="n">
        <x:v>2</x:v>
      </x:c>
      <x:c r="K373" s="36" t="n">
        <x:f>IF(AND(S373=TRUE,ISNUMBER(I373),I373=INT(I373),I373&gt;=1,I373&lt;=3,ISNUMBER(J373),J373=INT(J373),J373&gt;=1,J373&lt;=3),I373*J373,"")</x:f>
        <x:v>2</x:v>
      </x:c>
      <x:c r="L373" s="26" t="str">
        <x:f>IF(K373="","",IF(K373&lt;=2,"LOW",IF(K373&lt;=4,"MEDIUM","HIGH")))</x:f>
        <x:v>LOW</x:v>
      </x:c>
      <x:c r="M373" s="25" t="str">
        <x:v>Task rotation, adjustable equipment, team lifting, and safe-patient-handling guidance are used.</x:v>
      </x:c>
      <x:c r="N373" s="25" t="str"/>
      <x:c r="O373" s="30" t="b">
        <x:v>0</x:v>
      </x:c>
      <x:c r="P373" s="27" t="str">
        <x:v>ERGONOMIC</x:v>
      </x:c>
      <x:c r="Q373" s="27" t="str">
        <x:v>prolonged_standing_sitting</x:v>
      </x:c>
      <x:c r="R373" s="27" t="str"/>
      <x:c r="S373" s="31" t="b">
        <x:v>1</x:v>
      </x:c>
      <x:c r="T373" s="27" t="str">
        <x:v>ASM-2026-055</x:v>
      </x:c>
      <x:c r="U373" s="27" t="str">
        <x:v>HZ-2026-055-01</x:v>
      </x:c>
    </x:row>
    <x:row r="374">
      <x:c r="A374" s="28" t="str">
        <x:v>Transfusion Medicine</x:v>
      </x:c>
      <x:c r="B374" s="37" t="n">
        <x:v>46038</x:v>
      </x:c>
      <x:c r="C374" s="26" t="str">
        <x:v>RAH01-2026-055</x:v>
      </x:c>
      <x:c r="D374" s="36" t="n">
        <x:v>2</x:v>
      </x:c>
      <x:c r="E374" s="26" t="str">
        <x:v>Ergonomic Hazards</x:v>
      </x:c>
      <x:c r="F374" s="26" t="str">
        <x:v>Unsuitable Desk or Chair</x:v>
      </x:c>
      <x:c r="G374" s="35" t="n">
        <x:v>28</x:v>
      </x:c>
      <x:c r="H374" s="35" t="n">
        <x:v>2</x:v>
      </x:c>
      <x:c r="I374" s="35" t="n">
        <x:v>1</x:v>
      </x:c>
      <x:c r="J374" s="35" t="n">
        <x:v>1</x:v>
      </x:c>
      <x:c r="K374" s="36" t="n">
        <x:f>IF(AND(S374=TRUE,ISNUMBER(I374),I374=INT(I374),I374&gt;=1,I374&lt;=3,ISNUMBER(J374),J374=INT(J374),J374&gt;=1,J374&lt;=3),I374*J374,"")</x:f>
        <x:v>1</x:v>
      </x:c>
      <x:c r="L374" s="26" t="str">
        <x:f>IF(K374="","",IF(K374&lt;=2,"LOW",IF(K374&lt;=4,"MEDIUM","HIGH")))</x:f>
        <x:v>LOW</x:v>
      </x:c>
      <x:c r="M374" s="25" t="str">
        <x:v>Task rotation, adjustable equipment, team lifting, and safe-patient-handling guidance are used.</x:v>
      </x:c>
      <x:c r="N374" s="25" t="str"/>
      <x:c r="O374" s="30" t="b">
        <x:v>0</x:v>
      </x:c>
      <x:c r="P374" s="27" t="str">
        <x:v>ERGONOMIC</x:v>
      </x:c>
      <x:c r="Q374" s="27" t="str">
        <x:v>unsuitable_desk_chair</x:v>
      </x:c>
      <x:c r="R374" s="27" t="str"/>
      <x:c r="S374" s="31" t="b">
        <x:v>1</x:v>
      </x:c>
      <x:c r="T374" s="27" t="str">
        <x:v>ASM-2026-055</x:v>
      </x:c>
      <x:c r="U374" s="27" t="str">
        <x:v>HZ-2026-055-02</x:v>
      </x:c>
    </x:row>
    <x:row r="375">
      <x:c r="A375" s="28" t="str">
        <x:v>Transfusion Medicine</x:v>
      </x:c>
      <x:c r="B375" s="37" t="n">
        <x:v>46038</x:v>
      </x:c>
      <x:c r="C375" s="26" t="str">
        <x:v>RAH01-2026-055</x:v>
      </x:c>
      <x:c r="D375" s="36" t="n">
        <x:v>3</x:v>
      </x:c>
      <x:c r="E375" s="26" t="str">
        <x:v>Ergonomic Hazards</x:v>
      </x:c>
      <x:c r="F375" s="26" t="str">
        <x:v>Repetitive Tasks</x:v>
      </x:c>
      <x:c r="G375" s="35" t="n">
        <x:v>31</x:v>
      </x:c>
      <x:c r="H375" s="35" t="n">
        <x:v>0</x:v>
      </x:c>
      <x:c r="I375" s="35" t="n">
        <x:v>2</x:v>
      </x:c>
      <x:c r="J375" s="35" t="n">
        <x:v>1</x:v>
      </x:c>
      <x:c r="K375" s="36" t="n">
        <x:f>IF(AND(S375=TRUE,ISNUMBER(I375),I375=INT(I375),I375&gt;=1,I375&lt;=3,ISNUMBER(J375),J375=INT(J375),J375&gt;=1,J375&lt;=3),I375*J375,"")</x:f>
        <x:v>2</x:v>
      </x:c>
      <x:c r="L375" s="26" t="str">
        <x:f>IF(K375="","",IF(K375&lt;=2,"LOW",IF(K375&lt;=4,"MEDIUM","HIGH")))</x:f>
        <x:v>LOW</x:v>
      </x:c>
      <x:c r="M375" s="25" t="str">
        <x:v>Task rotation, adjustable equipment, team lifting, and safe-patient-handling guidance are used.</x:v>
      </x:c>
      <x:c r="N375" s="25" t="str"/>
      <x:c r="O375" s="30" t="b">
        <x:v>0</x:v>
      </x:c>
      <x:c r="P375" s="27" t="str">
        <x:v>ERGONOMIC</x:v>
      </x:c>
      <x:c r="Q375" s="27" t="str">
        <x:v>repetitive_tasks</x:v>
      </x:c>
      <x:c r="R375" s="27" t="str"/>
      <x:c r="S375" s="31" t="b">
        <x:v>1</x:v>
      </x:c>
      <x:c r="T375" s="27" t="str">
        <x:v>ASM-2026-055</x:v>
      </x:c>
      <x:c r="U375" s="27" t="str">
        <x:v>HZ-2026-055-03</x:v>
      </x:c>
    </x:row>
    <x:row r="376">
      <x:c r="A376" s="28" t="str">
        <x:v>Transfusion Medicine</x:v>
      </x:c>
      <x:c r="B376" s="37" t="n">
        <x:v>46038</x:v>
      </x:c>
      <x:c r="C376" s="26" t="str">
        <x:v>RAH01-2026-055</x:v>
      </x:c>
      <x:c r="D376" s="36" t="n">
        <x:v>4</x:v>
      </x:c>
      <x:c r="E376" s="26" t="str">
        <x:v>Psychosocial Hazards</x:v>
      </x:c>
      <x:c r="F376" s="26" t="str">
        <x:v>Work Stress</x:v>
      </x:c>
      <x:c r="G376" s="35" t="n">
        <x:v>34</x:v>
      </x:c>
      <x:c r="H376" s="35" t="n">
        <x:v>1</x:v>
      </x:c>
      <x:c r="I376" s="35" t="n">
        <x:v>1</x:v>
      </x:c>
      <x:c r="J376" s="35" t="n">
        <x:v>2</x:v>
      </x:c>
      <x:c r="K376" s="36" t="n">
        <x:f>IF(AND(S376=TRUE,ISNUMBER(I376),I376=INT(I376),I376&gt;=1,I376&lt;=3,ISNUMBER(J376),J376=INT(J376),J376&gt;=1,J376&lt;=3),I376*J376,"")</x:f>
        <x:v>2</x:v>
      </x:c>
      <x:c r="L376" s="26" t="str">
        <x:f>IF(K376="","",IF(K376&lt;=2,"LOW",IF(K376&lt;=4,"MEDIUM","HIGH")))</x:f>
        <x:v>LOW</x:v>
      </x:c>
      <x:c r="M376" s="25" t="str">
        <x:v>Shift planning, escalation pathways, security support, breaks, and supervisor check-ins are available.</x:v>
      </x:c>
      <x:c r="N376" s="25" t="str"/>
      <x:c r="O376" s="30" t="b">
        <x:v>0</x:v>
      </x:c>
      <x:c r="P376" s="27" t="str">
        <x:v>PSYCHOSOCIAL</x:v>
      </x:c>
      <x:c r="Q376" s="27" t="str">
        <x:v>work_stress</x:v>
      </x:c>
      <x:c r="R376" s="27" t="str"/>
      <x:c r="S376" s="31" t="b">
        <x:v>1</x:v>
      </x:c>
      <x:c r="T376" s="27" t="str">
        <x:v>ASM-2026-055</x:v>
      </x:c>
      <x:c r="U376" s="27" t="str">
        <x:v>HZ-2026-055-04</x:v>
      </x:c>
    </x:row>
    <x:row r="377">
      <x:c r="A377" s="28" t="str">
        <x:v>Transfusion Medicine</x:v>
      </x:c>
      <x:c r="B377" s="37" t="n">
        <x:v>46038</x:v>
      </x:c>
      <x:c r="C377" s="26" t="str">
        <x:v>RAH01-2026-055</x:v>
      </x:c>
      <x:c r="D377" s="36" t="n">
        <x:v>5</x:v>
      </x:c>
      <x:c r="E377" s="26" t="str">
        <x:v>Physical Hazards</x:v>
      </x:c>
      <x:c r="F377" s="26" t="str">
        <x:v>Lighting</x:v>
      </x:c>
      <x:c r="G377" s="35" t="n">
        <x:v>37</x:v>
      </x:c>
      <x:c r="H377" s="35" t="n">
        <x:v>2</x:v>
      </x:c>
      <x:c r="I377" s="35" t="n">
        <x:v>1</x:v>
      </x:c>
      <x:c r="J377" s="35" t="n">
        <x:v>1</x:v>
      </x:c>
      <x:c r="K377" s="36" t="n">
        <x:f>IF(AND(S377=TRUE,ISNUMBER(I377),I377=INT(I377),I377&gt;=1,I377&lt;=3,ISNUMBER(J377),J377=INT(J377),J377&gt;=1,J377&lt;=3),I377*J377,"")</x:f>
        <x:v>1</x:v>
      </x:c>
      <x:c r="L377" s="26" t="str">
        <x:f>IF(K377="","",IF(K377&lt;=2,"LOW",IF(K377&lt;=4,"MEDIUM","HIGH")))</x:f>
        <x:v>LOW</x:v>
      </x:c>
      <x:c r="M377" s="25" t="str">
        <x:v>Engineering controls, preventive maintenance, posted limits, and periodic exposure monitoring are in place.</x:v>
      </x:c>
      <x:c r="N377" s="25" t="str"/>
      <x:c r="O377" s="30" t="b">
        <x:v>0</x:v>
      </x:c>
      <x:c r="P377" s="27" t="str">
        <x:v>PHYSICAL</x:v>
      </x:c>
      <x:c r="Q377" s="27" t="str">
        <x:v>lighting</x:v>
      </x:c>
      <x:c r="R377" s="27" t="str"/>
      <x:c r="S377" s="31" t="b">
        <x:v>1</x:v>
      </x:c>
      <x:c r="T377" s="27" t="str">
        <x:v>ASM-2026-055</x:v>
      </x:c>
      <x:c r="U377" s="27" t="str">
        <x:v>HZ-2026-055-05</x:v>
      </x:c>
    </x:row>
    <x:row r="378">
      <x:c r="A378" s="28" t="str">
        <x:v>Transfusion Medicine</x:v>
      </x:c>
      <x:c r="B378" s="37" t="n">
        <x:v>46038</x:v>
      </x:c>
      <x:c r="C378" s="26" t="str">
        <x:v>RAH01-2026-055</x:v>
      </x:c>
      <x:c r="D378" s="36" t="n">
        <x:v>6</x:v>
      </x:c>
      <x:c r="E378" s="26" t="str">
        <x:v>Safety and Accident Hazards</x:v>
      </x:c>
      <x:c r="F378" s="26" t="str">
        <x:v>Pathway Obstruction</x:v>
      </x:c>
      <x:c r="G378" s="35" t="n">
        <x:v>40</x:v>
      </x:c>
      <x:c r="H378" s="35" t="n">
        <x:v>0</x:v>
      </x:c>
      <x:c r="I378" s="35" t="n">
        <x:v>2</x:v>
      </x:c>
      <x:c r="J378" s="35" t="n">
        <x:v>1</x:v>
      </x:c>
      <x:c r="K378" s="36" t="n">
        <x:f>IF(AND(S378=TRUE,ISNUMBER(I378),I378=INT(I378),I378&gt;=1,I378&lt;=3,ISNUMBER(J378),J378=INT(J378),J378&gt;=1,J378&lt;=3),I378*J378,"")</x:f>
        <x:v>2</x:v>
      </x:c>
      <x:c r="L378" s="26" t="str">
        <x:f>IF(K378="","",IF(K378&lt;=2,"LOW",IF(K378&lt;=4,"MEDIUM","HIGH")))</x:f>
        <x:v>LOW</x:v>
      </x:c>
      <x:c r="M378" s="25" t="str">
        <x:v>Safe-work procedures, inspection, housekeeping, guards, and incident reporting are implemented.</x:v>
      </x:c>
      <x:c r="N378" s="25" t="str"/>
      <x:c r="O378" s="30" t="b">
        <x:v>0</x:v>
      </x:c>
      <x:c r="P378" s="27" t="str">
        <x:v>SAFETY_ACCIDENT</x:v>
      </x:c>
      <x:c r="Q378" s="27" t="str">
        <x:v>pathway_obstruction</x:v>
      </x:c>
      <x:c r="R378" s="27" t="str"/>
      <x:c r="S378" s="31" t="b">
        <x:v>1</x:v>
      </x:c>
      <x:c r="T378" s="27" t="str">
        <x:v>ASM-2026-055</x:v>
      </x:c>
      <x:c r="U378" s="27" t="str">
        <x:v>HZ-2026-055-06</x:v>
      </x:c>
    </x:row>
    <x:row r="379">
      <x:c r="A379" s="28" t="str">
        <x:v>Trauma Centre</x:v>
      </x:c>
      <x:c r="B379" s="37" t="n">
        <x:v>46072</x:v>
      </x:c>
      <x:c r="C379" s="26" t="str">
        <x:v>RAH01-2026-056</x:v>
      </x:c>
      <x:c r="D379" s="36" t="n">
        <x:v>1</x:v>
      </x:c>
      <x:c r="E379" s="26" t="str">
        <x:v>Ergonomic Hazards</x:v>
      </x:c>
      <x:c r="F379" s="26" t="str">
        <x:v>Prolonged Standing or Sitting</x:v>
      </x:c>
      <x:c r="G379" s="35" t="n">
        <x:v>13</x:v>
      </x:c>
      <x:c r="H379" s="35" t="n">
        <x:v>2</x:v>
      </x:c>
      <x:c r="I379" s="35" t="n">
        <x:v>2</x:v>
      </x:c>
      <x:c r="J379" s="35" t="n">
        <x:v>1</x:v>
      </x:c>
      <x:c r="K379" s="36" t="n">
        <x:f>IF(AND(S379=TRUE,ISNUMBER(I379),I379=INT(I379),I379&gt;=1,I379&lt;=3,ISNUMBER(J379),J379=INT(J379),J379&gt;=1,J379&lt;=3),I379*J379,"")</x:f>
        <x:v>2</x:v>
      </x:c>
      <x:c r="L379" s="26" t="str">
        <x:f>IF(K379="","",IF(K379&lt;=2,"LOW",IF(K379&lt;=4,"MEDIUM","HIGH")))</x:f>
        <x:v>LOW</x:v>
      </x:c>
      <x:c r="M379" s="25" t="str">
        <x:v>Task rotation, adjustable equipment, team lifting, and safe-patient-handling guidance are used.</x:v>
      </x:c>
      <x:c r="N379" s="25" t="str"/>
      <x:c r="O379" s="30" t="b">
        <x:v>0</x:v>
      </x:c>
      <x:c r="P379" s="27" t="str">
        <x:v>ERGONOMIC</x:v>
      </x:c>
      <x:c r="Q379" s="27" t="str">
        <x:v>prolonged_standing_sitting</x:v>
      </x:c>
      <x:c r="R379" s="27" t="str"/>
      <x:c r="S379" s="31" t="b">
        <x:v>1</x:v>
      </x:c>
      <x:c r="T379" s="27" t="str">
        <x:v>ASM-2026-056</x:v>
      </x:c>
      <x:c r="U379" s="27" t="str">
        <x:v>HZ-2026-056-01</x:v>
      </x:c>
    </x:row>
    <x:row r="380">
      <x:c r="A380" s="28" t="str">
        <x:v>Trauma Centre</x:v>
      </x:c>
      <x:c r="B380" s="37" t="n">
        <x:v>46072</x:v>
      </x:c>
      <x:c r="C380" s="26" t="str">
        <x:v>RAH01-2026-056</x:v>
      </x:c>
      <x:c r="D380" s="36" t="n">
        <x:v>2</x:v>
      </x:c>
      <x:c r="E380" s="26" t="str">
        <x:v>Ergonomic Hazards</x:v>
      </x:c>
      <x:c r="F380" s="26" t="str">
        <x:v>Unsuitable Desk or Chair</x:v>
      </x:c>
      <x:c r="G380" s="35" t="n">
        <x:v>16</x:v>
      </x:c>
      <x:c r="H380" s="35" t="n">
        <x:v>0</x:v>
      </x:c>
      <x:c r="I380" s="35" t="n">
        <x:v>1</x:v>
      </x:c>
      <x:c r="J380" s="35" t="n">
        <x:v>2</x:v>
      </x:c>
      <x:c r="K380" s="36" t="n">
        <x:f>IF(AND(S380=TRUE,ISNUMBER(I380),I380=INT(I380),I380&gt;=1,I380&lt;=3,ISNUMBER(J380),J380=INT(J380),J380&gt;=1,J380&lt;=3),I380*J380,"")</x:f>
        <x:v>2</x:v>
      </x:c>
      <x:c r="L380" s="26" t="str">
        <x:f>IF(K380="","",IF(K380&lt;=2,"LOW",IF(K380&lt;=4,"MEDIUM","HIGH")))</x:f>
        <x:v>LOW</x:v>
      </x:c>
      <x:c r="M380" s="25" t="str">
        <x:v>Task rotation, adjustable equipment, team lifting, and safe-patient-handling guidance are used.</x:v>
      </x:c>
      <x:c r="N380" s="25" t="str"/>
      <x:c r="O380" s="30" t="b">
        <x:v>0</x:v>
      </x:c>
      <x:c r="P380" s="27" t="str">
        <x:v>ERGONOMIC</x:v>
      </x:c>
      <x:c r="Q380" s="27" t="str">
        <x:v>unsuitable_desk_chair</x:v>
      </x:c>
      <x:c r="R380" s="27" t="str"/>
      <x:c r="S380" s="31" t="b">
        <x:v>1</x:v>
      </x:c>
      <x:c r="T380" s="27" t="str">
        <x:v>ASM-2026-056</x:v>
      </x:c>
      <x:c r="U380" s="27" t="str">
        <x:v>HZ-2026-056-02</x:v>
      </x:c>
    </x:row>
    <x:row r="381">
      <x:c r="A381" s="28" t="str">
        <x:v>Trauma Centre</x:v>
      </x:c>
      <x:c r="B381" s="37" t="n">
        <x:v>46072</x:v>
      </x:c>
      <x:c r="C381" s="26" t="str">
        <x:v>RAH01-2026-056</x:v>
      </x:c>
      <x:c r="D381" s="36" t="n">
        <x:v>3</x:v>
      </x:c>
      <x:c r="E381" s="26" t="str">
        <x:v>Ergonomic Hazards</x:v>
      </x:c>
      <x:c r="F381" s="26" t="str">
        <x:v>Repetitive Tasks</x:v>
      </x:c>
      <x:c r="G381" s="35" t="n">
        <x:v>19</x:v>
      </x:c>
      <x:c r="H381" s="35" t="n">
        <x:v>1</x:v>
      </x:c>
      <x:c r="I381" s="35" t="n">
        <x:v>1</x:v>
      </x:c>
      <x:c r="J381" s="35" t="n">
        <x:v>1</x:v>
      </x:c>
      <x:c r="K381" s="36" t="n">
        <x:f>IF(AND(S381=TRUE,ISNUMBER(I381),I381=INT(I381),I381&gt;=1,I381&lt;=3,ISNUMBER(J381),J381=INT(J381),J381&gt;=1,J381&lt;=3),I381*J381,"")</x:f>
        <x:v>1</x:v>
      </x:c>
      <x:c r="L381" s="26" t="str">
        <x:f>IF(K381="","",IF(K381&lt;=2,"LOW",IF(K381&lt;=4,"MEDIUM","HIGH")))</x:f>
        <x:v>LOW</x:v>
      </x:c>
      <x:c r="M381" s="25" t="str">
        <x:v>Task rotation, adjustable equipment, team lifting, and safe-patient-handling guidance are used.</x:v>
      </x:c>
      <x:c r="N381" s="25" t="str"/>
      <x:c r="O381" s="30" t="b">
        <x:v>0</x:v>
      </x:c>
      <x:c r="P381" s="27" t="str">
        <x:v>ERGONOMIC</x:v>
      </x:c>
      <x:c r="Q381" s="27" t="str">
        <x:v>repetitive_tasks</x:v>
      </x:c>
      <x:c r="R381" s="27" t="str"/>
      <x:c r="S381" s="31" t="b">
        <x:v>1</x:v>
      </x:c>
      <x:c r="T381" s="27" t="str">
        <x:v>ASM-2026-056</x:v>
      </x:c>
      <x:c r="U381" s="27" t="str">
        <x:v>HZ-2026-056-03</x:v>
      </x:c>
    </x:row>
    <x:row r="382">
      <x:c r="A382" s="28" t="str">
        <x:v>Trauma Centre</x:v>
      </x:c>
      <x:c r="B382" s="37" t="n">
        <x:v>46072</x:v>
      </x:c>
      <x:c r="C382" s="26" t="str">
        <x:v>RAH01-2026-056</x:v>
      </x:c>
      <x:c r="D382" s="36" t="n">
        <x:v>4</x:v>
      </x:c>
      <x:c r="E382" s="26" t="str">
        <x:v>Psychosocial Hazards</x:v>
      </x:c>
      <x:c r="F382" s="26" t="str">
        <x:v>Work Stress</x:v>
      </x:c>
      <x:c r="G382" s="35" t="n">
        <x:v>22</x:v>
      </x:c>
      <x:c r="H382" s="35" t="n">
        <x:v>2</x:v>
      </x:c>
      <x:c r="I382" s="35" t="n">
        <x:v>2</x:v>
      </x:c>
      <x:c r="J382" s="35" t="n">
        <x:v>1</x:v>
      </x:c>
      <x:c r="K382" s="36" t="n">
        <x:f>IF(AND(S382=TRUE,ISNUMBER(I382),I382=INT(I382),I382&gt;=1,I382&lt;=3,ISNUMBER(J382),J382=INT(J382),J382&gt;=1,J382&lt;=3),I382*J382,"")</x:f>
        <x:v>2</x:v>
      </x:c>
      <x:c r="L382" s="26" t="str">
        <x:f>IF(K382="","",IF(K382&lt;=2,"LOW",IF(K382&lt;=4,"MEDIUM","HIGH")))</x:f>
        <x:v>LOW</x:v>
      </x:c>
      <x:c r="M382" s="25" t="str">
        <x:v>Shift planning, escalation pathways, security support, breaks, and supervisor check-ins are available.</x:v>
      </x:c>
      <x:c r="N382" s="25" t="str"/>
      <x:c r="O382" s="30" t="b">
        <x:v>0</x:v>
      </x:c>
      <x:c r="P382" s="27" t="str">
        <x:v>PSYCHOSOCIAL</x:v>
      </x:c>
      <x:c r="Q382" s="27" t="str">
        <x:v>work_stress</x:v>
      </x:c>
      <x:c r="R382" s="27" t="str"/>
      <x:c r="S382" s="31" t="b">
        <x:v>1</x:v>
      </x:c>
      <x:c r="T382" s="27" t="str">
        <x:v>ASM-2026-056</x:v>
      </x:c>
      <x:c r="U382" s="27" t="str">
        <x:v>HZ-2026-056-04</x:v>
      </x:c>
    </x:row>
    <x:row r="383">
      <x:c r="A383" s="28" t="str">
        <x:v>Trauma Centre</x:v>
      </x:c>
      <x:c r="B383" s="37" t="n">
        <x:v>46072</x:v>
      </x:c>
      <x:c r="C383" s="26" t="str">
        <x:v>RAH01-2026-056</x:v>
      </x:c>
      <x:c r="D383" s="36" t="n">
        <x:v>5</x:v>
      </x:c>
      <x:c r="E383" s="26" t="str">
        <x:v>Physical Hazards</x:v>
      </x:c>
      <x:c r="F383" s="26" t="str">
        <x:v>Lighting</x:v>
      </x:c>
      <x:c r="G383" s="35" t="n">
        <x:v>25</x:v>
      </x:c>
      <x:c r="H383" s="35" t="n">
        <x:v>0</x:v>
      </x:c>
      <x:c r="I383" s="35" t="n">
        <x:v>1</x:v>
      </x:c>
      <x:c r="J383" s="35" t="n">
        <x:v>2</x:v>
      </x:c>
      <x:c r="K383" s="36" t="n">
        <x:f>IF(AND(S383=TRUE,ISNUMBER(I383),I383=INT(I383),I383&gt;=1,I383&lt;=3,ISNUMBER(J383),J383=INT(J383),J383&gt;=1,J383&lt;=3),I383*J383,"")</x:f>
        <x:v>2</x:v>
      </x:c>
      <x:c r="L383" s="26" t="str">
        <x:f>IF(K383="","",IF(K383&lt;=2,"LOW",IF(K383&lt;=4,"MEDIUM","HIGH")))</x:f>
        <x:v>LOW</x:v>
      </x:c>
      <x:c r="M383" s="25" t="str">
        <x:v>Engineering controls, preventive maintenance, posted limits, and periodic exposure monitoring are in place.</x:v>
      </x:c>
      <x:c r="N383" s="25" t="str"/>
      <x:c r="O383" s="30" t="b">
        <x:v>0</x:v>
      </x:c>
      <x:c r="P383" s="27" t="str">
        <x:v>PHYSICAL</x:v>
      </x:c>
      <x:c r="Q383" s="27" t="str">
        <x:v>lighting</x:v>
      </x:c>
      <x:c r="R383" s="27" t="str"/>
      <x:c r="S383" s="31" t="b">
        <x:v>1</x:v>
      </x:c>
      <x:c r="T383" s="27" t="str">
        <x:v>ASM-2026-056</x:v>
      </x:c>
      <x:c r="U383" s="27" t="str">
        <x:v>HZ-2026-056-05</x:v>
      </x:c>
    </x:row>
    <x:row r="384">
      <x:c r="A384" s="28" t="str">
        <x:v>Urology</x:v>
      </x:c>
      <x:c r="B384" s="37" t="n">
        <x:v>46103</x:v>
      </x:c>
      <x:c r="C384" s="26" t="str">
        <x:v>RAH01-2026-057</x:v>
      </x:c>
      <x:c r="D384" s="36" t="n">
        <x:v>1</x:v>
      </x:c>
      <x:c r="E384" s="26" t="str">
        <x:v>Ergonomic Hazards</x:v>
      </x:c>
      <x:c r="F384" s="26" t="str">
        <x:v>Heavy Lifting / Patient Transfer</x:v>
      </x:c>
      <x:c r="G384" s="35" t="n">
        <x:v>1</x:v>
      </x:c>
      <x:c r="H384" s="35" t="n">
        <x:v>6</x:v>
      </x:c>
      <x:c r="I384" s="35" t="n">
        <x:v>1</x:v>
      </x:c>
      <x:c r="J384" s="35" t="n">
        <x:v>3</x:v>
      </x:c>
      <x:c r="K384" s="36" t="n">
        <x:f>IF(AND(S384=TRUE,ISNUMBER(I384),I384=INT(I384),I384&gt;=1,I384&lt;=3,ISNUMBER(J384),J384=INT(J384),J384&gt;=1,J384&lt;=3),I384*J384,"")</x:f>
        <x:v>3</x:v>
      </x:c>
      <x:c r="L384" s="26" t="str">
        <x:f>IF(K384="","",IF(K384&lt;=2,"LOW",IF(K384&lt;=4,"MEDIUM","HIGH")))</x:f>
        <x:v>MEDIUM</x:v>
      </x:c>
      <x:c r="M384" s="25" t="str">
        <x:v>Task rotation, adjustable equipment, team lifting, and safe-patient-handling guidance are used.</x:v>
      </x:c>
      <x:c r="N384" s="25" t="str">
        <x:v>Complete an ergonomic task assessment and implement equipment or workflow changes to reduce force and repetition.</x:v>
      </x:c>
      <x:c r="O384" s="30" t="b">
        <x:v>0</x:v>
      </x:c>
      <x:c r="P384" s="27" t="str">
        <x:v>ERGONOMIC</x:v>
      </x:c>
      <x:c r="Q384" s="27" t="str">
        <x:v>heavy_lifting_patient_transfer</x:v>
      </x:c>
      <x:c r="R384" s="27" t="str"/>
      <x:c r="S384" s="31" t="b">
        <x:v>1</x:v>
      </x:c>
      <x:c r="T384" s="27" t="str">
        <x:v>ASM-2026-057</x:v>
      </x:c>
      <x:c r="U384" s="27" t="str">
        <x:v>HZ-2026-057-01</x:v>
      </x:c>
    </x:row>
    <x:row r="385">
      <x:c r="A385" s="28" t="str">
        <x:v>Urology</x:v>
      </x:c>
      <x:c r="B385" s="37" t="n">
        <x:v>46103</x:v>
      </x:c>
      <x:c r="C385" s="26" t="str">
        <x:v>RAH01-2026-057</x:v>
      </x:c>
      <x:c r="D385" s="36" t="n">
        <x:v>2</x:v>
      </x:c>
      <x:c r="E385" s="26" t="str">
        <x:v>Ergonomic Hazards</x:v>
      </x:c>
      <x:c r="F385" s="26" t="str">
        <x:v>High Push / Pull Force</x:v>
      </x:c>
      <x:c r="G385" s="35" t="n">
        <x:v>4</x:v>
      </x:c>
      <x:c r="H385" s="35" t="n">
        <x:v>13</x:v>
      </x:c>
      <x:c r="I385" s="35" t="n">
        <x:v>3</x:v>
      </x:c>
      <x:c r="J385" s="35" t="n">
        <x:v>1</x:v>
      </x:c>
      <x:c r="K385" s="36" t="n">
        <x:f>IF(AND(S385=TRUE,ISNUMBER(I385),I385=INT(I385),I385&gt;=1,I385&lt;=3,ISNUMBER(J385),J385=INT(J385),J385&gt;=1,J385&lt;=3),I385*J385,"")</x:f>
        <x:v>3</x:v>
      </x:c>
      <x:c r="L385" s="26" t="str">
        <x:f>IF(K385="","",IF(K385&lt;=2,"LOW",IF(K385&lt;=4,"MEDIUM","HIGH")))</x:f>
        <x:v>MEDIUM</x:v>
      </x:c>
      <x:c r="M385" s="25" t="str">
        <x:v>Task rotation, adjustable equipment, team lifting, and safe-patient-handling guidance are used.</x:v>
      </x:c>
      <x:c r="N385" s="25" t="str">
        <x:v>Complete an ergonomic task assessment and implement equipment or workflow changes to reduce force and repetition.</x:v>
      </x:c>
      <x:c r="O385" s="30" t="b">
        <x:v>0</x:v>
      </x:c>
      <x:c r="P385" s="27" t="str">
        <x:v>ERGONOMIC</x:v>
      </x:c>
      <x:c r="Q385" s="27" t="str">
        <x:v>high_push_pull_force</x:v>
      </x:c>
      <x:c r="R385" s="27" t="str"/>
      <x:c r="S385" s="31" t="b">
        <x:v>1</x:v>
      </x:c>
      <x:c r="T385" s="27" t="str">
        <x:v>ASM-2026-057</x:v>
      </x:c>
      <x:c r="U385" s="27" t="str">
        <x:v>HZ-2026-057-02</x:v>
      </x:c>
    </x:row>
    <x:row r="386">
      <x:c r="A386" s="28" t="str">
        <x:v>Urology</x:v>
      </x:c>
      <x:c r="B386" s="37" t="n">
        <x:v>46103</x:v>
      </x:c>
      <x:c r="C386" s="26" t="str">
        <x:v>RAH01-2026-057</x:v>
      </x:c>
      <x:c r="D386" s="36" t="n">
        <x:v>3</x:v>
      </x:c>
      <x:c r="E386" s="26" t="str">
        <x:v>Ergonomic Hazards</x:v>
      </x:c>
      <x:c r="F386" s="26" t="str">
        <x:v>Unnatural Posture or Movement</x:v>
      </x:c>
      <x:c r="G386" s="35" t="n">
        <x:v>7</x:v>
      </x:c>
      <x:c r="H386" s="35" t="n">
        <x:v>20</x:v>
      </x:c>
      <x:c r="I386" s="35" t="n">
        <x:v>2</x:v>
      </x:c>
      <x:c r="J386" s="35" t="n">
        <x:v>2</x:v>
      </x:c>
      <x:c r="K386" s="36" t="n">
        <x:f>IF(AND(S386=TRUE,ISNUMBER(I386),I386=INT(I386),I386&gt;=1,I386&lt;=3,ISNUMBER(J386),J386=INT(J386),J386&gt;=1,J386&lt;=3),I386*J386,"")</x:f>
        <x:v>4</x:v>
      </x:c>
      <x:c r="L386" s="26" t="str">
        <x:f>IF(K386="","",IF(K386&lt;=2,"LOW",IF(K386&lt;=4,"MEDIUM","HIGH")))</x:f>
        <x:v>MEDIUM</x:v>
      </x:c>
      <x:c r="M386" s="25" t="str">
        <x:v>Task rotation, adjustable equipment, team lifting, and safe-patient-handling guidance are used.</x:v>
      </x:c>
      <x:c r="N386" s="25" t="str">
        <x:v>Complete an ergonomic task assessment and implement equipment or workflow changes to reduce force and repetition.</x:v>
      </x:c>
      <x:c r="O386" s="30" t="b">
        <x:v>0</x:v>
      </x:c>
      <x:c r="P386" s="27" t="str">
        <x:v>ERGONOMIC</x:v>
      </x:c>
      <x:c r="Q386" s="27" t="str">
        <x:v>unnatural_posture</x:v>
      </x:c>
      <x:c r="R386" s="27" t="str"/>
      <x:c r="S386" s="31" t="b">
        <x:v>1</x:v>
      </x:c>
      <x:c r="T386" s="27" t="str">
        <x:v>ASM-2026-057</x:v>
      </x:c>
      <x:c r="U386" s="27" t="str">
        <x:v>HZ-2026-057-03</x:v>
      </x:c>
    </x:row>
    <x:row r="387">
      <x:c r="A387" s="28" t="str">
        <x:v>Urology</x:v>
      </x:c>
      <x:c r="B387" s="37" t="n">
        <x:v>46103</x:v>
      </x:c>
      <x:c r="C387" s="26" t="str">
        <x:v>RAH01-2026-057</x:v>
      </x:c>
      <x:c r="D387" s="36" t="n">
        <x:v>4</x:v>
      </x:c>
      <x:c r="E387" s="26" t="str">
        <x:v>Ergonomic Hazards</x:v>
      </x:c>
      <x:c r="F387" s="26" t="str">
        <x:v>Repetitive Tasks</x:v>
      </x:c>
      <x:c r="G387" s="35" t="n">
        <x:v>10</x:v>
      </x:c>
      <x:c r="H387" s="35" t="n">
        <x:v>27</x:v>
      </x:c>
      <x:c r="I387" s="35" t="n">
        <x:v>1</x:v>
      </x:c>
      <x:c r="J387" s="35" t="n">
        <x:v>3</x:v>
      </x:c>
      <x:c r="K387" s="36" t="n">
        <x:f>IF(AND(S387=TRUE,ISNUMBER(I387),I387=INT(I387),I387&gt;=1,I387&lt;=3,ISNUMBER(J387),J387=INT(J387),J387&gt;=1,J387&lt;=3),I387*J387,"")</x:f>
        <x:v>3</x:v>
      </x:c>
      <x:c r="L387" s="26" t="str">
        <x:f>IF(K387="","",IF(K387&lt;=2,"LOW",IF(K387&lt;=4,"MEDIUM","HIGH")))</x:f>
        <x:v>MEDIUM</x:v>
      </x:c>
      <x:c r="M387" s="25" t="str">
        <x:v>Task rotation, adjustable equipment, team lifting, and safe-patient-handling guidance are used.</x:v>
      </x:c>
      <x:c r="N387" s="25" t="str">
        <x:v>Complete an ergonomic task assessment and implement equipment or workflow changes to reduce force and repetition.</x:v>
      </x:c>
      <x:c r="O387" s="30" t="b">
        <x:v>0</x:v>
      </x:c>
      <x:c r="P387" s="27" t="str">
        <x:v>ERGONOMIC</x:v>
      </x:c>
      <x:c r="Q387" s="27" t="str">
        <x:v>repetitive_tasks</x:v>
      </x:c>
      <x:c r="R387" s="27" t="str"/>
      <x:c r="S387" s="31" t="b">
        <x:v>1</x:v>
      </x:c>
      <x:c r="T387" s="27" t="str">
        <x:v>ASM-2026-057</x:v>
      </x:c>
      <x:c r="U387" s="27" t="str">
        <x:v>HZ-2026-057-04</x:v>
      </x:c>
    </x:row>
    <x:row r="388">
      <x:c r="A388" s="28" t="str">
        <x:v>Urology</x:v>
      </x:c>
      <x:c r="B388" s="37" t="n">
        <x:v>46103</x:v>
      </x:c>
      <x:c r="C388" s="26" t="str">
        <x:v>RAH01-2026-057</x:v>
      </x:c>
      <x:c r="D388" s="36" t="n">
        <x:v>5</x:v>
      </x:c>
      <x:c r="E388" s="26" t="str">
        <x:v>Fire and Disaster Hazards</x:v>
      </x:c>
      <x:c r="F388" s="26" t="str">
        <x:v>Electrical Equipment</x:v>
      </x:c>
      <x:c r="G388" s="35" t="n">
        <x:v>13</x:v>
      </x:c>
      <x:c r="H388" s="35" t="n">
        <x:v>3</x:v>
      </x:c>
      <x:c r="I388" s="35" t="n">
        <x:v>3</x:v>
      </x:c>
      <x:c r="J388" s="35" t="n">
        <x:v>1</x:v>
      </x:c>
      <x:c r="K388" s="36" t="n">
        <x:f>IF(AND(S388=TRUE,ISNUMBER(I388),I388=INT(I388),I388&gt;=1,I388&lt;=3,ISNUMBER(J388),J388=INT(J388),J388&gt;=1,J388&lt;=3),I388*J388,"")</x:f>
        <x:v>3</x:v>
      </x:c>
      <x:c r="L388" s="26" t="str">
        <x:f>IF(K388="","",IF(K388&lt;=2,"LOW",IF(K388&lt;=4,"MEDIUM","HIGH")))</x:f>
        <x:v>MEDIUM</x:v>
      </x:c>
      <x:c r="M388" s="25" t="str">
        <x:v>Electrical inspection, isolation procedures, alarms, extinguishers, and emergency response plans are maintained.</x:v>
      </x:c>
      <x:c r="N388" s="25" t="str">
        <x:v>Complete an engineering inspection and emergency-readiness check before the next scheduled review.</x:v>
      </x:c>
      <x:c r="O388" s="30" t="b">
        <x:v>0</x:v>
      </x:c>
      <x:c r="P388" s="27" t="str">
        <x:v>FIRE_DISASTER</x:v>
      </x:c>
      <x:c r="Q388" s="27" t="str">
        <x:v>electrical_equipment</x:v>
      </x:c>
      <x:c r="R388" s="27" t="str"/>
      <x:c r="S388" s="31" t="b">
        <x:v>1</x:v>
      </x:c>
      <x:c r="T388" s="27" t="str">
        <x:v>ASM-2026-057</x:v>
      </x:c>
      <x:c r="U388" s="27" t="str">
        <x:v>HZ-2026-057-05</x:v>
      </x:c>
    </x:row>
    <x:row r="389">
      <x:c r="A389" s="28" t="str">
        <x:v>Urology</x:v>
      </x:c>
      <x:c r="B389" s="37" t="n">
        <x:v>46103</x:v>
      </x:c>
      <x:c r="C389" s="26" t="str">
        <x:v>RAH01-2026-057</x:v>
      </x:c>
      <x:c r="D389" s="36" t="n">
        <x:v>6</x:v>
      </x:c>
      <x:c r="E389" s="26" t="str">
        <x:v>Safety and Accident Hazards</x:v>
      </x:c>
      <x:c r="F389" s="26" t="str">
        <x:v>Slippery Surface</x:v>
      </x:c>
      <x:c r="G389" s="35" t="n">
        <x:v>16</x:v>
      </x:c>
      <x:c r="H389" s="35" t="n">
        <x:v>10</x:v>
      </x:c>
      <x:c r="I389" s="35" t="n">
        <x:v>2</x:v>
      </x:c>
      <x:c r="J389" s="35" t="n">
        <x:v>2</x:v>
      </x:c>
      <x:c r="K389" s="36" t="n">
        <x:f>IF(AND(S389=TRUE,ISNUMBER(I389),I389=INT(I389),I389&gt;=1,I389&lt;=3,ISNUMBER(J389),J389=INT(J389),J389&gt;=1,J389&lt;=3),I389*J389,"")</x:f>
        <x:v>4</x:v>
      </x:c>
      <x:c r="L389" s="26" t="str">
        <x:f>IF(K389="","",IF(K389&lt;=2,"LOW",IF(K389&lt;=4,"MEDIUM","HIGH")))</x:f>
        <x:v>MEDIUM</x:v>
      </x:c>
      <x:c r="M389" s="25" t="str">
        <x:v>Safe-work procedures, inspection, housekeeping, guards, and incident reporting are implemented.</x:v>
      </x:c>
      <x:c r="N389" s="25" t="str">
        <x:v>Correct the unsafe condition, document ownership, and verify effectiveness through a follow-up inspection.</x:v>
      </x:c>
      <x:c r="O389" s="30" t="b">
        <x:v>0</x:v>
      </x:c>
      <x:c r="P389" s="27" t="str">
        <x:v>SAFETY_ACCIDENT</x:v>
      </x:c>
      <x:c r="Q389" s="27" t="str">
        <x:v>slippery_surface</x:v>
      </x:c>
      <x:c r="R389" s="27" t="str"/>
      <x:c r="S389" s="31" t="b">
        <x:v>1</x:v>
      </x:c>
      <x:c r="T389" s="27" t="str">
        <x:v>ASM-2026-057</x:v>
      </x:c>
      <x:c r="U389" s="27" t="str">
        <x:v>HZ-2026-057-06</x:v>
      </x:c>
    </x:row>
    <x:row r="390">
      <x:c r="A390" s="28" t="str">
        <x:v>Urology</x:v>
      </x:c>
      <x:c r="B390" s="37" t="n">
        <x:v>46103</x:v>
      </x:c>
      <x:c r="C390" s="26" t="str">
        <x:v>RAH01-2026-057</x:v>
      </x:c>
      <x:c r="D390" s="36" t="n">
        <x:v>7</x:v>
      </x:c>
      <x:c r="E390" s="26" t="str">
        <x:v>Psychosocial Hazards</x:v>
      </x:c>
      <x:c r="F390" s="26" t="str">
        <x:v>Insufficient Rest</x:v>
      </x:c>
      <x:c r="G390" s="35" t="n">
        <x:v>19</x:v>
      </x:c>
      <x:c r="H390" s="35" t="n">
        <x:v>17</x:v>
      </x:c>
      <x:c r="I390" s="35" t="n">
        <x:v>1</x:v>
      </x:c>
      <x:c r="J390" s="35" t="n">
        <x:v>3</x:v>
      </x:c>
      <x:c r="K390" s="36" t="n">
        <x:f>IF(AND(S390=TRUE,ISNUMBER(I390),I390=INT(I390),I390&gt;=1,I390&lt;=3,ISNUMBER(J390),J390=INT(J390),J390&gt;=1,J390&lt;=3),I390*J390,"")</x:f>
        <x:v>3</x:v>
      </x:c>
      <x:c r="L390" s="26" t="str">
        <x:f>IF(K390="","",IF(K390&lt;=2,"LOW",IF(K390&lt;=4,"MEDIUM","HIGH")))</x:f>
        <x:v>MEDIUM</x:v>
      </x:c>
      <x:c r="M390" s="25" t="str">
        <x:v>Shift planning, escalation pathways, security support, breaks, and supervisor check-ins are available.</x:v>
      </x:c>
      <x:c r="N390" s="25" t="str">
        <x:v>Review staffing, breaks, escalation support, and violence-prevention controls with the department manager.</x:v>
      </x:c>
      <x:c r="O390" s="30" t="b">
        <x:v>0</x:v>
      </x:c>
      <x:c r="P390" s="27" t="str">
        <x:v>PSYCHOSOCIAL</x:v>
      </x:c>
      <x:c r="Q390" s="27" t="str">
        <x:v>insufficient_rest</x:v>
      </x:c>
      <x:c r="R390" s="27" t="str"/>
      <x:c r="S390" s="31" t="b">
        <x:v>1</x:v>
      </x:c>
      <x:c r="T390" s="27" t="str">
        <x:v>ASM-2026-057</x:v>
      </x:c>
      <x:c r="U390" s="27" t="str">
        <x:v>HZ-2026-057-07</x:v>
      </x:c>
    </x:row>
    <x:row r="391">
      <x:c r="A391" s="28" t="str">
        <x:v>Vaccination Clinic</x:v>
      </x:c>
      <x:c r="B391" s="37" t="n">
        <x:v>46137</x:v>
      </x:c>
      <x:c r="C391" s="26" t="str">
        <x:v>RAH01-2026-058</x:v>
      </x:c>
      <x:c r="D391" s="36" t="n">
        <x:v>1</x:v>
      </x:c>
      <x:c r="E391" s="26" t="str">
        <x:v>Fire and Disaster Hazards</x:v>
      </x:c>
      <x:c r="F391" s="26" t="str">
        <x:v>Electrical Work / Wiring</x:v>
      </x:c>
      <x:c r="G391" s="35" t="n">
        <x:v>3</x:v>
      </x:c>
      <x:c r="H391" s="35" t="n">
        <x:v>1</x:v>
      </x:c>
      <x:c r="I391" s="35" t="n">
        <x:v>3</x:v>
      </x:c>
      <x:c r="J391" s="35" t="n">
        <x:v>2</x:v>
      </x:c>
      <x:c r="K391" s="36" t="n">
        <x:f>IF(AND(S391=TRUE,ISNUMBER(I391),I391=INT(I391),I391&gt;=1,I391&lt;=3,ISNUMBER(J391),J391=INT(J391),J391&gt;=1,J391&lt;=3),I391*J391,"")</x:f>
        <x:v>6</x:v>
      </x:c>
      <x:c r="L391" s="26" t="str">
        <x:f>IF(K391="","",IF(K391&lt;=2,"LOW",IF(K391&lt;=4,"MEDIUM","HIGH")))</x:f>
        <x:v>HIGH</x:v>
      </x:c>
      <x:c r="M391" s="25" t="str">
        <x:v>Electrical inspection, isolation procedures, alarms, extinguishers, and emergency response plans are maintained.</x:v>
      </x:c>
      <x:c r="N391" s="25" t="str">
        <x:v>Complete an engineering inspection and emergency-readiness check before the next scheduled review.</x:v>
      </x:c>
      <x:c r="O391" s="30" t="b">
        <x:v>0</x:v>
      </x:c>
      <x:c r="P391" s="27" t="str">
        <x:v>FIRE_DISASTER</x:v>
      </x:c>
      <x:c r="Q391" s="27" t="str">
        <x:v>electrical_work</x:v>
      </x:c>
      <x:c r="R391" s="27" t="str"/>
      <x:c r="S391" s="31" t="b">
        <x:v>1</x:v>
      </x:c>
      <x:c r="T391" s="27" t="str">
        <x:v>ASM-2026-058</x:v>
      </x:c>
      <x:c r="U391" s="27" t="str">
        <x:v>HZ-2026-058-01</x:v>
      </x:c>
    </x:row>
    <x:row r="392">
      <x:c r="A392" s="28" t="str">
        <x:v>Vaccination Clinic</x:v>
      </x:c>
      <x:c r="B392" s="37" t="n">
        <x:v>46137</x:v>
      </x:c>
      <x:c r="C392" s="26" t="str">
        <x:v>RAH01-2026-058</x:v>
      </x:c>
      <x:c r="D392" s="36" t="n">
        <x:v>2</x:v>
      </x:c>
      <x:c r="E392" s="26" t="str">
        <x:v>Safety and Accident Hazards</x:v>
      </x:c>
      <x:c r="F392" s="26" t="str">
        <x:v>Machinery Operation</x:v>
      </x:c>
      <x:c r="G392" s="35" t="n">
        <x:v>6</x:v>
      </x:c>
      <x:c r="H392" s="35" t="n">
        <x:v>2</x:v>
      </x:c>
      <x:c r="I392" s="35" t="n">
        <x:v>2</x:v>
      </x:c>
      <x:c r="J392" s="35" t="n">
        <x:v>3</x:v>
      </x:c>
      <x:c r="K392" s="36" t="n">
        <x:f>IF(AND(S392=TRUE,ISNUMBER(I392),I392=INT(I392),I392&gt;=1,I392&lt;=3,ISNUMBER(J392),J392=INT(J392),J392&gt;=1,J392&lt;=3),I392*J392,"")</x:f>
        <x:v>6</x:v>
      </x:c>
      <x:c r="L392" s="26" t="str">
        <x:f>IF(K392="","",IF(K392&lt;=2,"LOW",IF(K392&lt;=4,"MEDIUM","HIGH")))</x:f>
        <x:v>HIGH</x:v>
      </x:c>
      <x:c r="M392" s="25" t="str">
        <x:v>Safe-work procedures, inspection, housekeeping, guards, and incident reporting are implemented.</x:v>
      </x:c>
      <x:c r="N392" s="25" t="str">
        <x:v>Correct the unsafe condition, document ownership, and verify effectiveness through a follow-up inspection.</x:v>
      </x:c>
      <x:c r="O392" s="30" t="b">
        <x:v>0</x:v>
      </x:c>
      <x:c r="P392" s="27" t="str">
        <x:v>SAFETY_ACCIDENT</x:v>
      </x:c>
      <x:c r="Q392" s="27" t="str">
        <x:v>machinery</x:v>
      </x:c>
      <x:c r="R392" s="27" t="str"/>
      <x:c r="S392" s="31" t="b">
        <x:v>1</x:v>
      </x:c>
      <x:c r="T392" s="27" t="str">
        <x:v>ASM-2026-058</x:v>
      </x:c>
      <x:c r="U392" s="27" t="str">
        <x:v>HZ-2026-058-02</x:v>
      </x:c>
    </x:row>
    <x:row r="393">
      <x:c r="A393" s="28" t="str">
        <x:v>Vaccination Clinic</x:v>
      </x:c>
      <x:c r="B393" s="37" t="n">
        <x:v>46137</x:v>
      </x:c>
      <x:c r="C393" s="26" t="str">
        <x:v>RAH01-2026-058</x:v>
      </x:c>
      <x:c r="D393" s="36" t="n">
        <x:v>3</x:v>
      </x:c>
      <x:c r="E393" s="26" t="str">
        <x:v>Physical Hazards</x:v>
      </x:c>
      <x:c r="F393" s="26" t="str">
        <x:v>Noise</x:v>
      </x:c>
      <x:c r="G393" s="35" t="n">
        <x:v>3</x:v>
      </x:c>
      <x:c r="H393" s="35" t="n">
        <x:v>0</x:v>
      </x:c>
      <x:c r="I393" s="35" t="n">
        <x:v>3</x:v>
      </x:c>
      <x:c r="J393" s="35" t="n">
        <x:v>3</x:v>
      </x:c>
      <x:c r="K393" s="36" t="n">
        <x:f>IF(AND(S393=TRUE,ISNUMBER(I393),I393=INT(I393),I393&gt;=1,I393&lt;=3,ISNUMBER(J393),J393=INT(J393),J393&gt;=1,J393&lt;=3),I393*J393,"")</x:f>
        <x:v>9</x:v>
      </x:c>
      <x:c r="L393" s="26" t="str">
        <x:f>IF(K393="","",IF(K393&lt;=2,"LOW",IF(K393&lt;=4,"MEDIUM","HIGH")))</x:f>
        <x:v>HIGH</x:v>
      </x:c>
      <x:c r="M393" s="25" t="str">
        <x:v>Engineering controls, preventive maintenance, posted limits, and periodic exposure monitoring are in place.</x:v>
      </x:c>
      <x:c r="N393" s="25" t="str">
        <x:v>Measure exposure against the hospital standard and close any engineering-control gap within 90 days.</x:v>
      </x:c>
      <x:c r="O393" s="30" t="b">
        <x:v>1</x:v>
      </x:c>
      <x:c r="P393" s="27" t="str">
        <x:v>PHYSICAL</x:v>
      </x:c>
      <x:c r="Q393" s="27" t="str">
        <x:v>noise</x:v>
      </x:c>
      <x:c r="R393" s="27" t="str"/>
      <x:c r="S393" s="31" t="b">
        <x:v>1</x:v>
      </x:c>
      <x:c r="T393" s="27" t="str">
        <x:v>ASM-2026-058</x:v>
      </x:c>
      <x:c r="U393" s="27" t="str">
        <x:v>HZ-2026-058-03</x:v>
      </x:c>
    </x:row>
    <x:row r="394">
      <x:c r="A394" s="28" t="str">
        <x:v>Vaccination Clinic</x:v>
      </x:c>
      <x:c r="B394" s="37" t="n">
        <x:v>46137</x:v>
      </x:c>
      <x:c r="C394" s="26" t="str">
        <x:v>RAH01-2026-058</x:v>
      </x:c>
      <x:c r="D394" s="36" t="n">
        <x:v>4</x:v>
      </x:c>
      <x:c r="E394" s="26" t="str">
        <x:v>Physical Hazards</x:v>
      </x:c>
      <x:c r="F394" s="26" t="str">
        <x:v>Heat</x:v>
      </x:c>
      <x:c r="G394" s="35" t="n">
        <x:v>6</x:v>
      </x:c>
      <x:c r="H394" s="35" t="n">
        <x:v>1</x:v>
      </x:c>
      <x:c r="I394" s="35" t="n">
        <x:v>3</x:v>
      </x:c>
      <x:c r="J394" s="35" t="n">
        <x:v>2</x:v>
      </x:c>
      <x:c r="K394" s="36" t="n">
        <x:f>IF(AND(S394=TRUE,ISNUMBER(I394),I394=INT(I394),I394&gt;=1,I394&lt;=3,ISNUMBER(J394),J394=INT(J394),J394&gt;=1,J394&lt;=3),I394*J394,"")</x:f>
        <x:v>6</x:v>
      </x:c>
      <x:c r="L394" s="26" t="str">
        <x:f>IF(K394="","",IF(K394&lt;=2,"LOW",IF(K394&lt;=4,"MEDIUM","HIGH")))</x:f>
        <x:v>HIGH</x:v>
      </x:c>
      <x:c r="M394" s="25" t="str">
        <x:v>Engineering controls, preventive maintenance, posted limits, and periodic exposure monitoring are in place.</x:v>
      </x:c>
      <x:c r="N394" s="25" t="str">
        <x:v>Measure exposure against the hospital standard and close any engineering-control gap within 90 days.</x:v>
      </x:c>
      <x:c r="O394" s="30" t="b">
        <x:v>0</x:v>
      </x:c>
      <x:c r="P394" s="27" t="str">
        <x:v>PHYSICAL</x:v>
      </x:c>
      <x:c r="Q394" s="27" t="str">
        <x:v>heat</x:v>
      </x:c>
      <x:c r="R394" s="27" t="str"/>
      <x:c r="S394" s="31" t="b">
        <x:v>1</x:v>
      </x:c>
      <x:c r="T394" s="27" t="str">
        <x:v>ASM-2026-058</x:v>
      </x:c>
      <x:c r="U394" s="27" t="str">
        <x:v>HZ-2026-058-04</x:v>
      </x:c>
    </x:row>
    <x:row r="395">
      <x:c r="A395" s="28" t="str">
        <x:v>Vaccination Clinic</x:v>
      </x:c>
      <x:c r="B395" s="37" t="n">
        <x:v>46137</x:v>
      </x:c>
      <x:c r="C395" s="26" t="str">
        <x:v>RAH01-2026-058</x:v>
      </x:c>
      <x:c r="D395" s="36" t="n">
        <x:v>5</x:v>
      </x:c>
      <x:c r="E395" s="26" t="str">
        <x:v>Safety and Accident Hazards</x:v>
      </x:c>
      <x:c r="F395" s="26" t="str">
        <x:v>Work at Height</x:v>
      </x:c>
      <x:c r="G395" s="35" t="n">
        <x:v>3</x:v>
      </x:c>
      <x:c r="H395" s="35" t="n">
        <x:v>2</x:v>
      </x:c>
      <x:c r="I395" s="35" t="n">
        <x:v>2</x:v>
      </x:c>
      <x:c r="J395" s="35" t="n">
        <x:v>3</x:v>
      </x:c>
      <x:c r="K395" s="36" t="n">
        <x:f>IF(AND(S395=TRUE,ISNUMBER(I395),I395=INT(I395),I395&gt;=1,I395&lt;=3,ISNUMBER(J395),J395=INT(J395),J395&gt;=1,J395&lt;=3),I395*J395,"")</x:f>
        <x:v>6</x:v>
      </x:c>
      <x:c r="L395" s="26" t="str">
        <x:f>IF(K395="","",IF(K395&lt;=2,"LOW",IF(K395&lt;=4,"MEDIUM","HIGH")))</x:f>
        <x:v>HIGH</x:v>
      </x:c>
      <x:c r="M395" s="25" t="str">
        <x:v>Safe-work procedures, inspection, housekeeping, guards, and incident reporting are implemented.</x:v>
      </x:c>
      <x:c r="N395" s="25" t="str">
        <x:v>Correct the unsafe condition, document ownership, and verify effectiveness through a follow-up inspection.</x:v>
      </x:c>
      <x:c r="O395" s="30" t="b">
        <x:v>0</x:v>
      </x:c>
      <x:c r="P395" s="27" t="str">
        <x:v>SAFETY_ACCIDENT</x:v>
      </x:c>
      <x:c r="Q395" s="27" t="str">
        <x:v>work_at_height</x:v>
      </x:c>
      <x:c r="R395" s="27" t="str"/>
      <x:c r="S395" s="31" t="b">
        <x:v>1</x:v>
      </x:c>
      <x:c r="T395" s="27" t="str">
        <x:v>ASM-2026-058</x:v>
      </x:c>
      <x:c r="U395" s="27" t="str">
        <x:v>HZ-2026-058-05</x:v>
      </x:c>
    </x:row>
    <x:row r="396">
      <x:c r="A396" s="28" t="str">
        <x:v>Vaccination Clinic</x:v>
      </x:c>
      <x:c r="B396" s="37" t="n">
        <x:v>46137</x:v>
      </x:c>
      <x:c r="C396" s="26" t="str">
        <x:v>RAH01-2026-058</x:v>
      </x:c>
      <x:c r="D396" s="36" t="n">
        <x:v>6</x:v>
      </x:c>
      <x:c r="E396" s="26" t="str">
        <x:v>Safety and Accident Hazards</x:v>
      </x:c>
      <x:c r="F396" s="26" t="str">
        <x:v>Confined Space Work</x:v>
      </x:c>
      <x:c r="G396" s="35" t="n">
        <x:v>6</x:v>
      </x:c>
      <x:c r="H396" s="35" t="n">
        <x:v>0</x:v>
      </x:c>
      <x:c r="I396" s="35" t="n">
        <x:v>3</x:v>
      </x:c>
      <x:c r="J396" s="35" t="n">
        <x:v>3</x:v>
      </x:c>
      <x:c r="K396" s="36" t="n">
        <x:f>IF(AND(S396=TRUE,ISNUMBER(I396),I396=INT(I396),I396&gt;=1,I396&lt;=3,ISNUMBER(J396),J396=INT(J396),J396&gt;=1,J396&lt;=3),I396*J396,"")</x:f>
        <x:v>9</x:v>
      </x:c>
      <x:c r="L396" s="26" t="str">
        <x:f>IF(K396="","",IF(K396&lt;=2,"LOW",IF(K396&lt;=4,"MEDIUM","HIGH")))</x:f>
        <x:v>HIGH</x:v>
      </x:c>
      <x:c r="M396" s="25" t="str">
        <x:v>Safe-work procedures, inspection, housekeeping, guards, and incident reporting are implemented.</x:v>
      </x:c>
      <x:c r="N396" s="25" t="str">
        <x:v>Correct the unsafe condition, document ownership, and verify effectiveness through a follow-up inspection.</x:v>
      </x:c>
      <x:c r="O396" s="30" t="b">
        <x:v>1</x:v>
      </x:c>
      <x:c r="P396" s="27" t="str">
        <x:v>SAFETY_ACCIDENT</x:v>
      </x:c>
      <x:c r="Q396" s="27" t="str">
        <x:v>confined_space</x:v>
      </x:c>
      <x:c r="R396" s="27" t="str"/>
      <x:c r="S396" s="31" t="b">
        <x:v>1</x:v>
      </x:c>
      <x:c r="T396" s="27" t="str">
        <x:v>ASM-2026-058</x:v>
      </x:c>
      <x:c r="U396" s="27" t="str">
        <x:v>HZ-2026-058-06</x:v>
      </x:c>
    </x:row>
    <x:row r="397">
      <x:c r="A397" s="28" t="str">
        <x:v>Vaccination Clinic</x:v>
      </x:c>
      <x:c r="B397" s="37" t="n">
        <x:v>46137</x:v>
      </x:c>
      <x:c r="C397" s="26" t="str">
        <x:v>RAH01-2026-058</x:v>
      </x:c>
      <x:c r="D397" s="36" t="n">
        <x:v>7</x:v>
      </x:c>
      <x:c r="E397" s="26" t="str">
        <x:v>Fire and Disaster Hazards</x:v>
      </x:c>
      <x:c r="F397" s="26" t="str">
        <x:v>Generator Work</x:v>
      </x:c>
      <x:c r="G397" s="35" t="n">
        <x:v>3</x:v>
      </x:c>
      <x:c r="H397" s="35" t="n">
        <x:v>1</x:v>
      </x:c>
      <x:c r="I397" s="35" t="n">
        <x:v>3</x:v>
      </x:c>
      <x:c r="J397" s="35" t="n">
        <x:v>2</x:v>
      </x:c>
      <x:c r="K397" s="36" t="n">
        <x:f>IF(AND(S397=TRUE,ISNUMBER(I397),I397=INT(I397),I397&gt;=1,I397&lt;=3,ISNUMBER(J397),J397=INT(J397),J397&gt;=1,J397&lt;=3),I397*J397,"")</x:f>
        <x:v>6</x:v>
      </x:c>
      <x:c r="L397" s="26" t="str">
        <x:f>IF(K397="","",IF(K397&lt;=2,"LOW",IF(K397&lt;=4,"MEDIUM","HIGH")))</x:f>
        <x:v>HIGH</x:v>
      </x:c>
      <x:c r="M397" s="25" t="str">
        <x:v>Electrical inspection, isolation procedures, alarms, extinguishers, and emergency response plans are maintained.</x:v>
      </x:c>
      <x:c r="N397" s="25" t="str">
        <x:v>Complete an engineering inspection and emergency-readiness check before the next scheduled review.</x:v>
      </x:c>
      <x:c r="O397" s="30" t="b">
        <x:v>0</x:v>
      </x:c>
      <x:c r="P397" s="27" t="str">
        <x:v>FIRE_DISASTER</x:v>
      </x:c>
      <x:c r="Q397" s="27" t="str">
        <x:v>generator</x:v>
      </x:c>
      <x:c r="R397" s="27" t="str"/>
      <x:c r="S397" s="31" t="b">
        <x:v>1</x:v>
      </x:c>
      <x:c r="T397" s="27" t="str">
        <x:v>ASM-2026-058</x:v>
      </x:c>
      <x:c r="U397" s="27" t="str">
        <x:v>HZ-2026-058-07</x:v>
      </x:c>
    </x:row>
    <x:row r="398">
      <x:c r="A398" s="28" t="str">
        <x:v>Vaccination Clinic</x:v>
      </x:c>
      <x:c r="B398" s="37" t="n">
        <x:v>46137</x:v>
      </x:c>
      <x:c r="C398" s="26" t="str">
        <x:v>RAH01-2026-058</x:v>
      </x:c>
      <x:c r="D398" s="36" t="n">
        <x:v>8</x:v>
      </x:c>
      <x:c r="E398" s="26" t="str">
        <x:v>Indoor Air Quality Hazards</x:v>
      </x:c>
      <x:c r="F398" s="26" t="str">
        <x:v>Dust</x:v>
      </x:c>
      <x:c r="G398" s="35" t="n">
        <x:v>6</x:v>
      </x:c>
      <x:c r="H398" s="35" t="n">
        <x:v>2</x:v>
      </x:c>
      <x:c r="I398" s="35" t="n">
        <x:v>2</x:v>
      </x:c>
      <x:c r="J398" s="35" t="n">
        <x:v>3</x:v>
      </x:c>
      <x:c r="K398" s="36" t="n">
        <x:f>IF(AND(S398=TRUE,ISNUMBER(I398),I398=INT(I398),I398&gt;=1,I398&lt;=3,ISNUMBER(J398),J398=INT(J398),J398&gt;=1,J398&lt;=3),I398*J398,"")</x:f>
        <x:v>6</x:v>
      </x:c>
      <x:c r="L398" s="26" t="str">
        <x:f>IF(K398="","",IF(K398&lt;=2,"LOW",IF(K398&lt;=4,"MEDIUM","HIGH")))</x:f>
        <x:v>HIGH</x:v>
      </x:c>
      <x:c r="M398" s="25" t="str">
        <x:v>Ventilation, cleaning, occupancy management, and environmental inspection are performed.</x:v>
      </x:c>
      <x:c r="N398" s="25" t="str">
        <x:v>Inspect ventilation and moisture sources, then document corrective action and environmental recheck.</x:v>
      </x:c>
      <x:c r="O398" s="30" t="b">
        <x:v>0</x:v>
      </x:c>
      <x:c r="P398" s="27" t="str">
        <x:v>INDOOR_AIR_QUALITY</x:v>
      </x:c>
      <x:c r="Q398" s="27" t="str">
        <x:v>dust</x:v>
      </x:c>
      <x:c r="R398" s="27" t="str"/>
      <x:c r="S398" s="31" t="b">
        <x:v>1</x:v>
      </x:c>
      <x:c r="T398" s="27" t="str">
        <x:v>ASM-2026-058</x:v>
      </x:c>
      <x:c r="U398" s="27" t="str">
        <x:v>HZ-2026-058-08</x:v>
      </x:c>
    </x:row>
    <x:row r="399">
      <x:c r="A399" s="28" t="str">
        <x:v>Vaccination Clinic</x:v>
      </x:c>
      <x:c r="B399" s="37" t="n">
        <x:v>46137</x:v>
      </x:c>
      <x:c r="C399" s="26" t="str">
        <x:v>RAH01-2026-058</x:v>
      </x:c>
      <x:c r="D399" s="36" t="n">
        <x:v>9</x:v>
      </x:c>
      <x:c r="E399" s="26" t="str">
        <x:v>Fire and Disaster Hazards</x:v>
      </x:c>
      <x:c r="F399" s="26" t="str">
        <x:v>Unexpected stored energy during utility maintenance</x:v>
      </x:c>
      <x:c r="G399" s="35" t="n">
        <x:v>3</x:v>
      </x:c>
      <x:c r="H399" s="35" t="n">
        <x:v>0</x:v>
      </x:c>
      <x:c r="I399" s="35" t="n">
        <x:v>3</x:v>
      </x:c>
      <x:c r="J399" s="35" t="n">
        <x:v>3</x:v>
      </x:c>
      <x:c r="K399" s="36" t="n">
        <x:f>IF(AND(S399=TRUE,ISNUMBER(I399),I399=INT(I399),I399&gt;=1,I399&lt;=3,ISNUMBER(J399),J399=INT(J399),J399&gt;=1,J399&lt;=3),I399*J399,"")</x:f>
        <x:v>9</x:v>
      </x:c>
      <x:c r="L399" s="26" t="str">
        <x:f>IF(K399="","",IF(K399&lt;=2,"LOW",IF(K399&lt;=4,"MEDIUM","HIGH")))</x:f>
        <x:v>HIGH</x:v>
      </x:c>
      <x:c r="M399" s="25" t="str">
        <x:v>Electrical inspection, isolation procedures, alarms, extinguishers, and emergency response plans are maintained.</x:v>
      </x:c>
      <x:c r="N399" s="25" t="str">
        <x:v>Complete an engineering inspection and emergency-readiness check before the next scheduled review.</x:v>
      </x:c>
      <x:c r="O399" s="30" t="b">
        <x:v>1</x:v>
      </x:c>
      <x:c r="P399" s="27" t="str">
        <x:v>FIRE_DISASTER</x:v>
      </x:c>
      <x:c r="Q399" s="27" t="str">
        <x:v>OTHER</x:v>
      </x:c>
      <x:c r="R399" s="27" t="str">
        <x:v>Unexpected stored energy during utility maintenance</x:v>
      </x:c>
      <x:c r="S399" s="31" t="b">
        <x:v>1</x:v>
      </x:c>
      <x:c r="T399" s="27" t="str">
        <x:v>ASM-2026-058</x:v>
      </x:c>
      <x:c r="U399" s="27" t="str">
        <x:v>HZ-2026-058-09</x:v>
      </x:c>
    </x:row>
    <x:row r="400">
      <x:c r="A400" s="28" t="str">
        <x:v>Ward 1</x:v>
      </x:c>
      <x:c r="B400" s="37" t="n">
        <x:v>46145</x:v>
      </x:c>
      <x:c r="C400" s="26" t="str">
        <x:v>RAH01-2026-059</x:v>
      </x:c>
      <x:c r="D400" s="36" t="n">
        <x:v>1</x:v>
      </x:c>
      <x:c r="E400" s="26" t="str">
        <x:v>Fire and Disaster Hazards</x:v>
      </x:c>
      <x:c r="F400" s="26" t="str">
        <x:v>Electrical Work / Wiring</x:v>
      </x:c>
      <x:c r="G400" s="35" t="n">
        <x:v>2</x:v>
      </x:c>
      <x:c r="H400" s="35" t="n">
        <x:v>2</x:v>
      </x:c>
      <x:c r="I400" s="35" t="n">
        <x:v>3</x:v>
      </x:c>
      <x:c r="J400" s="35" t="n">
        <x:v>3</x:v>
      </x:c>
      <x:c r="K400" s="36" t="n">
        <x:f>IF(AND(S400=TRUE,ISNUMBER(I400),I400=INT(I400),I400&gt;=1,I400&lt;=3,ISNUMBER(J400),J400=INT(J400),J400&gt;=1,J400&lt;=3),I400*J400,"")</x:f>
        <x:v>9</x:v>
      </x:c>
      <x:c r="L400" s="26" t="str">
        <x:f>IF(K400="","",IF(K400&lt;=2,"LOW",IF(K400&lt;=4,"MEDIUM","HIGH")))</x:f>
        <x:v>HIGH</x:v>
      </x:c>
      <x:c r="M400" s="25" t="str">
        <x:v>Electrical inspection, isolation procedures, alarms, extinguishers, and emergency response plans are maintained.</x:v>
      </x:c>
      <x:c r="N400" s="25" t="str">
        <x:v>Complete an engineering inspection and emergency-readiness check before the next scheduled review.</x:v>
      </x:c>
      <x:c r="O400" s="30" t="b">
        <x:v>0</x:v>
      </x:c>
      <x:c r="P400" s="27" t="str">
        <x:v>FIRE_DISASTER</x:v>
      </x:c>
      <x:c r="Q400" s="27" t="str">
        <x:v>electrical_work</x:v>
      </x:c>
      <x:c r="R400" s="27" t="str"/>
      <x:c r="S400" s="31" t="b">
        <x:v>1</x:v>
      </x:c>
      <x:c r="T400" s="27" t="str">
        <x:v>ASM-2026-059</x:v>
      </x:c>
      <x:c r="U400" s="27" t="str">
        <x:v>HZ-2026-059-01</x:v>
      </x:c>
    </x:row>
    <x:row r="401">
      <x:c r="A401" s="28" t="str">
        <x:v>Ward 1</x:v>
      </x:c>
      <x:c r="B401" s="37" t="n">
        <x:v>46145</x:v>
      </x:c>
      <x:c r="C401" s="26" t="str">
        <x:v>RAH01-2026-059</x:v>
      </x:c>
      <x:c r="D401" s="36" t="n">
        <x:v>2</x:v>
      </x:c>
      <x:c r="E401" s="26" t="str">
        <x:v>Safety and Accident Hazards</x:v>
      </x:c>
      <x:c r="F401" s="26" t="str">
        <x:v>Machinery Operation</x:v>
      </x:c>
      <x:c r="G401" s="35" t="n">
        <x:v>5</x:v>
      </x:c>
      <x:c r="H401" s="35" t="n">
        <x:v>0</x:v>
      </x:c>
      <x:c r="I401" s="35" t="n">
        <x:v>3</x:v>
      </x:c>
      <x:c r="J401" s="35" t="n">
        <x:v>2</x:v>
      </x:c>
      <x:c r="K401" s="36" t="n">
        <x:f>IF(AND(S401=TRUE,ISNUMBER(I401),I401=INT(I401),I401&gt;=1,I401&lt;=3,ISNUMBER(J401),J401=INT(J401),J401&gt;=1,J401&lt;=3),I401*J401,"")</x:f>
        <x:v>6</x:v>
      </x:c>
      <x:c r="L401" s="26" t="str">
        <x:f>IF(K401="","",IF(K401&lt;=2,"LOW",IF(K401&lt;=4,"MEDIUM","HIGH")))</x:f>
        <x:v>HIGH</x:v>
      </x:c>
      <x:c r="M401" s="25" t="str">
        <x:v>Safe-work procedures, inspection, housekeeping, guards, and incident reporting are implemented.</x:v>
      </x:c>
      <x:c r="N401" s="25" t="str">
        <x:v>Correct the unsafe condition, document ownership, and verify effectiveness through a follow-up inspection.</x:v>
      </x:c>
      <x:c r="O401" s="30" t="b">
        <x:v>1</x:v>
      </x:c>
      <x:c r="P401" s="27" t="str">
        <x:v>SAFETY_ACCIDENT</x:v>
      </x:c>
      <x:c r="Q401" s="27" t="str">
        <x:v>machinery</x:v>
      </x:c>
      <x:c r="R401" s="27" t="str"/>
      <x:c r="S401" s="31" t="b">
        <x:v>1</x:v>
      </x:c>
      <x:c r="T401" s="27" t="str">
        <x:v>ASM-2026-059</x:v>
      </x:c>
      <x:c r="U401" s="27" t="str">
        <x:v>HZ-2026-059-02</x:v>
      </x:c>
    </x:row>
    <x:row r="402">
      <x:c r="A402" s="28" t="str">
        <x:v>Ward 1</x:v>
      </x:c>
      <x:c r="B402" s="37" t="n">
        <x:v>46145</x:v>
      </x:c>
      <x:c r="C402" s="26" t="str">
        <x:v>RAH01-2026-059</x:v>
      </x:c>
      <x:c r="D402" s="36" t="n">
        <x:v>3</x:v>
      </x:c>
      <x:c r="E402" s="26" t="str">
        <x:v>Physical Hazards</x:v>
      </x:c>
      <x:c r="F402" s="26" t="str">
        <x:v>Noise</x:v>
      </x:c>
      <x:c r="G402" s="35" t="n">
        <x:v>8</x:v>
      </x:c>
      <x:c r="H402" s="35" t="n">
        <x:v>1</x:v>
      </x:c>
      <x:c r="I402" s="35" t="n">
        <x:v>2</x:v>
      </x:c>
      <x:c r="J402" s="35" t="n">
        <x:v>3</x:v>
      </x:c>
      <x:c r="K402" s="36" t="n">
        <x:f>IF(AND(S402=TRUE,ISNUMBER(I402),I402=INT(I402),I402&gt;=1,I402&lt;=3,ISNUMBER(J402),J402=INT(J402),J402&gt;=1,J402&lt;=3),I402*J402,"")</x:f>
        <x:v>6</x:v>
      </x:c>
      <x:c r="L402" s="26" t="str">
        <x:f>IF(K402="","",IF(K402&lt;=2,"LOW",IF(K402&lt;=4,"MEDIUM","HIGH")))</x:f>
        <x:v>HIGH</x:v>
      </x:c>
      <x:c r="M402" s="25" t="str">
        <x:v>Engineering controls, preventive maintenance, posted limits, and periodic exposure monitoring are in place.</x:v>
      </x:c>
      <x:c r="N402" s="25" t="str">
        <x:v>Measure exposure against the hospital standard and close any engineering-control gap within 90 days.</x:v>
      </x:c>
      <x:c r="O402" s="30" t="b">
        <x:v>0</x:v>
      </x:c>
      <x:c r="P402" s="27" t="str">
        <x:v>PHYSICAL</x:v>
      </x:c>
      <x:c r="Q402" s="27" t="str">
        <x:v>noise</x:v>
      </x:c>
      <x:c r="R402" s="27" t="str"/>
      <x:c r="S402" s="31" t="b">
        <x:v>1</x:v>
      </x:c>
      <x:c r="T402" s="27" t="str">
        <x:v>ASM-2026-059</x:v>
      </x:c>
      <x:c r="U402" s="27" t="str">
        <x:v>HZ-2026-059-03</x:v>
      </x:c>
    </x:row>
    <x:row r="403">
      <x:c r="A403" s="28" t="str">
        <x:v>Ward 1</x:v>
      </x:c>
      <x:c r="B403" s="37" t="n">
        <x:v>46145</x:v>
      </x:c>
      <x:c r="C403" s="26" t="str">
        <x:v>RAH01-2026-059</x:v>
      </x:c>
      <x:c r="D403" s="36" t="n">
        <x:v>4</x:v>
      </x:c>
      <x:c r="E403" s="26" t="str">
        <x:v>Physical Hazards</x:v>
      </x:c>
      <x:c r="F403" s="26" t="str">
        <x:v>Heat</x:v>
      </x:c>
      <x:c r="G403" s="35" t="n">
        <x:v>11</x:v>
      </x:c>
      <x:c r="H403" s="35" t="n">
        <x:v>2</x:v>
      </x:c>
      <x:c r="I403" s="35" t="n">
        <x:v>3</x:v>
      </x:c>
      <x:c r="J403" s="35" t="n">
        <x:v>3</x:v>
      </x:c>
      <x:c r="K403" s="36" t="n">
        <x:f>IF(AND(S403=TRUE,ISNUMBER(I403),I403=INT(I403),I403&gt;=1,I403&lt;=3,ISNUMBER(J403),J403=INT(J403),J403&gt;=1,J403&lt;=3),I403*J403,"")</x:f>
        <x:v>9</x:v>
      </x:c>
      <x:c r="L403" s="26" t="str">
        <x:f>IF(K403="","",IF(K403&lt;=2,"LOW",IF(K403&lt;=4,"MEDIUM","HIGH")))</x:f>
        <x:v>HIGH</x:v>
      </x:c>
      <x:c r="M403" s="25" t="str">
        <x:v>Engineering controls, preventive maintenance, posted limits, and periodic exposure monitoring are in place.</x:v>
      </x:c>
      <x:c r="N403" s="25" t="str">
        <x:v>Measure exposure against the hospital standard and close any engineering-control gap within 90 days.</x:v>
      </x:c>
      <x:c r="O403" s="30" t="b">
        <x:v>0</x:v>
      </x:c>
      <x:c r="P403" s="27" t="str">
        <x:v>PHYSICAL</x:v>
      </x:c>
      <x:c r="Q403" s="27" t="str">
        <x:v>heat</x:v>
      </x:c>
      <x:c r="R403" s="27" t="str"/>
      <x:c r="S403" s="31" t="b">
        <x:v>1</x:v>
      </x:c>
      <x:c r="T403" s="27" t="str">
        <x:v>ASM-2026-059</x:v>
      </x:c>
      <x:c r="U403" s="27" t="str">
        <x:v>HZ-2026-059-04</x:v>
      </x:c>
    </x:row>
    <x:row r="404">
      <x:c r="A404" s="28" t="str">
        <x:v>Ward 1</x:v>
      </x:c>
      <x:c r="B404" s="37" t="n">
        <x:v>46145</x:v>
      </x:c>
      <x:c r="C404" s="26" t="str">
        <x:v>RAH01-2026-059</x:v>
      </x:c>
      <x:c r="D404" s="36" t="n">
        <x:v>5</x:v>
      </x:c>
      <x:c r="E404" s="26" t="str">
        <x:v>Safety and Accident Hazards</x:v>
      </x:c>
      <x:c r="F404" s="26" t="str">
        <x:v>Work at Height</x:v>
      </x:c>
      <x:c r="G404" s="35" t="n">
        <x:v>1</x:v>
      </x:c>
      <x:c r="H404" s="35" t="n">
        <x:v>0</x:v>
      </x:c>
      <x:c r="I404" s="35" t="n">
        <x:v>3</x:v>
      </x:c>
      <x:c r="J404" s="35" t="n">
        <x:v>2</x:v>
      </x:c>
      <x:c r="K404" s="36" t="n">
        <x:f>IF(AND(S404=TRUE,ISNUMBER(I404),I404=INT(I404),I404&gt;=1,I404&lt;=3,ISNUMBER(J404),J404=INT(J404),J404&gt;=1,J404&lt;=3),I404*J404,"")</x:f>
        <x:v>6</x:v>
      </x:c>
      <x:c r="L404" s="26" t="str">
        <x:f>IF(K404="","",IF(K404&lt;=2,"LOW",IF(K404&lt;=4,"MEDIUM","HIGH")))</x:f>
        <x:v>HIGH</x:v>
      </x:c>
      <x:c r="M404" s="25" t="str">
        <x:v>Safe-work procedures, inspection, housekeeping, guards, and incident reporting are implemented.</x:v>
      </x:c>
      <x:c r="N404" s="25" t="str">
        <x:v>Correct the unsafe condition, document ownership, and verify effectiveness through a follow-up inspection.</x:v>
      </x:c>
      <x:c r="O404" s="30" t="b">
        <x:v>1</x:v>
      </x:c>
      <x:c r="P404" s="27" t="str">
        <x:v>SAFETY_ACCIDENT</x:v>
      </x:c>
      <x:c r="Q404" s="27" t="str">
        <x:v>work_at_height</x:v>
      </x:c>
      <x:c r="R404" s="27" t="str"/>
      <x:c r="S404" s="31" t="b">
        <x:v>1</x:v>
      </x:c>
      <x:c r="T404" s="27" t="str">
        <x:v>ASM-2026-059</x:v>
      </x:c>
      <x:c r="U404" s="27" t="str">
        <x:v>HZ-2026-059-05</x:v>
      </x:c>
    </x:row>
    <x:row r="405">
      <x:c r="A405" s="28" t="str">
        <x:v>Ward 1</x:v>
      </x:c>
      <x:c r="B405" s="37" t="n">
        <x:v>46145</x:v>
      </x:c>
      <x:c r="C405" s="26" t="str">
        <x:v>RAH01-2026-059</x:v>
      </x:c>
      <x:c r="D405" s="36" t="n">
        <x:v>6</x:v>
      </x:c>
      <x:c r="E405" s="26" t="str">
        <x:v>Safety and Accident Hazards</x:v>
      </x:c>
      <x:c r="F405" s="26" t="str">
        <x:v>Confined Space Work</x:v>
      </x:c>
      <x:c r="G405" s="35" t="n">
        <x:v>4</x:v>
      </x:c>
      <x:c r="H405" s="35" t="n">
        <x:v>1</x:v>
      </x:c>
      <x:c r="I405" s="35" t="n">
        <x:v>2</x:v>
      </x:c>
      <x:c r="J405" s="35" t="n">
        <x:v>3</x:v>
      </x:c>
      <x:c r="K405" s="36" t="n">
        <x:f>IF(AND(S405=TRUE,ISNUMBER(I405),I405=INT(I405),I405&gt;=1,I405&lt;=3,ISNUMBER(J405),J405=INT(J405),J405&gt;=1,J405&lt;=3),I405*J405,"")</x:f>
        <x:v>6</x:v>
      </x:c>
      <x:c r="L405" s="26" t="str">
        <x:f>IF(K405="","",IF(K405&lt;=2,"LOW",IF(K405&lt;=4,"MEDIUM","HIGH")))</x:f>
        <x:v>HIGH</x:v>
      </x:c>
      <x:c r="M405" s="25" t="str">
        <x:v>Safe-work procedures, inspection, housekeeping, guards, and incident reporting are implemented.</x:v>
      </x:c>
      <x:c r="N405" s="25" t="str">
        <x:v>Correct the unsafe condition, document ownership, and verify effectiveness through a follow-up inspection.</x:v>
      </x:c>
      <x:c r="O405" s="30" t="b">
        <x:v>0</x:v>
      </x:c>
      <x:c r="P405" s="27" t="str">
        <x:v>SAFETY_ACCIDENT</x:v>
      </x:c>
      <x:c r="Q405" s="27" t="str">
        <x:v>confined_space</x:v>
      </x:c>
      <x:c r="R405" s="27" t="str"/>
      <x:c r="S405" s="31" t="b">
        <x:v>1</x:v>
      </x:c>
      <x:c r="T405" s="27" t="str">
        <x:v>ASM-2026-059</x:v>
      </x:c>
      <x:c r="U405" s="27" t="str">
        <x:v>HZ-2026-059-06</x:v>
      </x:c>
    </x:row>
    <x:row r="406">
      <x:c r="A406" s="28" t="str">
        <x:v>Ward 1</x:v>
      </x:c>
      <x:c r="B406" s="37" t="n">
        <x:v>46145</x:v>
      </x:c>
      <x:c r="C406" s="26" t="str">
        <x:v>RAH01-2026-059</x:v>
      </x:c>
      <x:c r="D406" s="36" t="n">
        <x:v>7</x:v>
      </x:c>
      <x:c r="E406" s="26" t="str">
        <x:v>Fire and Disaster Hazards</x:v>
      </x:c>
      <x:c r="F406" s="26" t="str">
        <x:v>Generator Work</x:v>
      </x:c>
      <x:c r="G406" s="35" t="n">
        <x:v>7</x:v>
      </x:c>
      <x:c r="H406" s="35" t="n">
        <x:v>2</x:v>
      </x:c>
      <x:c r="I406" s="35" t="n">
        <x:v>3</x:v>
      </x:c>
      <x:c r="J406" s="35" t="n">
        <x:v>3</x:v>
      </x:c>
      <x:c r="K406" s="36" t="n">
        <x:f>IF(AND(S406=TRUE,ISNUMBER(I406),I406=INT(I406),I406&gt;=1,I406&lt;=3,ISNUMBER(J406),J406=INT(J406),J406&gt;=1,J406&lt;=3),I406*J406,"")</x:f>
        <x:v>9</x:v>
      </x:c>
      <x:c r="L406" s="26" t="str">
        <x:f>IF(K406="","",IF(K406&lt;=2,"LOW",IF(K406&lt;=4,"MEDIUM","HIGH")))</x:f>
        <x:v>HIGH</x:v>
      </x:c>
      <x:c r="M406" s="25" t="str">
        <x:v>Electrical inspection, isolation procedures, alarms, extinguishers, and emergency response plans are maintained.</x:v>
      </x:c>
      <x:c r="N406" s="25" t="str">
        <x:v>Complete an engineering inspection and emergency-readiness check before the next scheduled review.</x:v>
      </x:c>
      <x:c r="O406" s="30" t="b">
        <x:v>0</x:v>
      </x:c>
      <x:c r="P406" s="27" t="str">
        <x:v>FIRE_DISASTER</x:v>
      </x:c>
      <x:c r="Q406" s="27" t="str">
        <x:v>generator</x:v>
      </x:c>
      <x:c r="R406" s="27" t="str"/>
      <x:c r="S406" s="31" t="b">
        <x:v>1</x:v>
      </x:c>
      <x:c r="T406" s="27" t="str">
        <x:v>ASM-2026-059</x:v>
      </x:c>
      <x:c r="U406" s="27" t="str">
        <x:v>HZ-2026-059-07</x:v>
      </x:c>
    </x:row>
    <x:row r="407">
      <x:c r="A407" s="28" t="str">
        <x:v>Ward 1</x:v>
      </x:c>
      <x:c r="B407" s="37" t="n">
        <x:v>46145</x:v>
      </x:c>
      <x:c r="C407" s="26" t="str">
        <x:v>RAH01-2026-059</x:v>
      </x:c>
      <x:c r="D407" s="36" t="n">
        <x:v>8</x:v>
      </x:c>
      <x:c r="E407" s="26" t="str">
        <x:v>Fire and Disaster Hazards</x:v>
      </x:c>
      <x:c r="F407" s="26" t="str">
        <x:v>Electrical Equipment</x:v>
      </x:c>
      <x:c r="G407" s="35" t="n">
        <x:v>10</x:v>
      </x:c>
      <x:c r="H407" s="35" t="n">
        <x:v>0</x:v>
      </x:c>
      <x:c r="I407" s="35" t="n">
        <x:v>3</x:v>
      </x:c>
      <x:c r="J407" s="35" t="n">
        <x:v>2</x:v>
      </x:c>
      <x:c r="K407" s="36" t="n">
        <x:f>IF(AND(S407=TRUE,ISNUMBER(I407),I407=INT(I407),I407&gt;=1,I407&lt;=3,ISNUMBER(J407),J407=INT(J407),J407&gt;=1,J407&lt;=3),I407*J407,"")</x:f>
        <x:v>6</x:v>
      </x:c>
      <x:c r="L407" s="26" t="str">
        <x:f>IF(K407="","",IF(K407&lt;=2,"LOW",IF(K407&lt;=4,"MEDIUM","HIGH")))</x:f>
        <x:v>HIGH</x:v>
      </x:c>
      <x:c r="M407" s="25" t="str">
        <x:v>Electrical inspection, isolation procedures, alarms, extinguishers, and emergency response plans are maintained.</x:v>
      </x:c>
      <x:c r="N407" s="25" t="str">
        <x:v>Complete an engineering inspection and emergency-readiness check before the next scheduled review.</x:v>
      </x:c>
      <x:c r="O407" s="30" t="b">
        <x:v>1</x:v>
      </x:c>
      <x:c r="P407" s="27" t="str">
        <x:v>FIRE_DISASTER</x:v>
      </x:c>
      <x:c r="Q407" s="27" t="str">
        <x:v>electrical_equipment</x:v>
      </x:c>
      <x:c r="R407" s="27" t="str"/>
      <x:c r="S407" s="31" t="b">
        <x:v>1</x:v>
      </x:c>
      <x:c r="T407" s="27" t="str">
        <x:v>ASM-2026-059</x:v>
      </x:c>
      <x:c r="U407" s="27" t="str">
        <x:v>HZ-2026-059-08</x:v>
      </x:c>
    </x:row>
    <x:row r="408">
      <x:c r="A408" s="28" t="str">
        <x:v>Ward 1</x:v>
      </x:c>
      <x:c r="B408" s="37" t="n">
        <x:v>46145</x:v>
      </x:c>
      <x:c r="C408" s="26" t="str">
        <x:v>RAH01-2026-059</x:v>
      </x:c>
      <x:c r="D408" s="36" t="n">
        <x:v>9</x:v>
      </x:c>
      <x:c r="E408" s="26" t="str">
        <x:v>Fire and Disaster Hazards</x:v>
      </x:c>
      <x:c r="F408" s="26" t="str">
        <x:v>Unexpected stored energy during utility maintenance</x:v>
      </x:c>
      <x:c r="G408" s="35" t="n">
        <x:v>13</x:v>
      </x:c>
      <x:c r="H408" s="35" t="n">
        <x:v>1</x:v>
      </x:c>
      <x:c r="I408" s="35" t="n">
        <x:v>2</x:v>
      </x:c>
      <x:c r="J408" s="35" t="n">
        <x:v>3</x:v>
      </x:c>
      <x:c r="K408" s="36" t="n">
        <x:f>IF(AND(S408=TRUE,ISNUMBER(I408),I408=INT(I408),I408&gt;=1,I408&lt;=3,ISNUMBER(J408),J408=INT(J408),J408&gt;=1,J408&lt;=3),I408*J408,"")</x:f>
        <x:v>6</x:v>
      </x:c>
      <x:c r="L408" s="26" t="str">
        <x:f>IF(K408="","",IF(K408&lt;=2,"LOW",IF(K408&lt;=4,"MEDIUM","HIGH")))</x:f>
        <x:v>HIGH</x:v>
      </x:c>
      <x:c r="M408" s="25" t="str">
        <x:v>Electrical inspection, isolation procedures, alarms, extinguishers, and emergency response plans are maintained.</x:v>
      </x:c>
      <x:c r="N408" s="25" t="str">
        <x:v>Complete an engineering inspection and emergency-readiness check before the next scheduled review.</x:v>
      </x:c>
      <x:c r="O408" s="30" t="b">
        <x:v>0</x:v>
      </x:c>
      <x:c r="P408" s="27" t="str">
        <x:v>FIRE_DISASTER</x:v>
      </x:c>
      <x:c r="Q408" s="27" t="str">
        <x:v>OTHER</x:v>
      </x:c>
      <x:c r="R408" s="27" t="str">
        <x:v>Unexpected stored energy during utility maintenance</x:v>
      </x:c>
      <x:c r="S408" s="31" t="b">
        <x:v>1</x:v>
      </x:c>
      <x:c r="T408" s="27" t="str">
        <x:v>ASM-2026-059</x:v>
      </x:c>
      <x:c r="U408" s="27" t="str">
        <x:v>HZ-2026-059-09</x:v>
      </x:c>
    </x:row>
    <x:row r="409">
      <x:c r="A409" s="28" t="str">
        <x:v>Ward 10</x:v>
      </x:c>
      <x:c r="B409" s="37" t="n">
        <x:v>46058</x:v>
      </x:c>
      <x:c r="C409" s="26" t="str">
        <x:v>RAH01-2026-068</x:v>
      </x:c>
      <x:c r="D409" s="36" t="n">
        <x:v>1</x:v>
      </x:c>
      <x:c r="E409" s="26" t="str">
        <x:v>Biological Hazards</x:v>
      </x:c>
      <x:c r="F409" s="26" t="str">
        <x:v>Viruses</x:v>
      </x:c>
      <x:c r="G409" s="35" t="n">
        <x:v>11</x:v>
      </x:c>
      <x:c r="H409" s="35" t="n">
        <x:v>30</x:v>
      </x:c>
      <x:c r="I409" s="35" t="n">
        <x:v>3</x:v>
      </x:c>
      <x:c r="J409" s="35" t="n">
        <x:v>3</x:v>
      </x:c>
      <x:c r="K409" s="36" t="n">
        <x:f>IF(AND(S409=TRUE,ISNUMBER(I409),I409=INT(I409),I409&gt;=1,I409&lt;=3,ISNUMBER(J409),J409=INT(J409),J409&gt;=1,J409&lt;=3),I409*J409,"")</x:f>
        <x:v>9</x:v>
      </x:c>
      <x:c r="L409" s="26" t="str">
        <x:f>IF(K409="","",IF(K409&lt;=2,"LOW",IF(K409&lt;=4,"MEDIUM","HIGH")))</x:f>
        <x:v>HIGH</x:v>
      </x:c>
      <x:c r="M409" s="25" t="str">
        <x:v>Standard precautions, hand hygiene, vaccination, cleaning, and appropriate PPE are implemented.</x:v>
      </x:c>
      <x:c r="N409" s="25" t="str">
        <x:v>Audit compliance, investigate exposure incidents, and reinforce source-control and PPE practice.</x:v>
      </x:c>
      <x:c r="O409" s="30" t="b">
        <x:v>0</x:v>
      </x:c>
      <x:c r="P409" s="27" t="str">
        <x:v>BIOLOGICAL</x:v>
      </x:c>
      <x:c r="Q409" s="27" t="str">
        <x:v>viruses</x:v>
      </x:c>
      <x:c r="R409" s="27" t="str"/>
      <x:c r="S409" s="31" t="b">
        <x:v>1</x:v>
      </x:c>
      <x:c r="T409" s="27" t="str">
        <x:v>ASM-2026-068</x:v>
      </x:c>
      <x:c r="U409" s="27" t="str">
        <x:v>HZ-2026-068-01</x:v>
      </x:c>
    </x:row>
    <x:row r="410">
      <x:c r="A410" s="28" t="str">
        <x:v>Ward 10</x:v>
      </x:c>
      <x:c r="B410" s="37" t="n">
        <x:v>46058</x:v>
      </x:c>
      <x:c r="C410" s="26" t="str">
        <x:v>RAH01-2026-068</x:v>
      </x:c>
      <x:c r="D410" s="36" t="n">
        <x:v>2</x:v>
      </x:c>
      <x:c r="E410" s="26" t="str">
        <x:v>Biological Hazards</x:v>
      </x:c>
      <x:c r="F410" s="26" t="str">
        <x:v>Bacteria</x:v>
      </x:c>
      <x:c r="G410" s="35" t="n">
        <x:v>14</x:v>
      </x:c>
      <x:c r="H410" s="35" t="n">
        <x:v>6</x:v>
      </x:c>
      <x:c r="I410" s="35" t="n">
        <x:v>3</x:v>
      </x:c>
      <x:c r="J410" s="35" t="n">
        <x:v>2</x:v>
      </x:c>
      <x:c r="K410" s="36" t="n">
        <x:f>IF(AND(S410=TRUE,ISNUMBER(I410),I410=INT(I410),I410&gt;=1,I410&lt;=3,ISNUMBER(J410),J410=INT(J410),J410&gt;=1,J410&lt;=3),I410*J410,"")</x:f>
        <x:v>6</x:v>
      </x:c>
      <x:c r="L410" s="26" t="str">
        <x:f>IF(K410="","",IF(K410&lt;=2,"LOW",IF(K410&lt;=4,"MEDIUM","HIGH")))</x:f>
        <x:v>HIGH</x:v>
      </x:c>
      <x:c r="M410" s="25" t="str">
        <x:v>Standard precautions, hand hygiene, vaccination, cleaning, and appropriate PPE are implemented.</x:v>
      </x:c>
      <x:c r="N410" s="25" t="str">
        <x:v>Audit compliance, investigate exposure incidents, and reinforce source-control and PPE practice.</x:v>
      </x:c>
      <x:c r="O410" s="30" t="b">
        <x:v>1</x:v>
      </x:c>
      <x:c r="P410" s="27" t="str">
        <x:v>BIOLOGICAL</x:v>
      </x:c>
      <x:c r="Q410" s="27" t="str">
        <x:v>bacteria</x:v>
      </x:c>
      <x:c r="R410" s="27" t="str"/>
      <x:c r="S410" s="31" t="b">
        <x:v>1</x:v>
      </x:c>
      <x:c r="T410" s="27" t="str">
        <x:v>ASM-2026-068</x:v>
      </x:c>
      <x:c r="U410" s="27" t="str">
        <x:v>HZ-2026-068-02</x:v>
      </x:c>
    </x:row>
    <x:row r="411">
      <x:c r="A411" s="28" t="str">
        <x:v>Ward 10</x:v>
      </x:c>
      <x:c r="B411" s="37" t="n">
        <x:v>46058</x:v>
      </x:c>
      <x:c r="C411" s="26" t="str">
        <x:v>RAH01-2026-068</x:v>
      </x:c>
      <x:c r="D411" s="36" t="n">
        <x:v>3</x:v>
      </x:c>
      <x:c r="E411" s="26" t="str">
        <x:v>Safety and Accident Hazards</x:v>
      </x:c>
      <x:c r="F411" s="26" t="str">
        <x:v>Sharps / Needlestick</x:v>
      </x:c>
      <x:c r="G411" s="35" t="n">
        <x:v>17</x:v>
      </x:c>
      <x:c r="H411" s="35" t="n">
        <x:v>13</x:v>
      </x:c>
      <x:c r="I411" s="35" t="n">
        <x:v>2</x:v>
      </x:c>
      <x:c r="J411" s="35" t="n">
        <x:v>3</x:v>
      </x:c>
      <x:c r="K411" s="36" t="n">
        <x:f>IF(AND(S411=TRUE,ISNUMBER(I411),I411=INT(I411),I411&gt;=1,I411&lt;=3,ISNUMBER(J411),J411=INT(J411),J411&gt;=1,J411&lt;=3),I411*J411,"")</x:f>
        <x:v>6</x:v>
      </x:c>
      <x:c r="L411" s="26" t="str">
        <x:f>IF(K411="","",IF(K411&lt;=2,"LOW",IF(K411&lt;=4,"MEDIUM","HIGH")))</x:f>
        <x:v>HIGH</x:v>
      </x:c>
      <x:c r="M411" s="25" t="str">
        <x:v>Safe-work procedures, inspection, housekeeping, guards, and incident reporting are implemented.</x:v>
      </x:c>
      <x:c r="N411" s="25" t="str">
        <x:v>Correct the unsafe condition, document ownership, and verify effectiveness through a follow-up inspection.</x:v>
      </x:c>
      <x:c r="O411" s="30" t="b">
        <x:v>0</x:v>
      </x:c>
      <x:c r="P411" s="27" t="str">
        <x:v>SAFETY_ACCIDENT</x:v>
      </x:c>
      <x:c r="Q411" s="27" t="str">
        <x:v>sharps</x:v>
      </x:c>
      <x:c r="R411" s="27" t="str"/>
      <x:c r="S411" s="31" t="b">
        <x:v>1</x:v>
      </x:c>
      <x:c r="T411" s="27" t="str">
        <x:v>ASM-2026-068</x:v>
      </x:c>
      <x:c r="U411" s="27" t="str">
        <x:v>HZ-2026-068-03</x:v>
      </x:c>
    </x:row>
    <x:row r="412">
      <x:c r="A412" s="28" t="str">
        <x:v>Ward 10</x:v>
      </x:c>
      <x:c r="B412" s="37" t="n">
        <x:v>46058</x:v>
      </x:c>
      <x:c r="C412" s="26" t="str">
        <x:v>RAH01-2026-068</x:v>
      </x:c>
      <x:c r="D412" s="36" t="n">
        <x:v>4</x:v>
      </x:c>
      <x:c r="E412" s="26" t="str">
        <x:v>Ergonomic Hazards</x:v>
      </x:c>
      <x:c r="F412" s="26" t="str">
        <x:v>Heavy Lifting / Patient Transfer</x:v>
      </x:c>
      <x:c r="G412" s="35" t="n">
        <x:v>2</x:v>
      </x:c>
      <x:c r="H412" s="35" t="n">
        <x:v>20</x:v>
      </x:c>
      <x:c r="I412" s="35" t="n">
        <x:v>3</x:v>
      </x:c>
      <x:c r="J412" s="35" t="n">
        <x:v>3</x:v>
      </x:c>
      <x:c r="K412" s="36" t="n">
        <x:f>IF(AND(S412=TRUE,ISNUMBER(I412),I412=INT(I412),I412&gt;=1,I412&lt;=3,ISNUMBER(J412),J412=INT(J412),J412&gt;=1,J412&lt;=3),I412*J412,"")</x:f>
        <x:v>9</x:v>
      </x:c>
      <x:c r="L412" s="26" t="str">
        <x:f>IF(K412="","",IF(K412&lt;=2,"LOW",IF(K412&lt;=4,"MEDIUM","HIGH")))</x:f>
        <x:v>HIGH</x:v>
      </x:c>
      <x:c r="M412" s="25" t="str">
        <x:v>Task rotation, adjustable equipment, team lifting, and safe-patient-handling guidance are used.</x:v>
      </x:c>
      <x:c r="N412" s="25" t="str">
        <x:v>Complete an ergonomic task assessment and implement equipment or workflow changes to reduce force and repetition.</x:v>
      </x:c>
      <x:c r="O412" s="30" t="b">
        <x:v>0</x:v>
      </x:c>
      <x:c r="P412" s="27" t="str">
        <x:v>ERGONOMIC</x:v>
      </x:c>
      <x:c r="Q412" s="27" t="str">
        <x:v>heavy_lifting_patient_transfer</x:v>
      </x:c>
      <x:c r="R412" s="27" t="str"/>
      <x:c r="S412" s="31" t="b">
        <x:v>1</x:v>
      </x:c>
      <x:c r="T412" s="27" t="str">
        <x:v>ASM-2026-068</x:v>
      </x:c>
      <x:c r="U412" s="27" t="str">
        <x:v>HZ-2026-068-04</x:v>
      </x:c>
    </x:row>
    <x:row r="413">
      <x:c r="A413" s="28" t="str">
        <x:v>Ward 10</x:v>
      </x:c>
      <x:c r="B413" s="37" t="n">
        <x:v>46058</x:v>
      </x:c>
      <x:c r="C413" s="26" t="str">
        <x:v>RAH01-2026-068</x:v>
      </x:c>
      <x:c r="D413" s="36" t="n">
        <x:v>5</x:v>
      </x:c>
      <x:c r="E413" s="26" t="str">
        <x:v>Ergonomic Hazards</x:v>
      </x:c>
      <x:c r="F413" s="26" t="str">
        <x:v>Unnatural Posture or Movement</x:v>
      </x:c>
      <x:c r="G413" s="35" t="n">
        <x:v>5</x:v>
      </x:c>
      <x:c r="H413" s="35" t="n">
        <x:v>27</x:v>
      </x:c>
      <x:c r="I413" s="35" t="n">
        <x:v>3</x:v>
      </x:c>
      <x:c r="J413" s="35" t="n">
        <x:v>2</x:v>
      </x:c>
      <x:c r="K413" s="36" t="n">
        <x:f>IF(AND(S413=TRUE,ISNUMBER(I413),I413=INT(I413),I413&gt;=1,I413&lt;=3,ISNUMBER(J413),J413=INT(J413),J413&gt;=1,J413&lt;=3),I413*J413,"")</x:f>
        <x:v>6</x:v>
      </x:c>
      <x:c r="L413" s="26" t="str">
        <x:f>IF(K413="","",IF(K413&lt;=2,"LOW",IF(K413&lt;=4,"MEDIUM","HIGH")))</x:f>
        <x:v>HIGH</x:v>
      </x:c>
      <x:c r="M413" s="25" t="str">
        <x:v>Task rotation, adjustable equipment, team lifting, and safe-patient-handling guidance are used.</x:v>
      </x:c>
      <x:c r="N413" s="25" t="str">
        <x:v>Complete an ergonomic task assessment and implement equipment or workflow changes to reduce force and repetition.</x:v>
      </x:c>
      <x:c r="O413" s="30" t="b">
        <x:v>1</x:v>
      </x:c>
      <x:c r="P413" s="27" t="str">
        <x:v>ERGONOMIC</x:v>
      </x:c>
      <x:c r="Q413" s="27" t="str">
        <x:v>unnatural_posture</x:v>
      </x:c>
      <x:c r="R413" s="27" t="str"/>
      <x:c r="S413" s="31" t="b">
        <x:v>1</x:v>
      </x:c>
      <x:c r="T413" s="27" t="str">
        <x:v>ASM-2026-068</x:v>
      </x:c>
      <x:c r="U413" s="27" t="str">
        <x:v>HZ-2026-068-05</x:v>
      </x:c>
    </x:row>
    <x:row r="414">
      <x:c r="A414" s="28" t="str">
        <x:v>Ward 10</x:v>
      </x:c>
      <x:c r="B414" s="37" t="n">
        <x:v>46058</x:v>
      </x:c>
      <x:c r="C414" s="26" t="str">
        <x:v>RAH01-2026-068</x:v>
      </x:c>
      <x:c r="D414" s="36" t="n">
        <x:v>6</x:v>
      </x:c>
      <x:c r="E414" s="26" t="str">
        <x:v>Psychosocial Hazards</x:v>
      </x:c>
      <x:c r="F414" s="26" t="str">
        <x:v>Work Stress</x:v>
      </x:c>
      <x:c r="G414" s="35" t="n">
        <x:v>8</x:v>
      </x:c>
      <x:c r="H414" s="35" t="n">
        <x:v>3</x:v>
      </x:c>
      <x:c r="I414" s="35" t="n">
        <x:v>2</x:v>
      </x:c>
      <x:c r="J414" s="35" t="n">
        <x:v>3</x:v>
      </x:c>
      <x:c r="K414" s="36" t="n">
        <x:f>IF(AND(S414=TRUE,ISNUMBER(I414),I414=INT(I414),I414&gt;=1,I414&lt;=3,ISNUMBER(J414),J414=INT(J414),J414&gt;=1,J414&lt;=3),I414*J414,"")</x:f>
        <x:v>6</x:v>
      </x:c>
      <x:c r="L414" s="26" t="str">
        <x:f>IF(K414="","",IF(K414&lt;=2,"LOW",IF(K414&lt;=4,"MEDIUM","HIGH")))</x:f>
        <x:v>HIGH</x:v>
      </x:c>
      <x:c r="M414" s="25" t="str">
        <x:v>Shift planning, escalation pathways, security support, breaks, and supervisor check-ins are available.</x:v>
      </x:c>
      <x:c r="N414" s="25" t="str">
        <x:v>Review staffing, breaks, escalation support, and violence-prevention controls with the department manager.</x:v>
      </x:c>
      <x:c r="O414" s="30" t="b">
        <x:v>0</x:v>
      </x:c>
      <x:c r="P414" s="27" t="str">
        <x:v>PSYCHOSOCIAL</x:v>
      </x:c>
      <x:c r="Q414" s="27" t="str">
        <x:v>work_stress</x:v>
      </x:c>
      <x:c r="R414" s="27" t="str"/>
      <x:c r="S414" s="31" t="b">
        <x:v>1</x:v>
      </x:c>
      <x:c r="T414" s="27" t="str">
        <x:v>ASM-2026-068</x:v>
      </x:c>
      <x:c r="U414" s="27" t="str">
        <x:v>HZ-2026-068-06</x:v>
      </x:c>
    </x:row>
    <x:row r="415">
      <x:c r="A415" s="28" t="str">
        <x:v>Ward 10</x:v>
      </x:c>
      <x:c r="B415" s="37" t="n">
        <x:v>46058</x:v>
      </x:c>
      <x:c r="C415" s="26" t="str">
        <x:v>RAH01-2026-068</x:v>
      </x:c>
      <x:c r="D415" s="36" t="n">
        <x:v>7</x:v>
      </x:c>
      <x:c r="E415" s="26" t="str">
        <x:v>Physical Hazards</x:v>
      </x:c>
      <x:c r="F415" s="26" t="str">
        <x:v>Lighting</x:v>
      </x:c>
      <x:c r="G415" s="35" t="n">
        <x:v>11</x:v>
      </x:c>
      <x:c r="H415" s="35" t="n">
        <x:v>10</x:v>
      </x:c>
      <x:c r="I415" s="35" t="n">
        <x:v>3</x:v>
      </x:c>
      <x:c r="J415" s="35" t="n">
        <x:v>3</x:v>
      </x:c>
      <x:c r="K415" s="36" t="n">
        <x:f>IF(AND(S415=TRUE,ISNUMBER(I415),I415=INT(I415),I415&gt;=1,I415&lt;=3,ISNUMBER(J415),J415=INT(J415),J415&gt;=1,J415&lt;=3),I415*J415,"")</x:f>
        <x:v>9</x:v>
      </x:c>
      <x:c r="L415" s="26" t="str">
        <x:f>IF(K415="","",IF(K415&lt;=2,"LOW",IF(K415&lt;=4,"MEDIUM","HIGH")))</x:f>
        <x:v>HIGH</x:v>
      </x:c>
      <x:c r="M415" s="25" t="str">
        <x:v>Engineering controls, preventive maintenance, posted limits, and periodic exposure monitoring are in place.</x:v>
      </x:c>
      <x:c r="N415" s="25" t="str">
        <x:v>Measure exposure against the hospital standard and close any engineering-control gap within 90 days.</x:v>
      </x:c>
      <x:c r="O415" s="30" t="b">
        <x:v>0</x:v>
      </x:c>
      <x:c r="P415" s="27" t="str">
        <x:v>PHYSICAL</x:v>
      </x:c>
      <x:c r="Q415" s="27" t="str">
        <x:v>lighting</x:v>
      </x:c>
      <x:c r="R415" s="27" t="str"/>
      <x:c r="S415" s="31" t="b">
        <x:v>1</x:v>
      </x:c>
      <x:c r="T415" s="27" t="str">
        <x:v>ASM-2026-068</x:v>
      </x:c>
      <x:c r="U415" s="27" t="str">
        <x:v>HZ-2026-068-07</x:v>
      </x:c>
    </x:row>
    <x:row r="416">
      <x:c r="A416" s="28" t="str">
        <x:v>Ward 2</x:v>
      </x:c>
      <x:c r="B416" s="37" t="n">
        <x:v>46179</x:v>
      </x:c>
      <x:c r="C416" s="26" t="str">
        <x:v>RAH01-2026-060</x:v>
      </x:c>
      <x:c r="D416" s="36" t="n">
        <x:v>1</x:v>
      </x:c>
      <x:c r="E416" s="26" t="str">
        <x:v>Safety and Accident Hazards</x:v>
      </x:c>
      <x:c r="F416" s="26" t="str">
        <x:v>Sharps / Needlestick</x:v>
      </x:c>
      <x:c r="G416" s="35" t="n">
        <x:v>1</x:v>
      </x:c>
      <x:c r="H416" s="35" t="n">
        <x:v>0</x:v>
      </x:c>
      <x:c r="I416" s="35" t="n">
        <x:v>2</x:v>
      </x:c>
      <x:c r="J416" s="35" t="n">
        <x:v>3</x:v>
      </x:c>
      <x:c r="K416" s="36" t="n">
        <x:f>IF(AND(S416=TRUE,ISNUMBER(I416),I416=INT(I416),I416&gt;=1,I416&lt;=3,ISNUMBER(J416),J416=INT(J416),J416&gt;=1,J416&lt;=3),I416*J416,"")</x:f>
        <x:v>6</x:v>
      </x:c>
      <x:c r="L416" s="26" t="str">
        <x:f>IF(K416="","",IF(K416&lt;=2,"LOW",IF(K416&lt;=4,"MEDIUM","HIGH")))</x:f>
        <x:v>HIGH</x:v>
      </x:c>
      <x:c r="M416" s="25" t="str">
        <x:v>Safe-work procedures, inspection, housekeeping, guards, and incident reporting are implemented.</x:v>
      </x:c>
      <x:c r="N416" s="25" t="str">
        <x:v>Correct the unsafe condition, document ownership, and verify effectiveness through a follow-up inspection.</x:v>
      </x:c>
      <x:c r="O416" s="30" t="b">
        <x:v>1</x:v>
      </x:c>
      <x:c r="P416" s="27" t="str">
        <x:v>SAFETY_ACCIDENT</x:v>
      </x:c>
      <x:c r="Q416" s="27" t="str">
        <x:v>sharps</x:v>
      </x:c>
      <x:c r="R416" s="27" t="str"/>
      <x:c r="S416" s="31" t="b">
        <x:v>1</x:v>
      </x:c>
      <x:c r="T416" s="27" t="str">
        <x:v>ASM-2026-060</x:v>
      </x:c>
      <x:c r="U416" s="27" t="str">
        <x:v>HZ-2026-060-01</x:v>
      </x:c>
    </x:row>
    <x:row r="417">
      <x:c r="A417" s="28" t="str">
        <x:v>Ward 2</x:v>
      </x:c>
      <x:c r="B417" s="37" t="n">
        <x:v>46179</x:v>
      </x:c>
      <x:c r="C417" s="26" t="str">
        <x:v>RAH01-2026-060</x:v>
      </x:c>
      <x:c r="D417" s="36" t="n">
        <x:v>2</x:v>
      </x:c>
      <x:c r="E417" s="26" t="str">
        <x:v>Physical Hazards</x:v>
      </x:c>
      <x:c r="F417" s="26" t="str">
        <x:v>Heat</x:v>
      </x:c>
      <x:c r="G417" s="35" t="n">
        <x:v>4</x:v>
      </x:c>
      <x:c r="H417" s="35" t="n">
        <x:v>1</x:v>
      </x:c>
      <x:c r="I417" s="35" t="n">
        <x:v>3</x:v>
      </x:c>
      <x:c r="J417" s="35" t="n">
        <x:v>3</x:v>
      </x:c>
      <x:c r="K417" s="36" t="n">
        <x:f>IF(AND(S417=TRUE,ISNUMBER(I417),I417=INT(I417),I417&gt;=1,I417&lt;=3,ISNUMBER(J417),J417=INT(J417),J417&gt;=1,J417&lt;=3),I417*J417,"")</x:f>
        <x:v>9</x:v>
      </x:c>
      <x:c r="L417" s="26" t="str">
        <x:f>IF(K417="","",IF(K417&lt;=2,"LOW",IF(K417&lt;=4,"MEDIUM","HIGH")))</x:f>
        <x:v>HIGH</x:v>
      </x:c>
      <x:c r="M417" s="25" t="str">
        <x:v>Engineering controls, preventive maintenance, posted limits, and periodic exposure monitoring are in place.</x:v>
      </x:c>
      <x:c r="N417" s="25" t="str">
        <x:v>Measure exposure against the hospital standard and close any engineering-control gap within 90 days.</x:v>
      </x:c>
      <x:c r="O417" s="30" t="b">
        <x:v>0</x:v>
      </x:c>
      <x:c r="P417" s="27" t="str">
        <x:v>PHYSICAL</x:v>
      </x:c>
      <x:c r="Q417" s="27" t="str">
        <x:v>heat</x:v>
      </x:c>
      <x:c r="R417" s="27" t="str"/>
      <x:c r="S417" s="31" t="b">
        <x:v>1</x:v>
      </x:c>
      <x:c r="T417" s="27" t="str">
        <x:v>ASM-2026-060</x:v>
      </x:c>
      <x:c r="U417" s="27" t="str">
        <x:v>HZ-2026-060-02</x:v>
      </x:c>
    </x:row>
    <x:row r="418">
      <x:c r="A418" s="28" t="str">
        <x:v>Ward 2</x:v>
      </x:c>
      <x:c r="B418" s="37" t="n">
        <x:v>46179</x:v>
      </x:c>
      <x:c r="C418" s="26" t="str">
        <x:v>RAH01-2026-060</x:v>
      </x:c>
      <x:c r="D418" s="36" t="n">
        <x:v>3</x:v>
      </x:c>
      <x:c r="E418" s="26" t="str">
        <x:v>Safety and Accident Hazards</x:v>
      </x:c>
      <x:c r="F418" s="26" t="str">
        <x:v>Work with Hot Objects</x:v>
      </x:c>
      <x:c r="G418" s="35" t="n">
        <x:v>7</x:v>
      </x:c>
      <x:c r="H418" s="35" t="n">
        <x:v>2</x:v>
      </x:c>
      <x:c r="I418" s="35" t="n">
        <x:v>3</x:v>
      </x:c>
      <x:c r="J418" s="35" t="n">
        <x:v>2</x:v>
      </x:c>
      <x:c r="K418" s="36" t="n">
        <x:f>IF(AND(S418=TRUE,ISNUMBER(I418),I418=INT(I418),I418&gt;=1,I418&lt;=3,ISNUMBER(J418),J418=INT(J418),J418&gt;=1,J418&lt;=3),I418*J418,"")</x:f>
        <x:v>6</x:v>
      </x:c>
      <x:c r="L418" s="26" t="str">
        <x:f>IF(K418="","",IF(K418&lt;=2,"LOW",IF(K418&lt;=4,"MEDIUM","HIGH")))</x:f>
        <x:v>HIGH</x:v>
      </x:c>
      <x:c r="M418" s="25" t="str">
        <x:v>Safe-work procedures, inspection, housekeeping, guards, and incident reporting are implemented.</x:v>
      </x:c>
      <x:c r="N418" s="25" t="str">
        <x:v>Correct the unsafe condition, document ownership, and verify effectiveness through a follow-up inspection.</x:v>
      </x:c>
      <x:c r="O418" s="30" t="b">
        <x:v>0</x:v>
      </x:c>
      <x:c r="P418" s="27" t="str">
        <x:v>SAFETY_ACCIDENT</x:v>
      </x:c>
      <x:c r="Q418" s="27" t="str">
        <x:v>hot_objects</x:v>
      </x:c>
      <x:c r="R418" s="27" t="str"/>
      <x:c r="S418" s="31" t="b">
        <x:v>1</x:v>
      </x:c>
      <x:c r="T418" s="27" t="str">
        <x:v>ASM-2026-060</x:v>
      </x:c>
      <x:c r="U418" s="27" t="str">
        <x:v>HZ-2026-060-03</x:v>
      </x:c>
    </x:row>
    <x:row r="419">
      <x:c r="A419" s="28" t="str">
        <x:v>Ward 2</x:v>
      </x:c>
      <x:c r="B419" s="37" t="n">
        <x:v>46179</x:v>
      </x:c>
      <x:c r="C419" s="26" t="str">
        <x:v>RAH01-2026-060</x:v>
      </x:c>
      <x:c r="D419" s="36" t="n">
        <x:v>4</x:v>
      </x:c>
      <x:c r="E419" s="26" t="str">
        <x:v>Safety and Accident Hazards</x:v>
      </x:c>
      <x:c r="F419" s="26" t="str">
        <x:v>Slippery Surface</x:v>
      </x:c>
      <x:c r="G419" s="35" t="n">
        <x:v>10</x:v>
      </x:c>
      <x:c r="H419" s="35" t="n">
        <x:v>0</x:v>
      </x:c>
      <x:c r="I419" s="35" t="n">
        <x:v>2</x:v>
      </x:c>
      <x:c r="J419" s="35" t="n">
        <x:v>3</x:v>
      </x:c>
      <x:c r="K419" s="36" t="n">
        <x:f>IF(AND(S419=TRUE,ISNUMBER(I419),I419=INT(I419),I419&gt;=1,I419&lt;=3,ISNUMBER(J419),J419=INT(J419),J419&gt;=1,J419&lt;=3),I419*J419,"")</x:f>
        <x:v>6</x:v>
      </x:c>
      <x:c r="L419" s="26" t="str">
        <x:f>IF(K419="","",IF(K419&lt;=2,"LOW",IF(K419&lt;=4,"MEDIUM","HIGH")))</x:f>
        <x:v>HIGH</x:v>
      </x:c>
      <x:c r="M419" s="25" t="str">
        <x:v>Safe-work procedures, inspection, housekeeping, guards, and incident reporting are implemented.</x:v>
      </x:c>
      <x:c r="N419" s="25" t="str">
        <x:v>Correct the unsafe condition, document ownership, and verify effectiveness through a follow-up inspection.</x:v>
      </x:c>
      <x:c r="O419" s="30" t="b">
        <x:v>1</x:v>
      </x:c>
      <x:c r="P419" s="27" t="str">
        <x:v>SAFETY_ACCIDENT</x:v>
      </x:c>
      <x:c r="Q419" s="27" t="str">
        <x:v>slippery_surface</x:v>
      </x:c>
      <x:c r="R419" s="27" t="str"/>
      <x:c r="S419" s="31" t="b">
        <x:v>1</x:v>
      </x:c>
      <x:c r="T419" s="27" t="str">
        <x:v>ASM-2026-060</x:v>
      </x:c>
      <x:c r="U419" s="27" t="str">
        <x:v>HZ-2026-060-04</x:v>
      </x:c>
    </x:row>
    <x:row r="420">
      <x:c r="A420" s="28" t="str">
        <x:v>Ward 2</x:v>
      </x:c>
      <x:c r="B420" s="37" t="n">
        <x:v>46179</x:v>
      </x:c>
      <x:c r="C420" s="26" t="str">
        <x:v>RAH01-2026-060</x:v>
      </x:c>
      <x:c r="D420" s="36" t="n">
        <x:v>5</x:v>
      </x:c>
      <x:c r="E420" s="26" t="str">
        <x:v>Ergonomic Hazards</x:v>
      </x:c>
      <x:c r="F420" s="26" t="str">
        <x:v>Repetitive Tasks</x:v>
      </x:c>
      <x:c r="G420" s="35" t="n">
        <x:v>13</x:v>
      </x:c>
      <x:c r="H420" s="35" t="n">
        <x:v>1</x:v>
      </x:c>
      <x:c r="I420" s="35" t="n">
        <x:v>3</x:v>
      </x:c>
      <x:c r="J420" s="35" t="n">
        <x:v>3</x:v>
      </x:c>
      <x:c r="K420" s="36" t="n">
        <x:f>IF(AND(S420=TRUE,ISNUMBER(I420),I420=INT(I420),I420&gt;=1,I420&lt;=3,ISNUMBER(J420),J420=INT(J420),J420&gt;=1,J420&lt;=3),I420*J420,"")</x:f>
        <x:v>9</x:v>
      </x:c>
      <x:c r="L420" s="26" t="str">
        <x:f>IF(K420="","",IF(K420&lt;=2,"LOW",IF(K420&lt;=4,"MEDIUM","HIGH")))</x:f>
        <x:v>HIGH</x:v>
      </x:c>
      <x:c r="M420" s="25" t="str">
        <x:v>Task rotation, adjustable equipment, team lifting, and safe-patient-handling guidance are used.</x:v>
      </x:c>
      <x:c r="N420" s="25" t="str">
        <x:v>Complete an ergonomic task assessment and implement equipment or workflow changes to reduce force and repetition.</x:v>
      </x:c>
      <x:c r="O420" s="30" t="b">
        <x:v>0</x:v>
      </x:c>
      <x:c r="P420" s="27" t="str">
        <x:v>ERGONOMIC</x:v>
      </x:c>
      <x:c r="Q420" s="27" t="str">
        <x:v>repetitive_tasks</x:v>
      </x:c>
      <x:c r="R420" s="27" t="str"/>
      <x:c r="S420" s="31" t="b">
        <x:v>1</x:v>
      </x:c>
      <x:c r="T420" s="27" t="str">
        <x:v>ASM-2026-060</x:v>
      </x:c>
      <x:c r="U420" s="27" t="str">
        <x:v>HZ-2026-060-05</x:v>
      </x:c>
    </x:row>
    <x:row r="421">
      <x:c r="A421" s="28" t="str">
        <x:v>Ward 2</x:v>
      </x:c>
      <x:c r="B421" s="37" t="n">
        <x:v>46179</x:v>
      </x:c>
      <x:c r="C421" s="26" t="str">
        <x:v>RAH01-2026-060</x:v>
      </x:c>
      <x:c r="D421" s="36" t="n">
        <x:v>6</x:v>
      </x:c>
      <x:c r="E421" s="26" t="str">
        <x:v>Chemical Hazards</x:v>
      </x:c>
      <x:c r="F421" s="26" t="str">
        <x:v>Floor Cleaner</x:v>
      </x:c>
      <x:c r="G421" s="35" t="n">
        <x:v>16</x:v>
      </x:c>
      <x:c r="H421" s="35" t="n">
        <x:v>2</x:v>
      </x:c>
      <x:c r="I421" s="35" t="n">
        <x:v>3</x:v>
      </x:c>
      <x:c r="J421" s="35" t="n">
        <x:v>2</x:v>
      </x:c>
      <x:c r="K421" s="36" t="n">
        <x:f>IF(AND(S421=TRUE,ISNUMBER(I421),I421=INT(I421),I421&gt;=1,I421&lt;=3,ISNUMBER(J421),J421=INT(J421),J421&gt;=1,J421&lt;=3),I421*J421,"")</x:f>
        <x:v>6</x:v>
      </x:c>
      <x:c r="L421" s="26" t="str">
        <x:f>IF(K421="","",IF(K421&lt;=2,"LOW",IF(K421&lt;=4,"MEDIUM","HIGH")))</x:f>
        <x:v>HIGH</x:v>
      </x:c>
      <x:c r="M421" s="25" t="str">
        <x:v>Safety data, labeled containers, local procedures, ventilation, and chemical-resistant PPE are available.</x:v>
      </x:c>
      <x:c r="N421" s="25" t="str">
        <x:v>Review substitution, ventilation, storage, spill response, and staff competency for this chemical task.</x:v>
      </x:c>
      <x:c r="O421" s="30" t="b">
        <x:v>0</x:v>
      </x:c>
      <x:c r="P421" s="27" t="str">
        <x:v>CHEMICAL</x:v>
      </x:c>
      <x:c r="Q421" s="27" t="str">
        <x:v>floor_cleaner</x:v>
      </x:c>
      <x:c r="R421" s="27" t="str"/>
      <x:c r="S421" s="31" t="b">
        <x:v>1</x:v>
      </x:c>
      <x:c r="T421" s="27" t="str">
        <x:v>ASM-2026-060</x:v>
      </x:c>
      <x:c r="U421" s="27" t="str">
        <x:v>HZ-2026-060-06</x:v>
      </x:c>
    </x:row>
    <x:row r="422">
      <x:c r="A422" s="28" t="str">
        <x:v>Ward 2</x:v>
      </x:c>
      <x:c r="B422" s="37" t="n">
        <x:v>46179</x:v>
      </x:c>
      <x:c r="C422" s="26" t="str">
        <x:v>RAH01-2026-060</x:v>
      </x:c>
      <x:c r="D422" s="36" t="n">
        <x:v>7</x:v>
      </x:c>
      <x:c r="E422" s="26" t="str">
        <x:v>Indoor Air Quality Hazards</x:v>
      </x:c>
      <x:c r="F422" s="26" t="str">
        <x:v>Poor Ventilation</x:v>
      </x:c>
      <x:c r="G422" s="35" t="n">
        <x:v>19</x:v>
      </x:c>
      <x:c r="H422" s="35" t="n">
        <x:v>0</x:v>
      </x:c>
      <x:c r="I422" s="35" t="n">
        <x:v>2</x:v>
      </x:c>
      <x:c r="J422" s="35" t="n">
        <x:v>3</x:v>
      </x:c>
      <x:c r="K422" s="36" t="n">
        <x:f>IF(AND(S422=TRUE,ISNUMBER(I422),I422=INT(I422),I422&gt;=1,I422&lt;=3,ISNUMBER(J422),J422=INT(J422),J422&gt;=1,J422&lt;=3),I422*J422,"")</x:f>
        <x:v>6</x:v>
      </x:c>
      <x:c r="L422" s="26" t="str">
        <x:f>IF(K422="","",IF(K422&lt;=2,"LOW",IF(K422&lt;=4,"MEDIUM","HIGH")))</x:f>
        <x:v>HIGH</x:v>
      </x:c>
      <x:c r="M422" s="25" t="str">
        <x:v>Ventilation, cleaning, occupancy management, and environmental inspection are performed.</x:v>
      </x:c>
      <x:c r="N422" s="25" t="str">
        <x:v>Inspect ventilation and moisture sources, then document corrective action and environmental recheck.</x:v>
      </x:c>
      <x:c r="O422" s="30" t="b">
        <x:v>1</x:v>
      </x:c>
      <x:c r="P422" s="27" t="str">
        <x:v>INDOOR_AIR_QUALITY</x:v>
      </x:c>
      <x:c r="Q422" s="27" t="str">
        <x:v>poor_ventilation</x:v>
      </x:c>
      <x:c r="R422" s="27" t="str"/>
      <x:c r="S422" s="31" t="b">
        <x:v>1</x:v>
      </x:c>
      <x:c r="T422" s="27" t="str">
        <x:v>ASM-2026-060</x:v>
      </x:c>
      <x:c r="U422" s="27" t="str">
        <x:v>HZ-2026-060-07</x:v>
      </x:c>
    </x:row>
    <x:row r="423">
      <x:c r="A423" s="28" t="str">
        <x:v>Ward 2</x:v>
      </x:c>
      <x:c r="B423" s="37" t="n">
        <x:v>46179</x:v>
      </x:c>
      <x:c r="C423" s="26" t="str">
        <x:v>RAH01-2026-060</x:v>
      </x:c>
      <x:c r="D423" s="36" t="n">
        <x:v>8</x:v>
      </x:c>
      <x:c r="E423" s="26" t="str">
        <x:v>Safety and Accident Hazards</x:v>
      </x:c>
      <x:c r="F423" s="26" t="str">
        <x:v>Steam release during bulk food preparation</x:v>
      </x:c>
      <x:c r="G423" s="35" t="n">
        <x:v>2</x:v>
      </x:c>
      <x:c r="H423" s="35" t="n">
        <x:v>1</x:v>
      </x:c>
      <x:c r="I423" s="35" t="n">
        <x:v>3</x:v>
      </x:c>
      <x:c r="J423" s="35" t="n">
        <x:v>3</x:v>
      </x:c>
      <x:c r="K423" s="36" t="n">
        <x:f>IF(AND(S423=TRUE,ISNUMBER(I423),I423=INT(I423),I423&gt;=1,I423&lt;=3,ISNUMBER(J423),J423=INT(J423),J423&gt;=1,J423&lt;=3),I423*J423,"")</x:f>
        <x:v>9</x:v>
      </x:c>
      <x:c r="L423" s="26" t="str">
        <x:f>IF(K423="","",IF(K423&lt;=2,"LOW",IF(K423&lt;=4,"MEDIUM","HIGH")))</x:f>
        <x:v>HIGH</x:v>
      </x:c>
      <x:c r="M423" s="25" t="str">
        <x:v>Safe-work procedures, inspection, housekeeping, guards, and incident reporting are implemented.</x:v>
      </x:c>
      <x:c r="N423" s="25" t="str">
        <x:v>Correct the unsafe condition, document ownership, and verify effectiveness through a follow-up inspection.</x:v>
      </x:c>
      <x:c r="O423" s="30" t="b">
        <x:v>0</x:v>
      </x:c>
      <x:c r="P423" s="27" t="str">
        <x:v>SAFETY_ACCIDENT</x:v>
      </x:c>
      <x:c r="Q423" s="27" t="str">
        <x:v>OTHER</x:v>
      </x:c>
      <x:c r="R423" s="27" t="str">
        <x:v>Steam release during bulk food preparation</x:v>
      </x:c>
      <x:c r="S423" s="31" t="b">
        <x:v>1</x:v>
      </x:c>
      <x:c r="T423" s="27" t="str">
        <x:v>ASM-2026-060</x:v>
      </x:c>
      <x:c r="U423" s="27" t="str">
        <x:v>HZ-2026-060-08</x:v>
      </x:c>
    </x:row>
    <x:row r="424">
      <x:c r="A424" s="28" t="str">
        <x:v>Ward 3</x:v>
      </x:c>
      <x:c r="B424" s="37" t="n">
        <x:v>46031</x:v>
      </x:c>
      <x:c r="C424" s="26" t="str">
        <x:v>RAH01-2026-061</x:v>
      </x:c>
      <x:c r="D424" s="36" t="n">
        <x:v>1</x:v>
      </x:c>
      <x:c r="E424" s="26" t="str">
        <x:v>Biological Hazards</x:v>
      </x:c>
      <x:c r="F424" s="26" t="str">
        <x:v>Viruses</x:v>
      </x:c>
      <x:c r="G424" s="35" t="n">
        <x:v>15</x:v>
      </x:c>
      <x:c r="H424" s="35" t="n">
        <x:v>26</x:v>
      </x:c>
      <x:c r="I424" s="35" t="n">
        <x:v>3</x:v>
      </x:c>
      <x:c r="J424" s="35" t="n">
        <x:v>2</x:v>
      </x:c>
      <x:c r="K424" s="36" t="n">
        <x:f>IF(AND(S424=TRUE,ISNUMBER(I424),I424=INT(I424),I424&gt;=1,I424&lt;=3,ISNUMBER(J424),J424=INT(J424),J424&gt;=1,J424&lt;=3),I424*J424,"")</x:f>
        <x:v>6</x:v>
      </x:c>
      <x:c r="L424" s="26" t="str">
        <x:f>IF(K424="","",IF(K424&lt;=2,"LOW",IF(K424&lt;=4,"MEDIUM","HIGH")))</x:f>
        <x:v>HIGH</x:v>
      </x:c>
      <x:c r="M424" s="25" t="str">
        <x:v>Standard precautions, hand hygiene, vaccination, cleaning, and appropriate PPE are implemented.</x:v>
      </x:c>
      <x:c r="N424" s="25" t="str">
        <x:v>Audit compliance, investigate exposure incidents, and reinforce source-control and PPE practice.</x:v>
      </x:c>
      <x:c r="O424" s="30" t="b">
        <x:v>0</x:v>
      </x:c>
      <x:c r="P424" s="27" t="str">
        <x:v>BIOLOGICAL</x:v>
      </x:c>
      <x:c r="Q424" s="27" t="str">
        <x:v>viruses</x:v>
      </x:c>
      <x:c r="R424" s="27" t="str"/>
      <x:c r="S424" s="31" t="b">
        <x:v>1</x:v>
      </x:c>
      <x:c r="T424" s="27" t="str">
        <x:v>ASM-2026-061</x:v>
      </x:c>
      <x:c r="U424" s="27" t="str">
        <x:v>HZ-2026-061-01</x:v>
      </x:c>
    </x:row>
    <x:row r="425">
      <x:c r="A425" s="28" t="str">
        <x:v>Ward 3</x:v>
      </x:c>
      <x:c r="B425" s="37" t="n">
        <x:v>46031</x:v>
      </x:c>
      <x:c r="C425" s="26" t="str">
        <x:v>RAH01-2026-061</x:v>
      </x:c>
      <x:c r="D425" s="36" t="n">
        <x:v>2</x:v>
      </x:c>
      <x:c r="E425" s="26" t="str">
        <x:v>Biological Hazards</x:v>
      </x:c>
      <x:c r="F425" s="26" t="str">
        <x:v>Bacteria</x:v>
      </x:c>
      <x:c r="G425" s="35" t="n">
        <x:v>18</x:v>
      </x:c>
      <x:c r="H425" s="35" t="n">
        <x:v>2</x:v>
      </x:c>
      <x:c r="I425" s="35" t="n">
        <x:v>2</x:v>
      </x:c>
      <x:c r="J425" s="35" t="n">
        <x:v>3</x:v>
      </x:c>
      <x:c r="K425" s="36" t="n">
        <x:f>IF(AND(S425=TRUE,ISNUMBER(I425),I425=INT(I425),I425&gt;=1,I425&lt;=3,ISNUMBER(J425),J425=INT(J425),J425&gt;=1,J425&lt;=3),I425*J425,"")</x:f>
        <x:v>6</x:v>
      </x:c>
      <x:c r="L425" s="26" t="str">
        <x:f>IF(K425="","",IF(K425&lt;=2,"LOW",IF(K425&lt;=4,"MEDIUM","HIGH")))</x:f>
        <x:v>HIGH</x:v>
      </x:c>
      <x:c r="M425" s="25" t="str">
        <x:v>Standard precautions, hand hygiene, vaccination, cleaning, and appropriate PPE are implemented.</x:v>
      </x:c>
      <x:c r="N425" s="25" t="str">
        <x:v>Audit compliance, investigate exposure incidents, and reinforce source-control and PPE practice.</x:v>
      </x:c>
      <x:c r="O425" s="30" t="b">
        <x:v>0</x:v>
      </x:c>
      <x:c r="P425" s="27" t="str">
        <x:v>BIOLOGICAL</x:v>
      </x:c>
      <x:c r="Q425" s="27" t="str">
        <x:v>bacteria</x:v>
      </x:c>
      <x:c r="R425" s="27" t="str"/>
      <x:c r="S425" s="31" t="b">
        <x:v>1</x:v>
      </x:c>
      <x:c r="T425" s="27" t="str">
        <x:v>ASM-2026-061</x:v>
      </x:c>
      <x:c r="U425" s="27" t="str">
        <x:v>HZ-2026-061-02</x:v>
      </x:c>
    </x:row>
    <x:row r="426">
      <x:c r="A426" s="28" t="str">
        <x:v>Ward 3</x:v>
      </x:c>
      <x:c r="B426" s="37" t="n">
        <x:v>46031</x:v>
      </x:c>
      <x:c r="C426" s="26" t="str">
        <x:v>RAH01-2026-061</x:v>
      </x:c>
      <x:c r="D426" s="36" t="n">
        <x:v>3</x:v>
      </x:c>
      <x:c r="E426" s="26" t="str">
        <x:v>Safety and Accident Hazards</x:v>
      </x:c>
      <x:c r="F426" s="26" t="str">
        <x:v>Sharps / Needlestick</x:v>
      </x:c>
      <x:c r="G426" s="35" t="n">
        <x:v>21</x:v>
      </x:c>
      <x:c r="H426" s="35" t="n">
        <x:v>9</x:v>
      </x:c>
      <x:c r="I426" s="35" t="n">
        <x:v>3</x:v>
      </x:c>
      <x:c r="J426" s="35" t="n">
        <x:v>3</x:v>
      </x:c>
      <x:c r="K426" s="36" t="n">
        <x:f>IF(AND(S426=TRUE,ISNUMBER(I426),I426=INT(I426),I426&gt;=1,I426&lt;=3,ISNUMBER(J426),J426=INT(J426),J426&gt;=1,J426&lt;=3),I426*J426,"")</x:f>
        <x:v>9</x:v>
      </x:c>
      <x:c r="L426" s="26" t="str">
        <x:f>IF(K426="","",IF(K426&lt;=2,"LOW",IF(K426&lt;=4,"MEDIUM","HIGH")))</x:f>
        <x:v>HIGH</x:v>
      </x:c>
      <x:c r="M426" s="25" t="str">
        <x:v>Safe-work procedures, inspection, housekeeping, guards, and incident reporting are implemented.</x:v>
      </x:c>
      <x:c r="N426" s="25" t="str">
        <x:v>Correct the unsafe condition, document ownership, and verify effectiveness through a follow-up inspection.</x:v>
      </x:c>
      <x:c r="O426" s="30" t="b">
        <x:v>1</x:v>
      </x:c>
      <x:c r="P426" s="27" t="str">
        <x:v>SAFETY_ACCIDENT</x:v>
      </x:c>
      <x:c r="Q426" s="27" t="str">
        <x:v>sharps</x:v>
      </x:c>
      <x:c r="R426" s="27" t="str"/>
      <x:c r="S426" s="31" t="b">
        <x:v>1</x:v>
      </x:c>
      <x:c r="T426" s="27" t="str">
        <x:v>ASM-2026-061</x:v>
      </x:c>
      <x:c r="U426" s="27" t="str">
        <x:v>HZ-2026-061-03</x:v>
      </x:c>
    </x:row>
    <x:row r="427">
      <x:c r="A427" s="28" t="str">
        <x:v>Ward 3</x:v>
      </x:c>
      <x:c r="B427" s="37" t="n">
        <x:v>46031</x:v>
      </x:c>
      <x:c r="C427" s="26" t="str">
        <x:v>RAH01-2026-061</x:v>
      </x:c>
      <x:c r="D427" s="36" t="n">
        <x:v>4</x:v>
      </x:c>
      <x:c r="E427" s="26" t="str">
        <x:v>Ergonomic Hazards</x:v>
      </x:c>
      <x:c r="F427" s="26" t="str">
        <x:v>Heavy Lifting / Patient Transfer</x:v>
      </x:c>
      <x:c r="G427" s="35" t="n">
        <x:v>24</x:v>
      </x:c>
      <x:c r="H427" s="35" t="n">
        <x:v>16</x:v>
      </x:c>
      <x:c r="I427" s="35" t="n">
        <x:v>3</x:v>
      </x:c>
      <x:c r="J427" s="35" t="n">
        <x:v>2</x:v>
      </x:c>
      <x:c r="K427" s="36" t="n">
        <x:f>IF(AND(S427=TRUE,ISNUMBER(I427),I427=INT(I427),I427&gt;=1,I427&lt;=3,ISNUMBER(J427),J427=INT(J427),J427&gt;=1,J427&lt;=3),I427*J427,"")</x:f>
        <x:v>6</x:v>
      </x:c>
      <x:c r="L427" s="26" t="str">
        <x:f>IF(K427="","",IF(K427&lt;=2,"LOW",IF(K427&lt;=4,"MEDIUM","HIGH")))</x:f>
        <x:v>HIGH</x:v>
      </x:c>
      <x:c r="M427" s="25" t="str">
        <x:v>Task rotation, adjustable equipment, team lifting, and safe-patient-handling guidance are used.</x:v>
      </x:c>
      <x:c r="N427" s="25" t="str">
        <x:v>Complete an ergonomic task assessment and implement equipment or workflow changes to reduce force and repetition.</x:v>
      </x:c>
      <x:c r="O427" s="30" t="b">
        <x:v>0</x:v>
      </x:c>
      <x:c r="P427" s="27" t="str">
        <x:v>ERGONOMIC</x:v>
      </x:c>
      <x:c r="Q427" s="27" t="str">
        <x:v>heavy_lifting_patient_transfer</x:v>
      </x:c>
      <x:c r="R427" s="27" t="str"/>
      <x:c r="S427" s="31" t="b">
        <x:v>1</x:v>
      </x:c>
      <x:c r="T427" s="27" t="str">
        <x:v>ASM-2026-061</x:v>
      </x:c>
      <x:c r="U427" s="27" t="str">
        <x:v>HZ-2026-061-04</x:v>
      </x:c>
    </x:row>
    <x:row r="428">
      <x:c r="A428" s="28" t="str">
        <x:v>Ward 3</x:v>
      </x:c>
      <x:c r="B428" s="37" t="n">
        <x:v>46031</x:v>
      </x:c>
      <x:c r="C428" s="26" t="str">
        <x:v>RAH01-2026-061</x:v>
      </x:c>
      <x:c r="D428" s="36" t="n">
        <x:v>5</x:v>
      </x:c>
      <x:c r="E428" s="26" t="str">
        <x:v>Ergonomic Hazards</x:v>
      </x:c>
      <x:c r="F428" s="26" t="str">
        <x:v>Unnatural Posture or Movement</x:v>
      </x:c>
      <x:c r="G428" s="35" t="n">
        <x:v>27</x:v>
      </x:c>
      <x:c r="H428" s="35" t="n">
        <x:v>23</x:v>
      </x:c>
      <x:c r="I428" s="35" t="n">
        <x:v>2</x:v>
      </x:c>
      <x:c r="J428" s="35" t="n">
        <x:v>3</x:v>
      </x:c>
      <x:c r="K428" s="36" t="n">
        <x:f>IF(AND(S428=TRUE,ISNUMBER(I428),I428=INT(I428),I428&gt;=1,I428&lt;=3,ISNUMBER(J428),J428=INT(J428),J428&gt;=1,J428&lt;=3),I428*J428,"")</x:f>
        <x:v>6</x:v>
      </x:c>
      <x:c r="L428" s="26" t="str">
        <x:f>IF(K428="","",IF(K428&lt;=2,"LOW",IF(K428&lt;=4,"MEDIUM","HIGH")))</x:f>
        <x:v>HIGH</x:v>
      </x:c>
      <x:c r="M428" s="25" t="str">
        <x:v>Task rotation, adjustable equipment, team lifting, and safe-patient-handling guidance are used.</x:v>
      </x:c>
      <x:c r="N428" s="25" t="str">
        <x:v>Complete an ergonomic task assessment and implement equipment or workflow changes to reduce force and repetition.</x:v>
      </x:c>
      <x:c r="O428" s="30" t="b">
        <x:v>0</x:v>
      </x:c>
      <x:c r="P428" s="27" t="str">
        <x:v>ERGONOMIC</x:v>
      </x:c>
      <x:c r="Q428" s="27" t="str">
        <x:v>unnatural_posture</x:v>
      </x:c>
      <x:c r="R428" s="27" t="str"/>
      <x:c r="S428" s="31" t="b">
        <x:v>1</x:v>
      </x:c>
      <x:c r="T428" s="27" t="str">
        <x:v>ASM-2026-061</x:v>
      </x:c>
      <x:c r="U428" s="27" t="str">
        <x:v>HZ-2026-061-05</x:v>
      </x:c>
    </x:row>
    <x:row r="429">
      <x:c r="A429" s="28" t="str">
        <x:v>Ward 3</x:v>
      </x:c>
      <x:c r="B429" s="37" t="n">
        <x:v>46031</x:v>
      </x:c>
      <x:c r="C429" s="26" t="str">
        <x:v>RAH01-2026-061</x:v>
      </x:c>
      <x:c r="D429" s="36" t="n">
        <x:v>6</x:v>
      </x:c>
      <x:c r="E429" s="26" t="str">
        <x:v>Psychosocial Hazards</x:v>
      </x:c>
      <x:c r="F429" s="26" t="str">
        <x:v>Work Stress</x:v>
      </x:c>
      <x:c r="G429" s="35" t="n">
        <x:v>3</x:v>
      </x:c>
      <x:c r="H429" s="35" t="n">
        <x:v>30</x:v>
      </x:c>
      <x:c r="I429" s="35" t="n">
        <x:v>3</x:v>
      </x:c>
      <x:c r="J429" s="35" t="n">
        <x:v>3</x:v>
      </x:c>
      <x:c r="K429" s="36" t="n">
        <x:f>IF(AND(S429=TRUE,ISNUMBER(I429),I429=INT(I429),I429&gt;=1,I429&lt;=3,ISNUMBER(J429),J429=INT(J429),J429&gt;=1,J429&lt;=3),I429*J429,"")</x:f>
        <x:v>9</x:v>
      </x:c>
      <x:c r="L429" s="26" t="str">
        <x:f>IF(K429="","",IF(K429&lt;=2,"LOW",IF(K429&lt;=4,"MEDIUM","HIGH")))</x:f>
        <x:v>HIGH</x:v>
      </x:c>
      <x:c r="M429" s="25" t="str">
        <x:v>Shift planning, escalation pathways, security support, breaks, and supervisor check-ins are available.</x:v>
      </x:c>
      <x:c r="N429" s="25" t="str">
        <x:v>Review staffing, breaks, escalation support, and violence-prevention controls with the department manager.</x:v>
      </x:c>
      <x:c r="O429" s="30" t="b">
        <x:v>1</x:v>
      </x:c>
      <x:c r="P429" s="27" t="str">
        <x:v>PSYCHOSOCIAL</x:v>
      </x:c>
      <x:c r="Q429" s="27" t="str">
        <x:v>work_stress</x:v>
      </x:c>
      <x:c r="R429" s="27" t="str"/>
      <x:c r="S429" s="31" t="b">
        <x:v>1</x:v>
      </x:c>
      <x:c r="T429" s="27" t="str">
        <x:v>ASM-2026-061</x:v>
      </x:c>
      <x:c r="U429" s="27" t="str">
        <x:v>HZ-2026-061-06</x:v>
      </x:c>
    </x:row>
    <x:row r="430">
      <x:c r="A430" s="28" t="str">
        <x:v>Ward 3</x:v>
      </x:c>
      <x:c r="B430" s="37" t="n">
        <x:v>46031</x:v>
      </x:c>
      <x:c r="C430" s="26" t="str">
        <x:v>RAH01-2026-061</x:v>
      </x:c>
      <x:c r="D430" s="36" t="n">
        <x:v>7</x:v>
      </x:c>
      <x:c r="E430" s="26" t="str">
        <x:v>Safety and Accident Hazards</x:v>
      </x:c>
      <x:c r="F430" s="26" t="str">
        <x:v>Pathway Obstruction</x:v>
      </x:c>
      <x:c r="G430" s="35" t="n">
        <x:v>6</x:v>
      </x:c>
      <x:c r="H430" s="35" t="n">
        <x:v>6</x:v>
      </x:c>
      <x:c r="I430" s="35" t="n">
        <x:v>3</x:v>
      </x:c>
      <x:c r="J430" s="35" t="n">
        <x:v>2</x:v>
      </x:c>
      <x:c r="K430" s="36" t="n">
        <x:f>IF(AND(S430=TRUE,ISNUMBER(I430),I430=INT(I430),I430&gt;=1,I430&lt;=3,ISNUMBER(J430),J430=INT(J430),J430&gt;=1,J430&lt;=3),I430*J430,"")</x:f>
        <x:v>6</x:v>
      </x:c>
      <x:c r="L430" s="26" t="str">
        <x:f>IF(K430="","",IF(K430&lt;=2,"LOW",IF(K430&lt;=4,"MEDIUM","HIGH")))</x:f>
        <x:v>HIGH</x:v>
      </x:c>
      <x:c r="M430" s="25" t="str">
        <x:v>Safe-work procedures, inspection, housekeeping, guards, and incident reporting are implemented.</x:v>
      </x:c>
      <x:c r="N430" s="25" t="str">
        <x:v>Correct the unsafe condition, document ownership, and verify effectiveness through a follow-up inspection.</x:v>
      </x:c>
      <x:c r="O430" s="30" t="b">
        <x:v>0</x:v>
      </x:c>
      <x:c r="P430" s="27" t="str">
        <x:v>SAFETY_ACCIDENT</x:v>
      </x:c>
      <x:c r="Q430" s="27" t="str">
        <x:v>pathway_obstruction</x:v>
      </x:c>
      <x:c r="R430" s="27" t="str"/>
      <x:c r="S430" s="31" t="b">
        <x:v>1</x:v>
      </x:c>
      <x:c r="T430" s="27" t="str">
        <x:v>ASM-2026-061</x:v>
      </x:c>
      <x:c r="U430" s="27" t="str">
        <x:v>HZ-2026-061-07</x:v>
      </x:c>
    </x:row>
    <x:row r="431">
      <x:c r="A431" s="28" t="str">
        <x:v>Ward 4</x:v>
      </x:c>
      <x:c r="B431" s="37" t="n">
        <x:v>46065</x:v>
      </x:c>
      <x:c r="C431" s="26" t="str">
        <x:v>RAH01-2026-062</x:v>
      </x:c>
      <x:c r="D431" s="36" t="n">
        <x:v>1</x:v>
      </x:c>
      <x:c r="E431" s="26" t="str">
        <x:v>Safety and Accident Hazards</x:v>
      </x:c>
      <x:c r="F431" s="26" t="str">
        <x:v>Sharps / Needlestick</x:v>
      </x:c>
      <x:c r="G431" s="35" t="n">
        <x:v>23</x:v>
      </x:c>
      <x:c r="H431" s="35" t="n">
        <x:v>0</x:v>
      </x:c>
      <x:c r="I431" s="35" t="n">
        <x:v>3</x:v>
      </x:c>
      <x:c r="J431" s="35" t="n">
        <x:v>3</x:v>
      </x:c>
      <x:c r="K431" s="36" t="n">
        <x:f>IF(AND(S431=TRUE,ISNUMBER(I431),I431=INT(I431),I431&gt;=1,I431&lt;=3,ISNUMBER(J431),J431=INT(J431),J431&gt;=1,J431&lt;=3),I431*J431,"")</x:f>
        <x:v>9</x:v>
      </x:c>
      <x:c r="L431" s="26" t="str">
        <x:f>IF(K431="","",IF(K431&lt;=2,"LOW",IF(K431&lt;=4,"MEDIUM","HIGH")))</x:f>
        <x:v>HIGH</x:v>
      </x:c>
      <x:c r="M431" s="25" t="str">
        <x:v>Safe-work procedures, inspection, housekeeping, guards, and incident reporting are implemented.</x:v>
      </x:c>
      <x:c r="N431" s="25" t="str">
        <x:v>Correct the unsafe condition, document ownership, and verify effectiveness through a follow-up inspection.</x:v>
      </x:c>
      <x:c r="O431" s="30" t="b">
        <x:v>0</x:v>
      </x:c>
      <x:c r="P431" s="27" t="str">
        <x:v>SAFETY_ACCIDENT</x:v>
      </x:c>
      <x:c r="Q431" s="27" t="str">
        <x:v>sharps</x:v>
      </x:c>
      <x:c r="R431" s="27" t="str"/>
      <x:c r="S431" s="31" t="b">
        <x:v>1</x:v>
      </x:c>
      <x:c r="T431" s="27" t="str">
        <x:v>ASM-2026-062</x:v>
      </x:c>
      <x:c r="U431" s="27" t="str">
        <x:v>HZ-2026-062-01</x:v>
      </x:c>
    </x:row>
    <x:row r="432">
      <x:c r="A432" s="28" t="str">
        <x:v>Ward 4</x:v>
      </x:c>
      <x:c r="B432" s="37" t="n">
        <x:v>46065</x:v>
      </x:c>
      <x:c r="C432" s="26" t="str">
        <x:v>RAH01-2026-062</x:v>
      </x:c>
      <x:c r="D432" s="36" t="n">
        <x:v>2</x:v>
      </x:c>
      <x:c r="E432" s="26" t="str">
        <x:v>Biological Hazards</x:v>
      </x:c>
      <x:c r="F432" s="26" t="str">
        <x:v>Bacteria</x:v>
      </x:c>
      <x:c r="G432" s="35" t="n">
        <x:v>26</x:v>
      </x:c>
      <x:c r="H432" s="35" t="n">
        <x:v>7</x:v>
      </x:c>
      <x:c r="I432" s="35" t="n">
        <x:v>3</x:v>
      </x:c>
      <x:c r="J432" s="35" t="n">
        <x:v>2</x:v>
      </x:c>
      <x:c r="K432" s="36" t="n">
        <x:f>IF(AND(S432=TRUE,ISNUMBER(I432),I432=INT(I432),I432&gt;=1,I432&lt;=3,ISNUMBER(J432),J432=INT(J432),J432&gt;=1,J432&lt;=3),I432*J432,"")</x:f>
        <x:v>6</x:v>
      </x:c>
      <x:c r="L432" s="26" t="str">
        <x:f>IF(K432="","",IF(K432&lt;=2,"LOW",IF(K432&lt;=4,"MEDIUM","HIGH")))</x:f>
        <x:v>HIGH</x:v>
      </x:c>
      <x:c r="M432" s="25" t="str">
        <x:v>Standard precautions, hand hygiene, vaccination, cleaning, and appropriate PPE are implemented.</x:v>
      </x:c>
      <x:c r="N432" s="25" t="str">
        <x:v>Audit compliance, investigate exposure incidents, and reinforce source-control and PPE practice.</x:v>
      </x:c>
      <x:c r="O432" s="30" t="b">
        <x:v>1</x:v>
      </x:c>
      <x:c r="P432" s="27" t="str">
        <x:v>BIOLOGICAL</x:v>
      </x:c>
      <x:c r="Q432" s="27" t="str">
        <x:v>bacteria</x:v>
      </x:c>
      <x:c r="R432" s="27" t="str"/>
      <x:c r="S432" s="31" t="b">
        <x:v>1</x:v>
      </x:c>
      <x:c r="T432" s="27" t="str">
        <x:v>ASM-2026-062</x:v>
      </x:c>
      <x:c r="U432" s="27" t="str">
        <x:v>HZ-2026-062-02</x:v>
      </x:c>
    </x:row>
    <x:row r="433">
      <x:c r="A433" s="28" t="str">
        <x:v>Ward 4</x:v>
      </x:c>
      <x:c r="B433" s="37" t="n">
        <x:v>46065</x:v>
      </x:c>
      <x:c r="C433" s="26" t="str">
        <x:v>RAH01-2026-062</x:v>
      </x:c>
      <x:c r="D433" s="36" t="n">
        <x:v>3</x:v>
      </x:c>
      <x:c r="E433" s="26" t="str">
        <x:v>Biological Hazards</x:v>
      </x:c>
      <x:c r="F433" s="26" t="str">
        <x:v>Viruses</x:v>
      </x:c>
      <x:c r="G433" s="35" t="n">
        <x:v>29</x:v>
      </x:c>
      <x:c r="H433" s="35" t="n">
        <x:v>14</x:v>
      </x:c>
      <x:c r="I433" s="35" t="n">
        <x:v>2</x:v>
      </x:c>
      <x:c r="J433" s="35" t="n">
        <x:v>3</x:v>
      </x:c>
      <x:c r="K433" s="36" t="n">
        <x:f>IF(AND(S433=TRUE,ISNUMBER(I433),I433=INT(I433),I433&gt;=1,I433&lt;=3,ISNUMBER(J433),J433=INT(J433),J433&gt;=1,J433&lt;=3),I433*J433,"")</x:f>
        <x:v>6</x:v>
      </x:c>
      <x:c r="L433" s="26" t="str">
        <x:f>IF(K433="","",IF(K433&lt;=2,"LOW",IF(K433&lt;=4,"MEDIUM","HIGH")))</x:f>
        <x:v>HIGH</x:v>
      </x:c>
      <x:c r="M433" s="25" t="str">
        <x:v>Standard precautions, hand hygiene, vaccination, cleaning, and appropriate PPE are implemented.</x:v>
      </x:c>
      <x:c r="N433" s="25" t="str">
        <x:v>Audit compliance, investigate exposure incidents, and reinforce source-control and PPE practice.</x:v>
      </x:c>
      <x:c r="O433" s="30" t="b">
        <x:v>0</x:v>
      </x:c>
      <x:c r="P433" s="27" t="str">
        <x:v>BIOLOGICAL</x:v>
      </x:c>
      <x:c r="Q433" s="27" t="str">
        <x:v>viruses</x:v>
      </x:c>
      <x:c r="R433" s="27" t="str"/>
      <x:c r="S433" s="31" t="b">
        <x:v>1</x:v>
      </x:c>
      <x:c r="T433" s="27" t="str">
        <x:v>ASM-2026-062</x:v>
      </x:c>
      <x:c r="U433" s="27" t="str">
        <x:v>HZ-2026-062-03</x:v>
      </x:c>
    </x:row>
    <x:row r="434">
      <x:c r="A434" s="28" t="str">
        <x:v>Ward 4</x:v>
      </x:c>
      <x:c r="B434" s="37" t="n">
        <x:v>46065</x:v>
      </x:c>
      <x:c r="C434" s="26" t="str">
        <x:v>RAH01-2026-062</x:v>
      </x:c>
      <x:c r="D434" s="36" t="n">
        <x:v>4</x:v>
      </x:c>
      <x:c r="E434" s="26" t="str">
        <x:v>Chemical Hazards</x:v>
      </x:c>
      <x:c r="F434" s="26" t="str">
        <x:v>Sterilization / Disinfection Chemicals</x:v>
      </x:c>
      <x:c r="G434" s="35" t="n">
        <x:v>32</x:v>
      </x:c>
      <x:c r="H434" s="35" t="n">
        <x:v>21</x:v>
      </x:c>
      <x:c r="I434" s="35" t="n">
        <x:v>3</x:v>
      </x:c>
      <x:c r="J434" s="35" t="n">
        <x:v>3</x:v>
      </x:c>
      <x:c r="K434" s="36" t="n">
        <x:f>IF(AND(S434=TRUE,ISNUMBER(I434),I434=INT(I434),I434&gt;=1,I434&lt;=3,ISNUMBER(J434),J434=INT(J434),J434&gt;=1,J434&lt;=3),I434*J434,"")</x:f>
        <x:v>9</x:v>
      </x:c>
      <x:c r="L434" s="26" t="str">
        <x:f>IF(K434="","",IF(K434&lt;=2,"LOW",IF(K434&lt;=4,"MEDIUM","HIGH")))</x:f>
        <x:v>HIGH</x:v>
      </x:c>
      <x:c r="M434" s="25" t="str">
        <x:v>Safety data, labeled containers, local procedures, ventilation, and chemical-resistant PPE are available.</x:v>
      </x:c>
      <x:c r="N434" s="25" t="str">
        <x:v>Review substitution, ventilation, storage, spill response, and staff competency for this chemical task.</x:v>
      </x:c>
      <x:c r="O434" s="30" t="b">
        <x:v>0</x:v>
      </x:c>
      <x:c r="P434" s="27" t="str">
        <x:v>CHEMICAL</x:v>
      </x:c>
      <x:c r="Q434" s="27" t="str">
        <x:v>sterilization_disinfection_chemicals</x:v>
      </x:c>
      <x:c r="R434" s="27" t="str"/>
      <x:c r="S434" s="31" t="b">
        <x:v>1</x:v>
      </x:c>
      <x:c r="T434" s="27" t="str">
        <x:v>ASM-2026-062</x:v>
      </x:c>
      <x:c r="U434" s="27" t="str">
        <x:v>HZ-2026-062-04</x:v>
      </x:c>
    </x:row>
    <x:row r="435">
      <x:c r="A435" s="28" t="str">
        <x:v>Ward 4</x:v>
      </x:c>
      <x:c r="B435" s="37" t="n">
        <x:v>46065</x:v>
      </x:c>
      <x:c r="C435" s="26" t="str">
        <x:v>RAH01-2026-062</x:v>
      </x:c>
      <x:c r="D435" s="36" t="n">
        <x:v>5</x:v>
      </x:c>
      <x:c r="E435" s="26" t="str">
        <x:v>Ergonomic Hazards</x:v>
      </x:c>
      <x:c r="F435" s="26" t="str">
        <x:v>Unnatural Posture or Movement</x:v>
      </x:c>
      <x:c r="G435" s="35" t="n">
        <x:v>1</x:v>
      </x:c>
      <x:c r="H435" s="35" t="n">
        <x:v>28</x:v>
      </x:c>
      <x:c r="I435" s="35" t="n">
        <x:v>3</x:v>
      </x:c>
      <x:c r="J435" s="35" t="n">
        <x:v>2</x:v>
      </x:c>
      <x:c r="K435" s="36" t="n">
        <x:f>IF(AND(S435=TRUE,ISNUMBER(I435),I435=INT(I435),I435&gt;=1,I435&lt;=3,ISNUMBER(J435),J435=INT(J435),J435&gt;=1,J435&lt;=3),I435*J435,"")</x:f>
        <x:v>6</x:v>
      </x:c>
      <x:c r="L435" s="26" t="str">
        <x:f>IF(K435="","",IF(K435&lt;=2,"LOW",IF(K435&lt;=4,"MEDIUM","HIGH")))</x:f>
        <x:v>HIGH</x:v>
      </x:c>
      <x:c r="M435" s="25" t="str">
        <x:v>Task rotation, adjustable equipment, team lifting, and safe-patient-handling guidance are used.</x:v>
      </x:c>
      <x:c r="N435" s="25" t="str">
        <x:v>Complete an ergonomic task assessment and implement equipment or workflow changes to reduce force and repetition.</x:v>
      </x:c>
      <x:c r="O435" s="30" t="b">
        <x:v>1</x:v>
      </x:c>
      <x:c r="P435" s="27" t="str">
        <x:v>ERGONOMIC</x:v>
      </x:c>
      <x:c r="Q435" s="27" t="str">
        <x:v>unnatural_posture</x:v>
      </x:c>
      <x:c r="R435" s="27" t="str"/>
      <x:c r="S435" s="31" t="b">
        <x:v>1</x:v>
      </x:c>
      <x:c r="T435" s="27" t="str">
        <x:v>ASM-2026-062</x:v>
      </x:c>
      <x:c r="U435" s="27" t="str">
        <x:v>HZ-2026-062-05</x:v>
      </x:c>
    </x:row>
    <x:row r="436">
      <x:c r="A436" s="28" t="str">
        <x:v>Ward 4</x:v>
      </x:c>
      <x:c r="B436" s="37" t="n">
        <x:v>46065</x:v>
      </x:c>
      <x:c r="C436" s="26" t="str">
        <x:v>RAH01-2026-062</x:v>
      </x:c>
      <x:c r="D436" s="36" t="n">
        <x:v>6</x:v>
      </x:c>
      <x:c r="E436" s="26" t="str">
        <x:v>Ergonomic Hazards</x:v>
      </x:c>
      <x:c r="F436" s="26" t="str">
        <x:v>Prolonged Standing or Sitting</x:v>
      </x:c>
      <x:c r="G436" s="35" t="n">
        <x:v>4</x:v>
      </x:c>
      <x:c r="H436" s="35" t="n">
        <x:v>4</x:v>
      </x:c>
      <x:c r="I436" s="35" t="n">
        <x:v>2</x:v>
      </x:c>
      <x:c r="J436" s="35" t="n">
        <x:v>3</x:v>
      </x:c>
      <x:c r="K436" s="36" t="n">
        <x:f>IF(AND(S436=TRUE,ISNUMBER(I436),I436=INT(I436),I436&gt;=1,I436&lt;=3,ISNUMBER(J436),J436=INT(J436),J436&gt;=1,J436&lt;=3),I436*J436,"")</x:f>
        <x:v>6</x:v>
      </x:c>
      <x:c r="L436" s="26" t="str">
        <x:f>IF(K436="","",IF(K436&lt;=2,"LOW",IF(K436&lt;=4,"MEDIUM","HIGH")))</x:f>
        <x:v>HIGH</x:v>
      </x:c>
      <x:c r="M436" s="25" t="str">
        <x:v>Task rotation, adjustable equipment, team lifting, and safe-patient-handling guidance are used.</x:v>
      </x:c>
      <x:c r="N436" s="25" t="str">
        <x:v>Complete an ergonomic task assessment and implement equipment or workflow changes to reduce force and repetition.</x:v>
      </x:c>
      <x:c r="O436" s="30" t="b">
        <x:v>0</x:v>
      </x:c>
      <x:c r="P436" s="27" t="str">
        <x:v>ERGONOMIC</x:v>
      </x:c>
      <x:c r="Q436" s="27" t="str">
        <x:v>prolonged_standing_sitting</x:v>
      </x:c>
      <x:c r="R436" s="27" t="str"/>
      <x:c r="S436" s="31" t="b">
        <x:v>1</x:v>
      </x:c>
      <x:c r="T436" s="27" t="str">
        <x:v>ASM-2026-062</x:v>
      </x:c>
      <x:c r="U436" s="27" t="str">
        <x:v>HZ-2026-062-06</x:v>
      </x:c>
    </x:row>
    <x:row r="437">
      <x:c r="A437" s="28" t="str">
        <x:v>Ward 4</x:v>
      </x:c>
      <x:c r="B437" s="37" t="n">
        <x:v>46065</x:v>
      </x:c>
      <x:c r="C437" s="26" t="str">
        <x:v>RAH01-2026-062</x:v>
      </x:c>
      <x:c r="D437" s="36" t="n">
        <x:v>7</x:v>
      </x:c>
      <x:c r="E437" s="26" t="str">
        <x:v>Fire and Disaster Hazards</x:v>
      </x:c>
      <x:c r="F437" s="26" t="str">
        <x:v>Electrical Equipment</x:v>
      </x:c>
      <x:c r="G437" s="35" t="n">
        <x:v>7</x:v>
      </x:c>
      <x:c r="H437" s="35" t="n">
        <x:v>11</x:v>
      </x:c>
      <x:c r="I437" s="35" t="n">
        <x:v>3</x:v>
      </x:c>
      <x:c r="J437" s="35" t="n">
        <x:v>3</x:v>
      </x:c>
      <x:c r="K437" s="36" t="n">
        <x:f>IF(AND(S437=TRUE,ISNUMBER(I437),I437=INT(I437),I437&gt;=1,I437&lt;=3,ISNUMBER(J437),J437=INT(J437),J437&gt;=1,J437&lt;=3),I437*J437,"")</x:f>
        <x:v>9</x:v>
      </x:c>
      <x:c r="L437" s="26" t="str">
        <x:f>IF(K437="","",IF(K437&lt;=2,"LOW",IF(K437&lt;=4,"MEDIUM","HIGH")))</x:f>
        <x:v>HIGH</x:v>
      </x:c>
      <x:c r="M437" s="25" t="str">
        <x:v>Electrical inspection, isolation procedures, alarms, extinguishers, and emergency response plans are maintained.</x:v>
      </x:c>
      <x:c r="N437" s="25" t="str">
        <x:v>Complete an engineering inspection and emergency-readiness check before the next scheduled review.</x:v>
      </x:c>
      <x:c r="O437" s="30" t="b">
        <x:v>0</x:v>
      </x:c>
      <x:c r="P437" s="27" t="str">
        <x:v>FIRE_DISASTER</x:v>
      </x:c>
      <x:c r="Q437" s="27" t="str">
        <x:v>electrical_equipment</x:v>
      </x:c>
      <x:c r="R437" s="27" t="str"/>
      <x:c r="S437" s="31" t="b">
        <x:v>1</x:v>
      </x:c>
      <x:c r="T437" s="27" t="str">
        <x:v>ASM-2026-062</x:v>
      </x:c>
      <x:c r="U437" s="27" t="str">
        <x:v>HZ-2026-062-07</x:v>
      </x:c>
    </x:row>
    <x:row r="438">
      <x:c r="A438" s="28" t="str">
        <x:v>Ward 4</x:v>
      </x:c>
      <x:c r="B438" s="37" t="n">
        <x:v>46065</x:v>
      </x:c>
      <x:c r="C438" s="26" t="str">
        <x:v>RAH01-2026-062</x:v>
      </x:c>
      <x:c r="D438" s="36" t="n">
        <x:v>8</x:v>
      </x:c>
      <x:c r="E438" s="26" t="str">
        <x:v>Physical Hazards</x:v>
      </x:c>
      <x:c r="F438" s="26" t="str">
        <x:v>Lighting</x:v>
      </x:c>
      <x:c r="G438" s="35" t="n">
        <x:v>10</x:v>
      </x:c>
      <x:c r="H438" s="35" t="n">
        <x:v>18</x:v>
      </x:c>
      <x:c r="I438" s="35" t="n">
        <x:v>3</x:v>
      </x:c>
      <x:c r="J438" s="35" t="n">
        <x:v>2</x:v>
      </x:c>
      <x:c r="K438" s="36" t="n">
        <x:f>IF(AND(S438=TRUE,ISNUMBER(I438),I438=INT(I438),I438&gt;=1,I438&lt;=3,ISNUMBER(J438),J438=INT(J438),J438&gt;=1,J438&lt;=3),I438*J438,"")</x:f>
        <x:v>6</x:v>
      </x:c>
      <x:c r="L438" s="26" t="str">
        <x:f>IF(K438="","",IF(K438&lt;=2,"LOW",IF(K438&lt;=4,"MEDIUM","HIGH")))</x:f>
        <x:v>HIGH</x:v>
      </x:c>
      <x:c r="M438" s="25" t="str">
        <x:v>Engineering controls, preventive maintenance, posted limits, and periodic exposure monitoring are in place.</x:v>
      </x:c>
      <x:c r="N438" s="25" t="str">
        <x:v>Measure exposure against the hospital standard and close any engineering-control gap within 90 days.</x:v>
      </x:c>
      <x:c r="O438" s="30" t="b">
        <x:v>1</x:v>
      </x:c>
      <x:c r="P438" s="27" t="str">
        <x:v>PHYSICAL</x:v>
      </x:c>
      <x:c r="Q438" s="27" t="str">
        <x:v>lighting</x:v>
      </x:c>
      <x:c r="R438" s="27" t="str"/>
      <x:c r="S438" s="31" t="b">
        <x:v>1</x:v>
      </x:c>
      <x:c r="T438" s="27" t="str">
        <x:v>ASM-2026-062</x:v>
      </x:c>
      <x:c r="U438" s="27" t="str">
        <x:v>HZ-2026-062-08</x:v>
      </x:c>
    </x:row>
    <x:row r="439">
      <x:c r="A439" s="28" t="str">
        <x:v>Ward 5</x:v>
      </x:c>
      <x:c r="B439" s="37" t="n">
        <x:v>46096</x:v>
      </x:c>
      <x:c r="C439" s="26" t="str">
        <x:v>RAH01-2026-063</x:v>
      </x:c>
      <x:c r="D439" s="36" t="n">
        <x:v>1</x:v>
      </x:c>
      <x:c r="E439" s="26" t="str">
        <x:v>Biological Hazards</x:v>
      </x:c>
      <x:c r="F439" s="26" t="str">
        <x:v>Viruses</x:v>
      </x:c>
      <x:c r="G439" s="35" t="n">
        <x:v>4</x:v>
      </x:c>
      <x:c r="H439" s="35" t="n">
        <x:v>5</x:v>
      </x:c>
      <x:c r="I439" s="35" t="n">
        <x:v>1</x:v>
      </x:c>
      <x:c r="J439" s="35" t="n">
        <x:v>3</x:v>
      </x:c>
      <x:c r="K439" s="36" t="n">
        <x:f>IF(AND(S439=TRUE,ISNUMBER(I439),I439=INT(I439),I439&gt;=1,I439&lt;=3,ISNUMBER(J439),J439=INT(J439),J439&gt;=1,J439&lt;=3),I439*J439,"")</x:f>
        <x:v>3</x:v>
      </x:c>
      <x:c r="L439" s="26" t="str">
        <x:f>IF(K439="","",IF(K439&lt;=2,"LOW",IF(K439&lt;=4,"MEDIUM","HIGH")))</x:f>
        <x:v>MEDIUM</x:v>
      </x:c>
      <x:c r="M439" s="25" t="str">
        <x:v>Standard precautions, hand hygiene, vaccination, cleaning, and appropriate PPE are implemented.</x:v>
      </x:c>
      <x:c r="N439" s="25" t="str">
        <x:v>Audit compliance, investigate exposure incidents, and reinforce source-control and PPE practice.</x:v>
      </x:c>
      <x:c r="O439" s="30" t="b">
        <x:v>0</x:v>
      </x:c>
      <x:c r="P439" s="27" t="str">
        <x:v>BIOLOGICAL</x:v>
      </x:c>
      <x:c r="Q439" s="27" t="str">
        <x:v>viruses</x:v>
      </x:c>
      <x:c r="R439" s="27" t="str"/>
      <x:c r="S439" s="31" t="b">
        <x:v>1</x:v>
      </x:c>
      <x:c r="T439" s="27" t="str">
        <x:v>ASM-2026-063</x:v>
      </x:c>
      <x:c r="U439" s="27" t="str">
        <x:v>HZ-2026-063-01</x:v>
      </x:c>
    </x:row>
    <x:row r="440">
      <x:c r="A440" s="28" t="str">
        <x:v>Ward 5</x:v>
      </x:c>
      <x:c r="B440" s="37" t="n">
        <x:v>46096</x:v>
      </x:c>
      <x:c r="C440" s="26" t="str">
        <x:v>RAH01-2026-063</x:v>
      </x:c>
      <x:c r="D440" s="36" t="n">
        <x:v>2</x:v>
      </x:c>
      <x:c r="E440" s="26" t="str">
        <x:v>Biological Hazards</x:v>
      </x:c>
      <x:c r="F440" s="26" t="str">
        <x:v>Bacteria</x:v>
      </x:c>
      <x:c r="G440" s="35" t="n">
        <x:v>7</x:v>
      </x:c>
      <x:c r="H440" s="35" t="n">
        <x:v>12</x:v>
      </x:c>
      <x:c r="I440" s="35" t="n">
        <x:v>3</x:v>
      </x:c>
      <x:c r="J440" s="35" t="n">
        <x:v>1</x:v>
      </x:c>
      <x:c r="K440" s="36" t="n">
        <x:f>IF(AND(S440=TRUE,ISNUMBER(I440),I440=INT(I440),I440&gt;=1,I440&lt;=3,ISNUMBER(J440),J440=INT(J440),J440&gt;=1,J440&lt;=3),I440*J440,"")</x:f>
        <x:v>3</x:v>
      </x:c>
      <x:c r="L440" s="26" t="str">
        <x:f>IF(K440="","",IF(K440&lt;=2,"LOW",IF(K440&lt;=4,"MEDIUM","HIGH")))</x:f>
        <x:v>MEDIUM</x:v>
      </x:c>
      <x:c r="M440" s="25" t="str">
        <x:v>Standard precautions, hand hygiene, vaccination, cleaning, and appropriate PPE are implemented.</x:v>
      </x:c>
      <x:c r="N440" s="25" t="str">
        <x:v>Audit compliance, investigate exposure incidents, and reinforce source-control and PPE practice.</x:v>
      </x:c>
      <x:c r="O440" s="30" t="b">
        <x:v>0</x:v>
      </x:c>
      <x:c r="P440" s="27" t="str">
        <x:v>BIOLOGICAL</x:v>
      </x:c>
      <x:c r="Q440" s="27" t="str">
        <x:v>bacteria</x:v>
      </x:c>
      <x:c r="R440" s="27" t="str"/>
      <x:c r="S440" s="31" t="b">
        <x:v>1</x:v>
      </x:c>
      <x:c r="T440" s="27" t="str">
        <x:v>ASM-2026-063</x:v>
      </x:c>
      <x:c r="U440" s="27" t="str">
        <x:v>HZ-2026-063-02</x:v>
      </x:c>
    </x:row>
    <x:row r="441">
      <x:c r="A441" s="28" t="str">
        <x:v>Ward 5</x:v>
      </x:c>
      <x:c r="B441" s="37" t="n">
        <x:v>46096</x:v>
      </x:c>
      <x:c r="C441" s="26" t="str">
        <x:v>RAH01-2026-063</x:v>
      </x:c>
      <x:c r="D441" s="36" t="n">
        <x:v>3</x:v>
      </x:c>
      <x:c r="E441" s="26" t="str">
        <x:v>Safety and Accident Hazards</x:v>
      </x:c>
      <x:c r="F441" s="26" t="str">
        <x:v>Sharps / Needlestick</x:v>
      </x:c>
      <x:c r="G441" s="35" t="n">
        <x:v>10</x:v>
      </x:c>
      <x:c r="H441" s="35" t="n">
        <x:v>19</x:v>
      </x:c>
      <x:c r="I441" s="35" t="n">
        <x:v>2</x:v>
      </x:c>
      <x:c r="J441" s="35" t="n">
        <x:v>2</x:v>
      </x:c>
      <x:c r="K441" s="36" t="n">
        <x:f>IF(AND(S441=TRUE,ISNUMBER(I441),I441=INT(I441),I441&gt;=1,I441&lt;=3,ISNUMBER(J441),J441=INT(J441),J441&gt;=1,J441&lt;=3),I441*J441,"")</x:f>
        <x:v>4</x:v>
      </x:c>
      <x:c r="L441" s="26" t="str">
        <x:f>IF(K441="","",IF(K441&lt;=2,"LOW",IF(K441&lt;=4,"MEDIUM","HIGH")))</x:f>
        <x:v>MEDIUM</x:v>
      </x:c>
      <x:c r="M441" s="25" t="str">
        <x:v>Safe-work procedures, inspection, housekeeping, guards, and incident reporting are implemented.</x:v>
      </x:c>
      <x:c r="N441" s="25" t="str">
        <x:v>Correct the unsafe condition, document ownership, and verify effectiveness through a follow-up inspection.</x:v>
      </x:c>
      <x:c r="O441" s="30" t="b">
        <x:v>0</x:v>
      </x:c>
      <x:c r="P441" s="27" t="str">
        <x:v>SAFETY_ACCIDENT</x:v>
      </x:c>
      <x:c r="Q441" s="27" t="str">
        <x:v>sharps</x:v>
      </x:c>
      <x:c r="R441" s="27" t="str"/>
      <x:c r="S441" s="31" t="b">
        <x:v>1</x:v>
      </x:c>
      <x:c r="T441" s="27" t="str">
        <x:v>ASM-2026-063</x:v>
      </x:c>
      <x:c r="U441" s="27" t="str">
        <x:v>HZ-2026-063-03</x:v>
      </x:c>
    </x:row>
    <x:row r="442">
      <x:c r="A442" s="28" t="str">
        <x:v>Ward 5</x:v>
      </x:c>
      <x:c r="B442" s="37" t="n">
        <x:v>46096</x:v>
      </x:c>
      <x:c r="C442" s="26" t="str">
        <x:v>RAH01-2026-063</x:v>
      </x:c>
      <x:c r="D442" s="36" t="n">
        <x:v>4</x:v>
      </x:c>
      <x:c r="E442" s="26" t="str">
        <x:v>Ergonomic Hazards</x:v>
      </x:c>
      <x:c r="F442" s="26" t="str">
        <x:v>Heavy Lifting / Patient Transfer</x:v>
      </x:c>
      <x:c r="G442" s="35" t="n">
        <x:v>13</x:v>
      </x:c>
      <x:c r="H442" s="35" t="n">
        <x:v>26</x:v>
      </x:c>
      <x:c r="I442" s="35" t="n">
        <x:v>1</x:v>
      </x:c>
      <x:c r="J442" s="35" t="n">
        <x:v>3</x:v>
      </x:c>
      <x:c r="K442" s="36" t="n">
        <x:f>IF(AND(S442=TRUE,ISNUMBER(I442),I442=INT(I442),I442&gt;=1,I442&lt;=3,ISNUMBER(J442),J442=INT(J442),J442&gt;=1,J442&lt;=3),I442*J442,"")</x:f>
        <x:v>3</x:v>
      </x:c>
      <x:c r="L442" s="26" t="str">
        <x:f>IF(K442="","",IF(K442&lt;=2,"LOW",IF(K442&lt;=4,"MEDIUM","HIGH")))</x:f>
        <x:v>MEDIUM</x:v>
      </x:c>
      <x:c r="M442" s="25" t="str">
        <x:v>Task rotation, adjustable equipment, team lifting, and safe-patient-handling guidance are used.</x:v>
      </x:c>
      <x:c r="N442" s="25" t="str">
        <x:v>Complete an ergonomic task assessment and implement equipment or workflow changes to reduce force and repetition.</x:v>
      </x:c>
      <x:c r="O442" s="30" t="b">
        <x:v>0</x:v>
      </x:c>
      <x:c r="P442" s="27" t="str">
        <x:v>ERGONOMIC</x:v>
      </x:c>
      <x:c r="Q442" s="27" t="str">
        <x:v>heavy_lifting_patient_transfer</x:v>
      </x:c>
      <x:c r="R442" s="27" t="str"/>
      <x:c r="S442" s="31" t="b">
        <x:v>1</x:v>
      </x:c>
      <x:c r="T442" s="27" t="str">
        <x:v>ASM-2026-063</x:v>
      </x:c>
      <x:c r="U442" s="27" t="str">
        <x:v>HZ-2026-063-04</x:v>
      </x:c>
    </x:row>
    <x:row r="443">
      <x:c r="A443" s="28" t="str">
        <x:v>Ward 5</x:v>
      </x:c>
      <x:c r="B443" s="37" t="n">
        <x:v>46096</x:v>
      </x:c>
      <x:c r="C443" s="26" t="str">
        <x:v>RAH01-2026-063</x:v>
      </x:c>
      <x:c r="D443" s="36" t="n">
        <x:v>5</x:v>
      </x:c>
      <x:c r="E443" s="26" t="str">
        <x:v>Ergonomic Hazards</x:v>
      </x:c>
      <x:c r="F443" s="26" t="str">
        <x:v>Unnatural Posture or Movement</x:v>
      </x:c>
      <x:c r="G443" s="35" t="n">
        <x:v>16</x:v>
      </x:c>
      <x:c r="H443" s="35" t="n">
        <x:v>2</x:v>
      </x:c>
      <x:c r="I443" s="35" t="n">
        <x:v>3</x:v>
      </x:c>
      <x:c r="J443" s="35" t="n">
        <x:v>1</x:v>
      </x:c>
      <x:c r="K443" s="36" t="n">
        <x:f>IF(AND(S443=TRUE,ISNUMBER(I443),I443=INT(I443),I443&gt;=1,I443&lt;=3,ISNUMBER(J443),J443=INT(J443),J443&gt;=1,J443&lt;=3),I443*J443,"")</x:f>
        <x:v>3</x:v>
      </x:c>
      <x:c r="L443" s="26" t="str">
        <x:f>IF(K443="","",IF(K443&lt;=2,"LOW",IF(K443&lt;=4,"MEDIUM","HIGH")))</x:f>
        <x:v>MEDIUM</x:v>
      </x:c>
      <x:c r="M443" s="25" t="str">
        <x:v>Task rotation, adjustable equipment, team lifting, and safe-patient-handling guidance are used.</x:v>
      </x:c>
      <x:c r="N443" s="25" t="str">
        <x:v>Complete an ergonomic task assessment and implement equipment or workflow changes to reduce force and repetition.</x:v>
      </x:c>
      <x:c r="O443" s="30" t="b">
        <x:v>0</x:v>
      </x:c>
      <x:c r="P443" s="27" t="str">
        <x:v>ERGONOMIC</x:v>
      </x:c>
      <x:c r="Q443" s="27" t="str">
        <x:v>unnatural_posture</x:v>
      </x:c>
      <x:c r="R443" s="27" t="str"/>
      <x:c r="S443" s="31" t="b">
        <x:v>1</x:v>
      </x:c>
      <x:c r="T443" s="27" t="str">
        <x:v>ASM-2026-063</x:v>
      </x:c>
      <x:c r="U443" s="27" t="str">
        <x:v>HZ-2026-063-05</x:v>
      </x:c>
    </x:row>
    <x:row r="444">
      <x:c r="A444" s="28" t="str">
        <x:v>Ward 5</x:v>
      </x:c>
      <x:c r="B444" s="37" t="n">
        <x:v>46096</x:v>
      </x:c>
      <x:c r="C444" s="26" t="str">
        <x:v>RAH01-2026-063</x:v>
      </x:c>
      <x:c r="D444" s="36" t="n">
        <x:v>6</x:v>
      </x:c>
      <x:c r="E444" s="26" t="str">
        <x:v>Psychosocial Hazards</x:v>
      </x:c>
      <x:c r="F444" s="26" t="str">
        <x:v>Work Stress</x:v>
      </x:c>
      <x:c r="G444" s="35" t="n">
        <x:v>19</x:v>
      </x:c>
      <x:c r="H444" s="35" t="n">
        <x:v>9</x:v>
      </x:c>
      <x:c r="I444" s="35" t="n">
        <x:v>2</x:v>
      </x:c>
      <x:c r="J444" s="35" t="n">
        <x:v>2</x:v>
      </x:c>
      <x:c r="K444" s="36" t="n">
        <x:f>IF(AND(S444=TRUE,ISNUMBER(I444),I444=INT(I444),I444&gt;=1,I444&lt;=3,ISNUMBER(J444),J444=INT(J444),J444&gt;=1,J444&lt;=3),I444*J444,"")</x:f>
        <x:v>4</x:v>
      </x:c>
      <x:c r="L444" s="26" t="str">
        <x:f>IF(K444="","",IF(K444&lt;=2,"LOW",IF(K444&lt;=4,"MEDIUM","HIGH")))</x:f>
        <x:v>MEDIUM</x:v>
      </x:c>
      <x:c r="M444" s="25" t="str">
        <x:v>Shift planning, escalation pathways, security support, breaks, and supervisor check-ins are available.</x:v>
      </x:c>
      <x:c r="N444" s="25" t="str">
        <x:v>Review staffing, breaks, escalation support, and violence-prevention controls with the department manager.</x:v>
      </x:c>
      <x:c r="O444" s="30" t="b">
        <x:v>0</x:v>
      </x:c>
      <x:c r="P444" s="27" t="str">
        <x:v>PSYCHOSOCIAL</x:v>
      </x:c>
      <x:c r="Q444" s="27" t="str">
        <x:v>work_stress</x:v>
      </x:c>
      <x:c r="R444" s="27" t="str"/>
      <x:c r="S444" s="31" t="b">
        <x:v>1</x:v>
      </x:c>
      <x:c r="T444" s="27" t="str">
        <x:v>ASM-2026-063</x:v>
      </x:c>
      <x:c r="U444" s="27" t="str">
        <x:v>HZ-2026-063-06</x:v>
      </x:c>
    </x:row>
    <x:row r="445">
      <x:c r="A445" s="28" t="str">
        <x:v>Ward 5</x:v>
      </x:c>
      <x:c r="B445" s="37" t="n">
        <x:v>46096</x:v>
      </x:c>
      <x:c r="C445" s="26" t="str">
        <x:v>RAH01-2026-063</x:v>
      </x:c>
      <x:c r="D445" s="36" t="n">
        <x:v>7</x:v>
      </x:c>
      <x:c r="E445" s="26" t="str">
        <x:v>Psychosocial Hazards</x:v>
      </x:c>
      <x:c r="F445" s="26" t="str">
        <x:v>Insufficient Rest</x:v>
      </x:c>
      <x:c r="G445" s="35" t="n">
        <x:v>22</x:v>
      </x:c>
      <x:c r="H445" s="35" t="n">
        <x:v>16</x:v>
      </x:c>
      <x:c r="I445" s="35" t="n">
        <x:v>1</x:v>
      </x:c>
      <x:c r="J445" s="35" t="n">
        <x:v>3</x:v>
      </x:c>
      <x:c r="K445" s="36" t="n">
        <x:f>IF(AND(S445=TRUE,ISNUMBER(I445),I445=INT(I445),I445&gt;=1,I445&lt;=3,ISNUMBER(J445),J445=INT(J445),J445&gt;=1,J445&lt;=3),I445*J445,"")</x:f>
        <x:v>3</x:v>
      </x:c>
      <x:c r="L445" s="26" t="str">
        <x:f>IF(K445="","",IF(K445&lt;=2,"LOW",IF(K445&lt;=4,"MEDIUM","HIGH")))</x:f>
        <x:v>MEDIUM</x:v>
      </x:c>
      <x:c r="M445" s="25" t="str">
        <x:v>Shift planning, escalation pathways, security support, breaks, and supervisor check-ins are available.</x:v>
      </x:c>
      <x:c r="N445" s="25" t="str">
        <x:v>Review staffing, breaks, escalation support, and violence-prevention controls with the department manager.</x:v>
      </x:c>
      <x:c r="O445" s="30" t="b">
        <x:v>0</x:v>
      </x:c>
      <x:c r="P445" s="27" t="str">
        <x:v>PSYCHOSOCIAL</x:v>
      </x:c>
      <x:c r="Q445" s="27" t="str">
        <x:v>insufficient_rest</x:v>
      </x:c>
      <x:c r="R445" s="27" t="str"/>
      <x:c r="S445" s="31" t="b">
        <x:v>1</x:v>
      </x:c>
      <x:c r="T445" s="27" t="str">
        <x:v>ASM-2026-063</x:v>
      </x:c>
      <x:c r="U445" s="27" t="str">
        <x:v>HZ-2026-063-07</x:v>
      </x:c>
    </x:row>
    <x:row r="446">
      <x:c r="A446" s="28" t="str">
        <x:v>Ward 6</x:v>
      </x:c>
      <x:c r="B446" s="37" t="n">
        <x:v>46130</x:v>
      </x:c>
      <x:c r="C446" s="26" t="str">
        <x:v>RAH01-2026-064</x:v>
      </x:c>
      <x:c r="D446" s="36" t="n">
        <x:v>1</x:v>
      </x:c>
      <x:c r="E446" s="26" t="str">
        <x:v>Biological Hazards</x:v>
      </x:c>
      <x:c r="F446" s="26" t="str">
        <x:v>Viruses</x:v>
      </x:c>
      <x:c r="G446" s="35" t="n">
        <x:v>33</x:v>
      </x:c>
      <x:c r="H446" s="35" t="n">
        <x:v>10</x:v>
      </x:c>
      <x:c r="I446" s="35" t="n">
        <x:v>3</x:v>
      </x:c>
      <x:c r="J446" s="35" t="n">
        <x:v>2</x:v>
      </x:c>
      <x:c r="K446" s="36" t="n">
        <x:f>IF(AND(S446=TRUE,ISNUMBER(I446),I446=INT(I446),I446&gt;=1,I446&lt;=3,ISNUMBER(J446),J446=INT(J446),J446&gt;=1,J446&lt;=3),I446*J446,"")</x:f>
        <x:v>6</x:v>
      </x:c>
      <x:c r="L446" s="26" t="str">
        <x:f>IF(K446="","",IF(K446&lt;=2,"LOW",IF(K446&lt;=4,"MEDIUM","HIGH")))</x:f>
        <x:v>HIGH</x:v>
      </x:c>
      <x:c r="M446" s="25" t="str">
        <x:v>Standard precautions, hand hygiene, vaccination, cleaning, and appropriate PPE are implemented.</x:v>
      </x:c>
      <x:c r="N446" s="25" t="str">
        <x:v>Audit compliance, investigate exposure incidents, and reinforce source-control and PPE practice.</x:v>
      </x:c>
      <x:c r="O446" s="30" t="b">
        <x:v>0</x:v>
      </x:c>
      <x:c r="P446" s="27" t="str">
        <x:v>BIOLOGICAL</x:v>
      </x:c>
      <x:c r="Q446" s="27" t="str">
        <x:v>viruses</x:v>
      </x:c>
      <x:c r="R446" s="27" t="str"/>
      <x:c r="S446" s="31" t="b">
        <x:v>1</x:v>
      </x:c>
      <x:c r="T446" s="27" t="str">
        <x:v>ASM-2026-064</x:v>
      </x:c>
      <x:c r="U446" s="27" t="str">
        <x:v>HZ-2026-064-01</x:v>
      </x:c>
    </x:row>
    <x:row r="447">
      <x:c r="A447" s="28" t="str">
        <x:v>Ward 6</x:v>
      </x:c>
      <x:c r="B447" s="37" t="n">
        <x:v>46130</x:v>
      </x:c>
      <x:c r="C447" s="26" t="str">
        <x:v>RAH01-2026-064</x:v>
      </x:c>
      <x:c r="D447" s="36" t="n">
        <x:v>2</x:v>
      </x:c>
      <x:c r="E447" s="26" t="str">
        <x:v>Biological Hazards</x:v>
      </x:c>
      <x:c r="F447" s="26" t="str">
        <x:v>Bacteria</x:v>
      </x:c>
      <x:c r="G447" s="35" t="n">
        <x:v>36</x:v>
      </x:c>
      <x:c r="H447" s="35" t="n">
        <x:v>17</x:v>
      </x:c>
      <x:c r="I447" s="35" t="n">
        <x:v>2</x:v>
      </x:c>
      <x:c r="J447" s="35" t="n">
        <x:v>3</x:v>
      </x:c>
      <x:c r="K447" s="36" t="n">
        <x:f>IF(AND(S447=TRUE,ISNUMBER(I447),I447=INT(I447),I447&gt;=1,I447&lt;=3,ISNUMBER(J447),J447=INT(J447),J447&gt;=1,J447&lt;=3),I447*J447,"")</x:f>
        <x:v>6</x:v>
      </x:c>
      <x:c r="L447" s="26" t="str">
        <x:f>IF(K447="","",IF(K447&lt;=2,"LOW",IF(K447&lt;=4,"MEDIUM","HIGH")))</x:f>
        <x:v>HIGH</x:v>
      </x:c>
      <x:c r="M447" s="25" t="str">
        <x:v>Standard precautions, hand hygiene, vaccination, cleaning, and appropriate PPE are implemented.</x:v>
      </x:c>
      <x:c r="N447" s="25" t="str">
        <x:v>Audit compliance, investigate exposure incidents, and reinforce source-control and PPE practice.</x:v>
      </x:c>
      <x:c r="O447" s="30" t="b">
        <x:v>0</x:v>
      </x:c>
      <x:c r="P447" s="27" t="str">
        <x:v>BIOLOGICAL</x:v>
      </x:c>
      <x:c r="Q447" s="27" t="str">
        <x:v>bacteria</x:v>
      </x:c>
      <x:c r="R447" s="27" t="str"/>
      <x:c r="S447" s="31" t="b">
        <x:v>1</x:v>
      </x:c>
      <x:c r="T447" s="27" t="str">
        <x:v>ASM-2026-064</x:v>
      </x:c>
      <x:c r="U447" s="27" t="str">
        <x:v>HZ-2026-064-02</x:v>
      </x:c>
    </x:row>
    <x:row r="448">
      <x:c r="A448" s="28" t="str">
        <x:v>Ward 6</x:v>
      </x:c>
      <x:c r="B448" s="37" t="n">
        <x:v>46130</x:v>
      </x:c>
      <x:c r="C448" s="26" t="str">
        <x:v>RAH01-2026-064</x:v>
      </x:c>
      <x:c r="D448" s="36" t="n">
        <x:v>3</x:v>
      </x:c>
      <x:c r="E448" s="26" t="str">
        <x:v>Safety and Accident Hazards</x:v>
      </x:c>
      <x:c r="F448" s="26" t="str">
        <x:v>Sharps / Needlestick</x:v>
      </x:c>
      <x:c r="G448" s="35" t="n">
        <x:v>39</x:v>
      </x:c>
      <x:c r="H448" s="35" t="n">
        <x:v>24</x:v>
      </x:c>
      <x:c r="I448" s="35" t="n">
        <x:v>3</x:v>
      </x:c>
      <x:c r="J448" s="35" t="n">
        <x:v>3</x:v>
      </x:c>
      <x:c r="K448" s="36" t="n">
        <x:f>IF(AND(S448=TRUE,ISNUMBER(I448),I448=INT(I448),I448&gt;=1,I448&lt;=3,ISNUMBER(J448),J448=INT(J448),J448&gt;=1,J448&lt;=3),I448*J448,"")</x:f>
        <x:v>9</x:v>
      </x:c>
      <x:c r="L448" s="26" t="str">
        <x:f>IF(K448="","",IF(K448&lt;=2,"LOW",IF(K448&lt;=4,"MEDIUM","HIGH")))</x:f>
        <x:v>HIGH</x:v>
      </x:c>
      <x:c r="M448" s="25" t="str">
        <x:v>Safe-work procedures, inspection, housekeeping, guards, and incident reporting are implemented.</x:v>
      </x:c>
      <x:c r="N448" s="25" t="str">
        <x:v>Correct the unsafe condition, document ownership, and verify effectiveness through a follow-up inspection.</x:v>
      </x:c>
      <x:c r="O448" s="30" t="b">
        <x:v>1</x:v>
      </x:c>
      <x:c r="P448" s="27" t="str">
        <x:v>SAFETY_ACCIDENT</x:v>
      </x:c>
      <x:c r="Q448" s="27" t="str">
        <x:v>sharps</x:v>
      </x:c>
      <x:c r="R448" s="27" t="str"/>
      <x:c r="S448" s="31" t="b">
        <x:v>1</x:v>
      </x:c>
      <x:c r="T448" s="27" t="str">
        <x:v>ASM-2026-064</x:v>
      </x:c>
      <x:c r="U448" s="27" t="str">
        <x:v>HZ-2026-064-03</x:v>
      </x:c>
    </x:row>
    <x:row r="449">
      <x:c r="A449" s="28" t="str">
        <x:v>Ward 6</x:v>
      </x:c>
      <x:c r="B449" s="37" t="n">
        <x:v>46130</x:v>
      </x:c>
      <x:c r="C449" s="26" t="str">
        <x:v>RAH01-2026-064</x:v>
      </x:c>
      <x:c r="D449" s="36" t="n">
        <x:v>4</x:v>
      </x:c>
      <x:c r="E449" s="26" t="str">
        <x:v>Ergonomic Hazards</x:v>
      </x:c>
      <x:c r="F449" s="26" t="str">
        <x:v>Heavy Lifting / Patient Transfer</x:v>
      </x:c>
      <x:c r="G449" s="35" t="n">
        <x:v>42</x:v>
      </x:c>
      <x:c r="H449" s="35" t="n">
        <x:v>0</x:v>
      </x:c>
      <x:c r="I449" s="35" t="n">
        <x:v>3</x:v>
      </x:c>
      <x:c r="J449" s="35" t="n">
        <x:v>2</x:v>
      </x:c>
      <x:c r="K449" s="36" t="n">
        <x:f>IF(AND(S449=TRUE,ISNUMBER(I449),I449=INT(I449),I449&gt;=1,I449&lt;=3,ISNUMBER(J449),J449=INT(J449),J449&gt;=1,J449&lt;=3),I449*J449,"")</x:f>
        <x:v>6</x:v>
      </x:c>
      <x:c r="L449" s="26" t="str">
        <x:f>IF(K449="","",IF(K449&lt;=2,"LOW",IF(K449&lt;=4,"MEDIUM","HIGH")))</x:f>
        <x:v>HIGH</x:v>
      </x:c>
      <x:c r="M449" s="25" t="str">
        <x:v>Task rotation, adjustable equipment, team lifting, and safe-patient-handling guidance are used.</x:v>
      </x:c>
      <x:c r="N449" s="25" t="str">
        <x:v>Complete an ergonomic task assessment and implement equipment or workflow changes to reduce force and repetition.</x:v>
      </x:c>
      <x:c r="O449" s="30" t="b">
        <x:v>0</x:v>
      </x:c>
      <x:c r="P449" s="27" t="str">
        <x:v>ERGONOMIC</x:v>
      </x:c>
      <x:c r="Q449" s="27" t="str">
        <x:v>heavy_lifting_patient_transfer</x:v>
      </x:c>
      <x:c r="R449" s="27" t="str"/>
      <x:c r="S449" s="31" t="b">
        <x:v>1</x:v>
      </x:c>
      <x:c r="T449" s="27" t="str">
        <x:v>ASM-2026-064</x:v>
      </x:c>
      <x:c r="U449" s="27" t="str">
        <x:v>HZ-2026-064-04</x:v>
      </x:c>
    </x:row>
    <x:row r="450">
      <x:c r="A450" s="28" t="str">
        <x:v>Ward 6</x:v>
      </x:c>
      <x:c r="B450" s="37" t="n">
        <x:v>46130</x:v>
      </x:c>
      <x:c r="C450" s="26" t="str">
        <x:v>RAH01-2026-064</x:v>
      </x:c>
      <x:c r="D450" s="36" t="n">
        <x:v>5</x:v>
      </x:c>
      <x:c r="E450" s="26" t="str">
        <x:v>Psychosocial Hazards</x:v>
      </x:c>
      <x:c r="F450" s="26" t="str">
        <x:v>Work Stress</x:v>
      </x:c>
      <x:c r="G450" s="35" t="n">
        <x:v>45</x:v>
      </x:c>
      <x:c r="H450" s="35" t="n">
        <x:v>7</x:v>
      </x:c>
      <x:c r="I450" s="35" t="n">
        <x:v>2</x:v>
      </x:c>
      <x:c r="J450" s="35" t="n">
        <x:v>3</x:v>
      </x:c>
      <x:c r="K450" s="36" t="n">
        <x:f>IF(AND(S450=TRUE,ISNUMBER(I450),I450=INT(I450),I450&gt;=1,I450&lt;=3,ISNUMBER(J450),J450=INT(J450),J450&gt;=1,J450&lt;=3),I450*J450,"")</x:f>
        <x:v>6</x:v>
      </x:c>
      <x:c r="L450" s="26" t="str">
        <x:f>IF(K450="","",IF(K450&lt;=2,"LOW",IF(K450&lt;=4,"MEDIUM","HIGH")))</x:f>
        <x:v>HIGH</x:v>
      </x:c>
      <x:c r="M450" s="25" t="str">
        <x:v>Shift planning, escalation pathways, security support, breaks, and supervisor check-ins are available.</x:v>
      </x:c>
      <x:c r="N450" s="25" t="str">
        <x:v>Review staffing, breaks, escalation support, and violence-prevention controls with the department manager.</x:v>
      </x:c>
      <x:c r="O450" s="30" t="b">
        <x:v>0</x:v>
      </x:c>
      <x:c r="P450" s="27" t="str">
        <x:v>PSYCHOSOCIAL</x:v>
      </x:c>
      <x:c r="Q450" s="27" t="str">
        <x:v>work_stress</x:v>
      </x:c>
      <x:c r="R450" s="27" t="str"/>
      <x:c r="S450" s="31" t="b">
        <x:v>1</x:v>
      </x:c>
      <x:c r="T450" s="27" t="str">
        <x:v>ASM-2026-064</x:v>
      </x:c>
      <x:c r="U450" s="27" t="str">
        <x:v>HZ-2026-064-05</x:v>
      </x:c>
    </x:row>
    <x:row r="451">
      <x:c r="A451" s="28" t="str">
        <x:v>Ward 6</x:v>
      </x:c>
      <x:c r="B451" s="37" t="n">
        <x:v>46130</x:v>
      </x:c>
      <x:c r="C451" s="26" t="str">
        <x:v>RAH01-2026-064</x:v>
      </x:c>
      <x:c r="D451" s="36" t="n">
        <x:v>6</x:v>
      </x:c>
      <x:c r="E451" s="26" t="str">
        <x:v>Psychosocial Hazards</x:v>
      </x:c>
      <x:c r="F451" s="26" t="str">
        <x:v>Insufficient Rest</x:v>
      </x:c>
      <x:c r="G451" s="35" t="n">
        <x:v>48</x:v>
      </x:c>
      <x:c r="H451" s="35" t="n">
        <x:v>14</x:v>
      </x:c>
      <x:c r="I451" s="35" t="n">
        <x:v>3</x:v>
      </x:c>
      <x:c r="J451" s="35" t="n">
        <x:v>3</x:v>
      </x:c>
      <x:c r="K451" s="36" t="n">
        <x:f>IF(AND(S451=TRUE,ISNUMBER(I451),I451=INT(I451),I451&gt;=1,I451&lt;=3,ISNUMBER(J451),J451=INT(J451),J451&gt;=1,J451&lt;=3),I451*J451,"")</x:f>
        <x:v>9</x:v>
      </x:c>
      <x:c r="L451" s="26" t="str">
        <x:f>IF(K451="","",IF(K451&lt;=2,"LOW",IF(K451&lt;=4,"MEDIUM","HIGH")))</x:f>
        <x:v>HIGH</x:v>
      </x:c>
      <x:c r="M451" s="25" t="str">
        <x:v>Shift planning, escalation pathways, security support, breaks, and supervisor check-ins are available.</x:v>
      </x:c>
      <x:c r="N451" s="25" t="str">
        <x:v>Review staffing, breaks, escalation support, and violence-prevention controls with the department manager.</x:v>
      </x:c>
      <x:c r="O451" s="30" t="b">
        <x:v>1</x:v>
      </x:c>
      <x:c r="P451" s="27" t="str">
        <x:v>PSYCHOSOCIAL</x:v>
      </x:c>
      <x:c r="Q451" s="27" t="str">
        <x:v>insufficient_rest</x:v>
      </x:c>
      <x:c r="R451" s="27" t="str"/>
      <x:c r="S451" s="31" t="b">
        <x:v>1</x:v>
      </x:c>
      <x:c r="T451" s="27" t="str">
        <x:v>ASM-2026-064</x:v>
      </x:c>
      <x:c r="U451" s="27" t="str">
        <x:v>HZ-2026-064-06</x:v>
      </x:c>
    </x:row>
    <x:row r="452">
      <x:c r="A452" s="28" t="str">
        <x:v>Ward 6</x:v>
      </x:c>
      <x:c r="B452" s="37" t="n">
        <x:v>46130</x:v>
      </x:c>
      <x:c r="C452" s="26" t="str">
        <x:v>RAH01-2026-064</x:v>
      </x:c>
      <x:c r="D452" s="36" t="n">
        <x:v>7</x:v>
      </x:c>
      <x:c r="E452" s="26" t="str">
        <x:v>Fire and Disaster Hazards</x:v>
      </x:c>
      <x:c r="F452" s="26" t="str">
        <x:v>Electrical Equipment</x:v>
      </x:c>
      <x:c r="G452" s="35" t="n">
        <x:v>3</x:v>
      </x:c>
      <x:c r="H452" s="35" t="n">
        <x:v>21</x:v>
      </x:c>
      <x:c r="I452" s="35" t="n">
        <x:v>3</x:v>
      </x:c>
      <x:c r="J452" s="35" t="n">
        <x:v>2</x:v>
      </x:c>
      <x:c r="K452" s="36" t="n">
        <x:f>IF(AND(S452=TRUE,ISNUMBER(I452),I452=INT(I452),I452&gt;=1,I452&lt;=3,ISNUMBER(J452),J452=INT(J452),J452&gt;=1,J452&lt;=3),I452*J452,"")</x:f>
        <x:v>6</x:v>
      </x:c>
      <x:c r="L452" s="26" t="str">
        <x:f>IF(K452="","",IF(K452&lt;=2,"LOW",IF(K452&lt;=4,"MEDIUM","HIGH")))</x:f>
        <x:v>HIGH</x:v>
      </x:c>
      <x:c r="M452" s="25" t="str">
        <x:v>Electrical inspection, isolation procedures, alarms, extinguishers, and emergency response plans are maintained.</x:v>
      </x:c>
      <x:c r="N452" s="25" t="str">
        <x:v>Complete an engineering inspection and emergency-readiness check before the next scheduled review.</x:v>
      </x:c>
      <x:c r="O452" s="30" t="b">
        <x:v>0</x:v>
      </x:c>
      <x:c r="P452" s="27" t="str">
        <x:v>FIRE_DISASTER</x:v>
      </x:c>
      <x:c r="Q452" s="27" t="str">
        <x:v>electrical_equipment</x:v>
      </x:c>
      <x:c r="R452" s="27" t="str"/>
      <x:c r="S452" s="31" t="b">
        <x:v>1</x:v>
      </x:c>
      <x:c r="T452" s="27" t="str">
        <x:v>ASM-2026-064</x:v>
      </x:c>
      <x:c r="U452" s="27" t="str">
        <x:v>HZ-2026-064-07</x:v>
      </x:c>
    </x:row>
    <x:row r="453">
      <x:c r="A453" s="28" t="str">
        <x:v>Ward 6</x:v>
      </x:c>
      <x:c r="B453" s="37" t="n">
        <x:v>46130</x:v>
      </x:c>
      <x:c r="C453" s="26" t="str">
        <x:v>RAH01-2026-064</x:v>
      </x:c>
      <x:c r="D453" s="36" t="n">
        <x:v>8</x:v>
      </x:c>
      <x:c r="E453" s="26" t="str">
        <x:v>Indoor Air Quality Hazards</x:v>
      </x:c>
      <x:c r="F453" s="26" t="str">
        <x:v>Dust</x:v>
      </x:c>
      <x:c r="G453" s="35" t="n">
        <x:v>6</x:v>
      </x:c>
      <x:c r="H453" s="35" t="n">
        <x:v>28</x:v>
      </x:c>
      <x:c r="I453" s="35" t="n">
        <x:v>2</x:v>
      </x:c>
      <x:c r="J453" s="35" t="n">
        <x:v>3</x:v>
      </x:c>
      <x:c r="K453" s="36" t="n">
        <x:f>IF(AND(S453=TRUE,ISNUMBER(I453),I453=INT(I453),I453&gt;=1,I453&lt;=3,ISNUMBER(J453),J453=INT(J453),J453&gt;=1,J453&lt;=3),I453*J453,"")</x:f>
        <x:v>6</x:v>
      </x:c>
      <x:c r="L453" s="26" t="str">
        <x:f>IF(K453="","",IF(K453&lt;=2,"LOW",IF(K453&lt;=4,"MEDIUM","HIGH")))</x:f>
        <x:v>HIGH</x:v>
      </x:c>
      <x:c r="M453" s="25" t="str">
        <x:v>Ventilation, cleaning, occupancy management, and environmental inspection are performed.</x:v>
      </x:c>
      <x:c r="N453" s="25" t="str">
        <x:v>Inspect ventilation and moisture sources, then document corrective action and environmental recheck.</x:v>
      </x:c>
      <x:c r="O453" s="30" t="b">
        <x:v>0</x:v>
      </x:c>
      <x:c r="P453" s="27" t="str">
        <x:v>INDOOR_AIR_QUALITY</x:v>
      </x:c>
      <x:c r="Q453" s="27" t="str">
        <x:v>dust</x:v>
      </x:c>
      <x:c r="R453" s="27" t="str"/>
      <x:c r="S453" s="31" t="b">
        <x:v>1</x:v>
      </x:c>
      <x:c r="T453" s="27" t="str">
        <x:v>ASM-2026-064</x:v>
      </x:c>
      <x:c r="U453" s="27" t="str">
        <x:v>HZ-2026-064-08</x:v>
      </x:c>
    </x:row>
    <x:row r="454">
      <x:c r="A454" s="28" t="str">
        <x:v>Ward 7</x:v>
      </x:c>
      <x:c r="B454" s="37" t="n">
        <x:v>46163</x:v>
      </x:c>
      <x:c r="C454" s="26" t="str">
        <x:v>RAH01-2026-065</x:v>
      </x:c>
      <x:c r="D454" s="36" t="n">
        <x:v>1</x:v>
      </x:c>
      <x:c r="E454" s="26" t="str">
        <x:v>Biological Hazards</x:v>
      </x:c>
      <x:c r="F454" s="26" t="str">
        <x:v>Viruses</x:v>
      </x:c>
      <x:c r="G454" s="35" t="n">
        <x:v>21</x:v>
      </x:c>
      <x:c r="H454" s="35" t="n">
        <x:v>15</x:v>
      </x:c>
      <x:c r="I454" s="35" t="n">
        <x:v>3</x:v>
      </x:c>
      <x:c r="J454" s="35" t="n">
        <x:v>3</x:v>
      </x:c>
      <x:c r="K454" s="36" t="n">
        <x:f>IF(AND(S454=TRUE,ISNUMBER(I454),I454=INT(I454),I454&gt;=1,I454&lt;=3,ISNUMBER(J454),J454=INT(J454),J454&gt;=1,J454&lt;=3),I454*J454,"")</x:f>
        <x:v>9</x:v>
      </x:c>
      <x:c r="L454" s="26" t="str">
        <x:f>IF(K454="","",IF(K454&lt;=2,"LOW",IF(K454&lt;=4,"MEDIUM","HIGH")))</x:f>
        <x:v>HIGH</x:v>
      </x:c>
      <x:c r="M454" s="25" t="str">
        <x:v>Standard precautions, hand hygiene, vaccination, cleaning, and appropriate PPE are implemented.</x:v>
      </x:c>
      <x:c r="N454" s="25" t="str">
        <x:v>Audit compliance, investigate exposure incidents, and reinforce source-control and PPE practice.</x:v>
      </x:c>
      <x:c r="O454" s="30" t="b">
        <x:v>0</x:v>
      </x:c>
      <x:c r="P454" s="27" t="str">
        <x:v>BIOLOGICAL</x:v>
      </x:c>
      <x:c r="Q454" s="27" t="str">
        <x:v>viruses</x:v>
      </x:c>
      <x:c r="R454" s="27" t="str"/>
      <x:c r="S454" s="31" t="b">
        <x:v>1</x:v>
      </x:c>
      <x:c r="T454" s="27" t="str">
        <x:v>ASM-2026-065</x:v>
      </x:c>
      <x:c r="U454" s="27" t="str">
        <x:v>HZ-2026-065-01</x:v>
      </x:c>
    </x:row>
    <x:row r="455">
      <x:c r="A455" s="28" t="str">
        <x:v>Ward 7</x:v>
      </x:c>
      <x:c r="B455" s="37" t="n">
        <x:v>46163</x:v>
      </x:c>
      <x:c r="C455" s="26" t="str">
        <x:v>RAH01-2026-065</x:v>
      </x:c>
      <x:c r="D455" s="36" t="n">
        <x:v>2</x:v>
      </x:c>
      <x:c r="E455" s="26" t="str">
        <x:v>Biological Hazards</x:v>
      </x:c>
      <x:c r="F455" s="26" t="str">
        <x:v>Bacteria</x:v>
      </x:c>
      <x:c r="G455" s="35" t="n">
        <x:v>24</x:v>
      </x:c>
      <x:c r="H455" s="35" t="n">
        <x:v>22</x:v>
      </x:c>
      <x:c r="I455" s="35" t="n">
        <x:v>3</x:v>
      </x:c>
      <x:c r="J455" s="35" t="n">
        <x:v>2</x:v>
      </x:c>
      <x:c r="K455" s="36" t="n">
        <x:f>IF(AND(S455=TRUE,ISNUMBER(I455),I455=INT(I455),I455&gt;=1,I455&lt;=3,ISNUMBER(J455),J455=INT(J455),J455&gt;=1,J455&lt;=3),I455*J455,"")</x:f>
        <x:v>6</x:v>
      </x:c>
      <x:c r="L455" s="26" t="str">
        <x:f>IF(K455="","",IF(K455&lt;=2,"LOW",IF(K455&lt;=4,"MEDIUM","HIGH")))</x:f>
        <x:v>HIGH</x:v>
      </x:c>
      <x:c r="M455" s="25" t="str">
        <x:v>Standard precautions, hand hygiene, vaccination, cleaning, and appropriate PPE are implemented.</x:v>
      </x:c>
      <x:c r="N455" s="25" t="str">
        <x:v>Audit compliance, investigate exposure incidents, and reinforce source-control and PPE practice.</x:v>
      </x:c>
      <x:c r="O455" s="30" t="b">
        <x:v>1</x:v>
      </x:c>
      <x:c r="P455" s="27" t="str">
        <x:v>BIOLOGICAL</x:v>
      </x:c>
      <x:c r="Q455" s="27" t="str">
        <x:v>bacteria</x:v>
      </x:c>
      <x:c r="R455" s="27" t="str"/>
      <x:c r="S455" s="31" t="b">
        <x:v>1</x:v>
      </x:c>
      <x:c r="T455" s="27" t="str">
        <x:v>ASM-2026-065</x:v>
      </x:c>
      <x:c r="U455" s="27" t="str">
        <x:v>HZ-2026-065-02</x:v>
      </x:c>
    </x:row>
    <x:row r="456">
      <x:c r="A456" s="28" t="str">
        <x:v>Ward 7</x:v>
      </x:c>
      <x:c r="B456" s="37" t="n">
        <x:v>46163</x:v>
      </x:c>
      <x:c r="C456" s="26" t="str">
        <x:v>RAH01-2026-065</x:v>
      </x:c>
      <x:c r="D456" s="36" t="n">
        <x:v>3</x:v>
      </x:c>
      <x:c r="E456" s="26" t="str">
        <x:v>Safety and Accident Hazards</x:v>
      </x:c>
      <x:c r="F456" s="26" t="str">
        <x:v>Sharps / Needlestick</x:v>
      </x:c>
      <x:c r="G456" s="35" t="n">
        <x:v>27</x:v>
      </x:c>
      <x:c r="H456" s="35" t="n">
        <x:v>29</x:v>
      </x:c>
      <x:c r="I456" s="35" t="n">
        <x:v>2</x:v>
      </x:c>
      <x:c r="J456" s="35" t="n">
        <x:v>3</x:v>
      </x:c>
      <x:c r="K456" s="36" t="n">
        <x:f>IF(AND(S456=TRUE,ISNUMBER(I456),I456=INT(I456),I456&gt;=1,I456&lt;=3,ISNUMBER(J456),J456=INT(J456),J456&gt;=1,J456&lt;=3),I456*J456,"")</x:f>
        <x:v>6</x:v>
      </x:c>
      <x:c r="L456" s="26" t="str">
        <x:f>IF(K456="","",IF(K456&lt;=2,"LOW",IF(K456&lt;=4,"MEDIUM","HIGH")))</x:f>
        <x:v>HIGH</x:v>
      </x:c>
      <x:c r="M456" s="25" t="str">
        <x:v>Safe-work procedures, inspection, housekeeping, guards, and incident reporting are implemented.</x:v>
      </x:c>
      <x:c r="N456" s="25" t="str">
        <x:v>Correct the unsafe condition, document ownership, and verify effectiveness through a follow-up inspection.</x:v>
      </x:c>
      <x:c r="O456" s="30" t="b">
        <x:v>0</x:v>
      </x:c>
      <x:c r="P456" s="27" t="str">
        <x:v>SAFETY_ACCIDENT</x:v>
      </x:c>
      <x:c r="Q456" s="27" t="str">
        <x:v>sharps</x:v>
      </x:c>
      <x:c r="R456" s="27" t="str"/>
      <x:c r="S456" s="31" t="b">
        <x:v>1</x:v>
      </x:c>
      <x:c r="T456" s="27" t="str">
        <x:v>ASM-2026-065</x:v>
      </x:c>
      <x:c r="U456" s="27" t="str">
        <x:v>HZ-2026-065-03</x:v>
      </x:c>
    </x:row>
    <x:row r="457">
      <x:c r="A457" s="28" t="str">
        <x:v>Ward 7</x:v>
      </x:c>
      <x:c r="B457" s="37" t="n">
        <x:v>46163</x:v>
      </x:c>
      <x:c r="C457" s="26" t="str">
        <x:v>RAH01-2026-065</x:v>
      </x:c>
      <x:c r="D457" s="36" t="n">
        <x:v>4</x:v>
      </x:c>
      <x:c r="E457" s="26" t="str">
        <x:v>Ergonomic Hazards</x:v>
      </x:c>
      <x:c r="F457" s="26" t="str">
        <x:v>Heavy Lifting / Patient Transfer</x:v>
      </x:c>
      <x:c r="G457" s="35" t="n">
        <x:v>30</x:v>
      </x:c>
      <x:c r="H457" s="35" t="n">
        <x:v>5</x:v>
      </x:c>
      <x:c r="I457" s="35" t="n">
        <x:v>3</x:v>
      </x:c>
      <x:c r="J457" s="35" t="n">
        <x:v>3</x:v>
      </x:c>
      <x:c r="K457" s="36" t="n">
        <x:f>IF(AND(S457=TRUE,ISNUMBER(I457),I457=INT(I457),I457&gt;=1,I457&lt;=3,ISNUMBER(J457),J457=INT(J457),J457&gt;=1,J457&lt;=3),I457*J457,"")</x:f>
        <x:v>9</x:v>
      </x:c>
      <x:c r="L457" s="26" t="str">
        <x:f>IF(K457="","",IF(K457&lt;=2,"LOW",IF(K457&lt;=4,"MEDIUM","HIGH")))</x:f>
        <x:v>HIGH</x:v>
      </x:c>
      <x:c r="M457" s="25" t="str">
        <x:v>Task rotation, adjustable equipment, team lifting, and safe-patient-handling guidance are used.</x:v>
      </x:c>
      <x:c r="N457" s="25" t="str">
        <x:v>Complete an ergonomic task assessment and implement equipment or workflow changes to reduce force and repetition.</x:v>
      </x:c>
      <x:c r="O457" s="30" t="b">
        <x:v>0</x:v>
      </x:c>
      <x:c r="P457" s="27" t="str">
        <x:v>ERGONOMIC</x:v>
      </x:c>
      <x:c r="Q457" s="27" t="str">
        <x:v>heavy_lifting_patient_transfer</x:v>
      </x:c>
      <x:c r="R457" s="27" t="str"/>
      <x:c r="S457" s="31" t="b">
        <x:v>1</x:v>
      </x:c>
      <x:c r="T457" s="27" t="str">
        <x:v>ASM-2026-065</x:v>
      </x:c>
      <x:c r="U457" s="27" t="str">
        <x:v>HZ-2026-065-04</x:v>
      </x:c>
    </x:row>
    <x:row r="458">
      <x:c r="A458" s="28" t="str">
        <x:v>Ward 7</x:v>
      </x:c>
      <x:c r="B458" s="37" t="n">
        <x:v>46163</x:v>
      </x:c>
      <x:c r="C458" s="26" t="str">
        <x:v>RAH01-2026-065</x:v>
      </x:c>
      <x:c r="D458" s="36" t="n">
        <x:v>5</x:v>
      </x:c>
      <x:c r="E458" s="26" t="str">
        <x:v>Psychosocial Hazards</x:v>
      </x:c>
      <x:c r="F458" s="26" t="str">
        <x:v>Work Stress</x:v>
      </x:c>
      <x:c r="G458" s="35" t="n">
        <x:v>33</x:v>
      </x:c>
      <x:c r="H458" s="35" t="n">
        <x:v>12</x:v>
      </x:c>
      <x:c r="I458" s="35" t="n">
        <x:v>3</x:v>
      </x:c>
      <x:c r="J458" s="35" t="n">
        <x:v>2</x:v>
      </x:c>
      <x:c r="K458" s="36" t="n">
        <x:f>IF(AND(S458=TRUE,ISNUMBER(I458),I458=INT(I458),I458&gt;=1,I458&lt;=3,ISNUMBER(J458),J458=INT(J458),J458&gt;=1,J458&lt;=3),I458*J458,"")</x:f>
        <x:v>6</x:v>
      </x:c>
      <x:c r="L458" s="26" t="str">
        <x:f>IF(K458="","",IF(K458&lt;=2,"LOW",IF(K458&lt;=4,"MEDIUM","HIGH")))</x:f>
        <x:v>HIGH</x:v>
      </x:c>
      <x:c r="M458" s="25" t="str">
        <x:v>Shift planning, escalation pathways, security support, breaks, and supervisor check-ins are available.</x:v>
      </x:c>
      <x:c r="N458" s="25" t="str">
        <x:v>Review staffing, breaks, escalation support, and violence-prevention controls with the department manager.</x:v>
      </x:c>
      <x:c r="O458" s="30" t="b">
        <x:v>1</x:v>
      </x:c>
      <x:c r="P458" s="27" t="str">
        <x:v>PSYCHOSOCIAL</x:v>
      </x:c>
      <x:c r="Q458" s="27" t="str">
        <x:v>work_stress</x:v>
      </x:c>
      <x:c r="R458" s="27" t="str"/>
      <x:c r="S458" s="31" t="b">
        <x:v>1</x:v>
      </x:c>
      <x:c r="T458" s="27" t="str">
        <x:v>ASM-2026-065</x:v>
      </x:c>
      <x:c r="U458" s="27" t="str">
        <x:v>HZ-2026-065-05</x:v>
      </x:c>
    </x:row>
    <x:row r="459">
      <x:c r="A459" s="28" t="str">
        <x:v>Ward 7</x:v>
      </x:c>
      <x:c r="B459" s="37" t="n">
        <x:v>46163</x:v>
      </x:c>
      <x:c r="C459" s="26" t="str">
        <x:v>RAH01-2026-065</x:v>
      </x:c>
      <x:c r="D459" s="36" t="n">
        <x:v>6</x:v>
      </x:c>
      <x:c r="E459" s="26" t="str">
        <x:v>Psychosocial Hazards</x:v>
      </x:c>
      <x:c r="F459" s="26" t="str">
        <x:v>Insufficient Rest</x:v>
      </x:c>
      <x:c r="G459" s="35" t="n">
        <x:v>36</x:v>
      </x:c>
      <x:c r="H459" s="35" t="n">
        <x:v>19</x:v>
      </x:c>
      <x:c r="I459" s="35" t="n">
        <x:v>2</x:v>
      </x:c>
      <x:c r="J459" s="35" t="n">
        <x:v>3</x:v>
      </x:c>
      <x:c r="K459" s="36" t="n">
        <x:f>IF(AND(S459=TRUE,ISNUMBER(I459),I459=INT(I459),I459&gt;=1,I459&lt;=3,ISNUMBER(J459),J459=INT(J459),J459&gt;=1,J459&lt;=3),I459*J459,"")</x:f>
        <x:v>6</x:v>
      </x:c>
      <x:c r="L459" s="26" t="str">
        <x:f>IF(K459="","",IF(K459&lt;=2,"LOW",IF(K459&lt;=4,"MEDIUM","HIGH")))</x:f>
        <x:v>HIGH</x:v>
      </x:c>
      <x:c r="M459" s="25" t="str">
        <x:v>Shift planning, escalation pathways, security support, breaks, and supervisor check-ins are available.</x:v>
      </x:c>
      <x:c r="N459" s="25" t="str">
        <x:v>Review staffing, breaks, escalation support, and violence-prevention controls with the department manager.</x:v>
      </x:c>
      <x:c r="O459" s="30" t="b">
        <x:v>0</x:v>
      </x:c>
      <x:c r="P459" s="27" t="str">
        <x:v>PSYCHOSOCIAL</x:v>
      </x:c>
      <x:c r="Q459" s="27" t="str">
        <x:v>insufficient_rest</x:v>
      </x:c>
      <x:c r="R459" s="27" t="str"/>
      <x:c r="S459" s="31" t="b">
        <x:v>1</x:v>
      </x:c>
      <x:c r="T459" s="27" t="str">
        <x:v>ASM-2026-065</x:v>
      </x:c>
      <x:c r="U459" s="27" t="str">
        <x:v>HZ-2026-065-06</x:v>
      </x:c>
    </x:row>
    <x:row r="460">
      <x:c r="A460" s="28" t="str">
        <x:v>Ward 7</x:v>
      </x:c>
      <x:c r="B460" s="37" t="n">
        <x:v>46163</x:v>
      </x:c>
      <x:c r="C460" s="26" t="str">
        <x:v>RAH01-2026-065</x:v>
      </x:c>
      <x:c r="D460" s="36" t="n">
        <x:v>7</x:v>
      </x:c>
      <x:c r="E460" s="26" t="str">
        <x:v>Fire and Disaster Hazards</x:v>
      </x:c>
      <x:c r="F460" s="26" t="str">
        <x:v>Electrical Equipment</x:v>
      </x:c>
      <x:c r="G460" s="35" t="n">
        <x:v>39</x:v>
      </x:c>
      <x:c r="H460" s="35" t="n">
        <x:v>26</x:v>
      </x:c>
      <x:c r="I460" s="35" t="n">
        <x:v>3</x:v>
      </x:c>
      <x:c r="J460" s="35" t="n">
        <x:v>3</x:v>
      </x:c>
      <x:c r="K460" s="36" t="n">
        <x:f>IF(AND(S460=TRUE,ISNUMBER(I460),I460=INT(I460),I460&gt;=1,I460&lt;=3,ISNUMBER(J460),J460=INT(J460),J460&gt;=1,J460&lt;=3),I460*J460,"")</x:f>
        <x:v>9</x:v>
      </x:c>
      <x:c r="L460" s="26" t="str">
        <x:f>IF(K460="","",IF(K460&lt;=2,"LOW",IF(K460&lt;=4,"MEDIUM","HIGH")))</x:f>
        <x:v>HIGH</x:v>
      </x:c>
      <x:c r="M460" s="25" t="str">
        <x:v>Electrical inspection, isolation procedures, alarms, extinguishers, and emergency response plans are maintained.</x:v>
      </x:c>
      <x:c r="N460" s="25" t="str">
        <x:v>Complete an engineering inspection and emergency-readiness check before the next scheduled review.</x:v>
      </x:c>
      <x:c r="O460" s="30" t="b">
        <x:v>0</x:v>
      </x:c>
      <x:c r="P460" s="27" t="str">
        <x:v>FIRE_DISASTER</x:v>
      </x:c>
      <x:c r="Q460" s="27" t="str">
        <x:v>electrical_equipment</x:v>
      </x:c>
      <x:c r="R460" s="27" t="str"/>
      <x:c r="S460" s="31" t="b">
        <x:v>1</x:v>
      </x:c>
      <x:c r="T460" s="27" t="str">
        <x:v>ASM-2026-065</x:v>
      </x:c>
      <x:c r="U460" s="27" t="str">
        <x:v>HZ-2026-065-07</x:v>
      </x:c>
    </x:row>
    <x:row r="461">
      <x:c r="A461" s="28" t="str">
        <x:v>Ward 8</x:v>
      </x:c>
      <x:c r="B461" s="37" t="n">
        <x:v>46197</x:v>
      </x:c>
      <x:c r="C461" s="26" t="str">
        <x:v>RAH01-2026-066</x:v>
      </x:c>
      <x:c r="D461" s="36" t="n">
        <x:v>1</x:v>
      </x:c>
      <x:c r="E461" s="26" t="str">
        <x:v>Biological Hazards</x:v>
      </x:c>
      <x:c r="F461" s="26" t="str">
        <x:v>Viruses</x:v>
      </x:c>
      <x:c r="G461" s="35" t="n">
        <x:v>9</x:v>
      </x:c>
      <x:c r="H461" s="35" t="n">
        <x:v>20</x:v>
      </x:c>
      <x:c r="I461" s="35" t="n">
        <x:v>2</x:v>
      </x:c>
      <x:c r="J461" s="35" t="n">
        <x:v>3</x:v>
      </x:c>
      <x:c r="K461" s="36" t="n">
        <x:f>IF(AND(S461=TRUE,ISNUMBER(I461),I461=INT(I461),I461&gt;=1,I461&lt;=3,ISNUMBER(J461),J461=INT(J461),J461&gt;=1,J461&lt;=3),I461*J461,"")</x:f>
        <x:v>6</x:v>
      </x:c>
      <x:c r="L461" s="26" t="str">
        <x:f>IF(K461="","",IF(K461&lt;=2,"LOW",IF(K461&lt;=4,"MEDIUM","HIGH")))</x:f>
        <x:v>HIGH</x:v>
      </x:c>
      <x:c r="M461" s="25" t="str">
        <x:v>Standard precautions, hand hygiene, vaccination, cleaning, and appropriate PPE are implemented.</x:v>
      </x:c>
      <x:c r="N461" s="25" t="str">
        <x:v>Audit compliance, investigate exposure incidents, and reinforce source-control and PPE practice.</x:v>
      </x:c>
      <x:c r="O461" s="30" t="b">
        <x:v>1</x:v>
      </x:c>
      <x:c r="P461" s="27" t="str">
        <x:v>BIOLOGICAL</x:v>
      </x:c>
      <x:c r="Q461" s="27" t="str">
        <x:v>viruses</x:v>
      </x:c>
      <x:c r="R461" s="27" t="str"/>
      <x:c r="S461" s="31" t="b">
        <x:v>1</x:v>
      </x:c>
      <x:c r="T461" s="27" t="str">
        <x:v>ASM-2026-066</x:v>
      </x:c>
      <x:c r="U461" s="27" t="str">
        <x:v>HZ-2026-066-01</x:v>
      </x:c>
    </x:row>
    <x:row r="462">
      <x:c r="A462" s="28" t="str">
        <x:v>Ward 8</x:v>
      </x:c>
      <x:c r="B462" s="37" t="n">
        <x:v>46197</x:v>
      </x:c>
      <x:c r="C462" s="26" t="str">
        <x:v>RAH01-2026-066</x:v>
      </x:c>
      <x:c r="D462" s="36" t="n">
        <x:v>2</x:v>
      </x:c>
      <x:c r="E462" s="26" t="str">
        <x:v>Biological Hazards</x:v>
      </x:c>
      <x:c r="F462" s="26" t="str">
        <x:v>Bacteria</x:v>
      </x:c>
      <x:c r="G462" s="35" t="n">
        <x:v>12</x:v>
      </x:c>
      <x:c r="H462" s="35" t="n">
        <x:v>27</x:v>
      </x:c>
      <x:c r="I462" s="35" t="n">
        <x:v>3</x:v>
      </x:c>
      <x:c r="J462" s="35" t="n">
        <x:v>3</x:v>
      </x:c>
      <x:c r="K462" s="36" t="n">
        <x:f>IF(AND(S462=TRUE,ISNUMBER(I462),I462=INT(I462),I462&gt;=1,I462&lt;=3,ISNUMBER(J462),J462=INT(J462),J462&gt;=1,J462&lt;=3),I462*J462,"")</x:f>
        <x:v>9</x:v>
      </x:c>
      <x:c r="L462" s="26" t="str">
        <x:f>IF(K462="","",IF(K462&lt;=2,"LOW",IF(K462&lt;=4,"MEDIUM","HIGH")))</x:f>
        <x:v>HIGH</x:v>
      </x:c>
      <x:c r="M462" s="25" t="str">
        <x:v>Standard precautions, hand hygiene, vaccination, cleaning, and appropriate PPE are implemented.</x:v>
      </x:c>
      <x:c r="N462" s="25" t="str">
        <x:v>Audit compliance, investigate exposure incidents, and reinforce source-control and PPE practice.</x:v>
      </x:c>
      <x:c r="O462" s="30" t="b">
        <x:v>0</x:v>
      </x:c>
      <x:c r="P462" s="27" t="str">
        <x:v>BIOLOGICAL</x:v>
      </x:c>
      <x:c r="Q462" s="27" t="str">
        <x:v>bacteria</x:v>
      </x:c>
      <x:c r="R462" s="27" t="str"/>
      <x:c r="S462" s="31" t="b">
        <x:v>1</x:v>
      </x:c>
      <x:c r="T462" s="27" t="str">
        <x:v>ASM-2026-066</x:v>
      </x:c>
      <x:c r="U462" s="27" t="str">
        <x:v>HZ-2026-066-02</x:v>
      </x:c>
    </x:row>
    <x:row r="463">
      <x:c r="A463" s="28" t="str">
        <x:v>Ward 8</x:v>
      </x:c>
      <x:c r="B463" s="37" t="n">
        <x:v>46197</x:v>
      </x:c>
      <x:c r="C463" s="26" t="str">
        <x:v>RAH01-2026-066</x:v>
      </x:c>
      <x:c r="D463" s="36" t="n">
        <x:v>3</x:v>
      </x:c>
      <x:c r="E463" s="26" t="str">
        <x:v>Safety and Accident Hazards</x:v>
      </x:c>
      <x:c r="F463" s="26" t="str">
        <x:v>Sharps / Needlestick</x:v>
      </x:c>
      <x:c r="G463" s="35" t="n">
        <x:v>15</x:v>
      </x:c>
      <x:c r="H463" s="35" t="n">
        <x:v>3</x:v>
      </x:c>
      <x:c r="I463" s="35" t="n">
        <x:v>3</x:v>
      </x:c>
      <x:c r="J463" s="35" t="n">
        <x:v>2</x:v>
      </x:c>
      <x:c r="K463" s="36" t="n">
        <x:f>IF(AND(S463=TRUE,ISNUMBER(I463),I463=INT(I463),I463&gt;=1,I463&lt;=3,ISNUMBER(J463),J463=INT(J463),J463&gt;=1,J463&lt;=3),I463*J463,"")</x:f>
        <x:v>6</x:v>
      </x:c>
      <x:c r="L463" s="26" t="str">
        <x:f>IF(K463="","",IF(K463&lt;=2,"LOW",IF(K463&lt;=4,"MEDIUM","HIGH")))</x:f>
        <x:v>HIGH</x:v>
      </x:c>
      <x:c r="M463" s="25" t="str">
        <x:v>Safe-work procedures, inspection, housekeeping, guards, and incident reporting are implemented.</x:v>
      </x:c>
      <x:c r="N463" s="25" t="str">
        <x:v>Correct the unsafe condition, document ownership, and verify effectiveness through a follow-up inspection.</x:v>
      </x:c>
      <x:c r="O463" s="30" t="b">
        <x:v>0</x:v>
      </x:c>
      <x:c r="P463" s="27" t="str">
        <x:v>SAFETY_ACCIDENT</x:v>
      </x:c>
      <x:c r="Q463" s="27" t="str">
        <x:v>sharps</x:v>
      </x:c>
      <x:c r="R463" s="27" t="str"/>
      <x:c r="S463" s="31" t="b">
        <x:v>1</x:v>
      </x:c>
      <x:c r="T463" s="27" t="str">
        <x:v>ASM-2026-066</x:v>
      </x:c>
      <x:c r="U463" s="27" t="str">
        <x:v>HZ-2026-066-03</x:v>
      </x:c>
    </x:row>
    <x:row r="464">
      <x:c r="A464" s="28" t="str">
        <x:v>Ward 8</x:v>
      </x:c>
      <x:c r="B464" s="37" t="n">
        <x:v>46197</x:v>
      </x:c>
      <x:c r="C464" s="26" t="str">
        <x:v>RAH01-2026-066</x:v>
      </x:c>
      <x:c r="D464" s="36" t="n">
        <x:v>4</x:v>
      </x:c>
      <x:c r="E464" s="26" t="str">
        <x:v>Ergonomic Hazards</x:v>
      </x:c>
      <x:c r="F464" s="26" t="str">
        <x:v>Heavy Lifting / Patient Transfer</x:v>
      </x:c>
      <x:c r="G464" s="35" t="n">
        <x:v>18</x:v>
      </x:c>
      <x:c r="H464" s="35" t="n">
        <x:v>10</x:v>
      </x:c>
      <x:c r="I464" s="35" t="n">
        <x:v>2</x:v>
      </x:c>
      <x:c r="J464" s="35" t="n">
        <x:v>3</x:v>
      </x:c>
      <x:c r="K464" s="36" t="n">
        <x:f>IF(AND(S464=TRUE,ISNUMBER(I464),I464=INT(I464),I464&gt;=1,I464&lt;=3,ISNUMBER(J464),J464=INT(J464),J464&gt;=1,J464&lt;=3),I464*J464,"")</x:f>
        <x:v>6</x:v>
      </x:c>
      <x:c r="L464" s="26" t="str">
        <x:f>IF(K464="","",IF(K464&lt;=2,"LOW",IF(K464&lt;=4,"MEDIUM","HIGH")))</x:f>
        <x:v>HIGH</x:v>
      </x:c>
      <x:c r="M464" s="25" t="str">
        <x:v>Task rotation, adjustable equipment, team lifting, and safe-patient-handling guidance are used.</x:v>
      </x:c>
      <x:c r="N464" s="25" t="str">
        <x:v>Complete an ergonomic task assessment and implement equipment or workflow changes to reduce force and repetition.</x:v>
      </x:c>
      <x:c r="O464" s="30" t="b">
        <x:v>1</x:v>
      </x:c>
      <x:c r="P464" s="27" t="str">
        <x:v>ERGONOMIC</x:v>
      </x:c>
      <x:c r="Q464" s="27" t="str">
        <x:v>heavy_lifting_patient_transfer</x:v>
      </x:c>
      <x:c r="R464" s="27" t="str"/>
      <x:c r="S464" s="31" t="b">
        <x:v>1</x:v>
      </x:c>
      <x:c r="T464" s="27" t="str">
        <x:v>ASM-2026-066</x:v>
      </x:c>
      <x:c r="U464" s="27" t="str">
        <x:v>HZ-2026-066-04</x:v>
      </x:c>
    </x:row>
    <x:row r="465">
      <x:c r="A465" s="28" t="str">
        <x:v>Ward 8</x:v>
      </x:c>
      <x:c r="B465" s="37" t="n">
        <x:v>46197</x:v>
      </x:c>
      <x:c r="C465" s="26" t="str">
        <x:v>RAH01-2026-066</x:v>
      </x:c>
      <x:c r="D465" s="36" t="n">
        <x:v>5</x:v>
      </x:c>
      <x:c r="E465" s="26" t="str">
        <x:v>Psychosocial Hazards</x:v>
      </x:c>
      <x:c r="F465" s="26" t="str">
        <x:v>Work Stress</x:v>
      </x:c>
      <x:c r="G465" s="35" t="n">
        <x:v>21</x:v>
      </x:c>
      <x:c r="H465" s="35" t="n">
        <x:v>17</x:v>
      </x:c>
      <x:c r="I465" s="35" t="n">
        <x:v>3</x:v>
      </x:c>
      <x:c r="J465" s="35" t="n">
        <x:v>3</x:v>
      </x:c>
      <x:c r="K465" s="36" t="n">
        <x:f>IF(AND(S465=TRUE,ISNUMBER(I465),I465=INT(I465),I465&gt;=1,I465&lt;=3,ISNUMBER(J465),J465=INT(J465),J465&gt;=1,J465&lt;=3),I465*J465,"")</x:f>
        <x:v>9</x:v>
      </x:c>
      <x:c r="L465" s="26" t="str">
        <x:f>IF(K465="","",IF(K465&lt;=2,"LOW",IF(K465&lt;=4,"MEDIUM","HIGH")))</x:f>
        <x:v>HIGH</x:v>
      </x:c>
      <x:c r="M465" s="25" t="str">
        <x:v>Shift planning, escalation pathways, security support, breaks, and supervisor check-ins are available.</x:v>
      </x:c>
      <x:c r="N465" s="25" t="str">
        <x:v>Review staffing, breaks, escalation support, and violence-prevention controls with the department manager.</x:v>
      </x:c>
      <x:c r="O465" s="30" t="b">
        <x:v>0</x:v>
      </x:c>
      <x:c r="P465" s="27" t="str">
        <x:v>PSYCHOSOCIAL</x:v>
      </x:c>
      <x:c r="Q465" s="27" t="str">
        <x:v>work_stress</x:v>
      </x:c>
      <x:c r="R465" s="27" t="str"/>
      <x:c r="S465" s="31" t="b">
        <x:v>1</x:v>
      </x:c>
      <x:c r="T465" s="27" t="str">
        <x:v>ASM-2026-066</x:v>
      </x:c>
      <x:c r="U465" s="27" t="str">
        <x:v>HZ-2026-066-05</x:v>
      </x:c>
    </x:row>
    <x:row r="466">
      <x:c r="A466" s="28" t="str">
        <x:v>Ward 8</x:v>
      </x:c>
      <x:c r="B466" s="37" t="n">
        <x:v>46197</x:v>
      </x:c>
      <x:c r="C466" s="26" t="str">
        <x:v>RAH01-2026-066</x:v>
      </x:c>
      <x:c r="D466" s="36" t="n">
        <x:v>6</x:v>
      </x:c>
      <x:c r="E466" s="26" t="str">
        <x:v>Psychosocial Hazards</x:v>
      </x:c>
      <x:c r="F466" s="26" t="str">
        <x:v>Insufficient Rest</x:v>
      </x:c>
      <x:c r="G466" s="35" t="n">
        <x:v>24</x:v>
      </x:c>
      <x:c r="H466" s="35" t="n">
        <x:v>24</x:v>
      </x:c>
      <x:c r="I466" s="35" t="n">
        <x:v>3</x:v>
      </x:c>
      <x:c r="J466" s="35" t="n">
        <x:v>2</x:v>
      </x:c>
      <x:c r="K466" s="36" t="n">
        <x:f>IF(AND(S466=TRUE,ISNUMBER(I466),I466=INT(I466),I466&gt;=1,I466&lt;=3,ISNUMBER(J466),J466=INT(J466),J466&gt;=1,J466&lt;=3),I466*J466,"")</x:f>
        <x:v>6</x:v>
      </x:c>
      <x:c r="L466" s="26" t="str">
        <x:f>IF(K466="","",IF(K466&lt;=2,"LOW",IF(K466&lt;=4,"MEDIUM","HIGH")))</x:f>
        <x:v>HIGH</x:v>
      </x:c>
      <x:c r="M466" s="25" t="str">
        <x:v>Shift planning, escalation pathways, security support, breaks, and supervisor check-ins are available.</x:v>
      </x:c>
      <x:c r="N466" s="25" t="str">
        <x:v>Review staffing, breaks, escalation support, and violence-prevention controls with the department manager.</x:v>
      </x:c>
      <x:c r="O466" s="30" t="b">
        <x:v>0</x:v>
      </x:c>
      <x:c r="P466" s="27" t="str">
        <x:v>PSYCHOSOCIAL</x:v>
      </x:c>
      <x:c r="Q466" s="27" t="str">
        <x:v>insufficient_rest</x:v>
      </x:c>
      <x:c r="R466" s="27" t="str"/>
      <x:c r="S466" s="31" t="b">
        <x:v>1</x:v>
      </x:c>
      <x:c r="T466" s="27" t="str">
        <x:v>ASM-2026-066</x:v>
      </x:c>
      <x:c r="U466" s="27" t="str">
        <x:v>HZ-2026-066-06</x:v>
      </x:c>
    </x:row>
    <x:row r="467">
      <x:c r="A467" s="28" t="str">
        <x:v>Ward 8</x:v>
      </x:c>
      <x:c r="B467" s="37" t="n">
        <x:v>46197</x:v>
      </x:c>
      <x:c r="C467" s="26" t="str">
        <x:v>RAH01-2026-066</x:v>
      </x:c>
      <x:c r="D467" s="36" t="n">
        <x:v>7</x:v>
      </x:c>
      <x:c r="E467" s="26" t="str">
        <x:v>Fire and Disaster Hazards</x:v>
      </x:c>
      <x:c r="F467" s="26" t="str">
        <x:v>Electrical Equipment</x:v>
      </x:c>
      <x:c r="G467" s="35" t="n">
        <x:v>27</x:v>
      </x:c>
      <x:c r="H467" s="35" t="n">
        <x:v>0</x:v>
      </x:c>
      <x:c r="I467" s="35" t="n">
        <x:v>2</x:v>
      </x:c>
      <x:c r="J467" s="35" t="n">
        <x:v>3</x:v>
      </x:c>
      <x:c r="K467" s="36" t="n">
        <x:f>IF(AND(S467=TRUE,ISNUMBER(I467),I467=INT(I467),I467&gt;=1,I467&lt;=3,ISNUMBER(J467),J467=INT(J467),J467&gt;=1,J467&lt;=3),I467*J467,"")</x:f>
        <x:v>6</x:v>
      </x:c>
      <x:c r="L467" s="26" t="str">
        <x:f>IF(K467="","",IF(K467&lt;=2,"LOW",IF(K467&lt;=4,"MEDIUM","HIGH")))</x:f>
        <x:v>HIGH</x:v>
      </x:c>
      <x:c r="M467" s="25" t="str">
        <x:v>Electrical inspection, isolation procedures, alarms, extinguishers, and emergency response plans are maintained.</x:v>
      </x:c>
      <x:c r="N467" s="25" t="str">
        <x:v>Complete an engineering inspection and emergency-readiness check before the next scheduled review.</x:v>
      </x:c>
      <x:c r="O467" s="30" t="b">
        <x:v>1</x:v>
      </x:c>
      <x:c r="P467" s="27" t="str">
        <x:v>FIRE_DISASTER</x:v>
      </x:c>
      <x:c r="Q467" s="27" t="str">
        <x:v>electrical_equipment</x:v>
      </x:c>
      <x:c r="R467" s="27" t="str"/>
      <x:c r="S467" s="31" t="b">
        <x:v>1</x:v>
      </x:c>
      <x:c r="T467" s="27" t="str">
        <x:v>ASM-2026-066</x:v>
      </x:c>
      <x:c r="U467" s="27" t="str">
        <x:v>HZ-2026-066-07</x:v>
      </x:c>
    </x:row>
    <x:row r="468">
      <x:c r="A468" s="28" t="str">
        <x:v>Ward 8</x:v>
      </x:c>
      <x:c r="B468" s="37" t="n">
        <x:v>46197</x:v>
      </x:c>
      <x:c r="C468" s="26" t="str">
        <x:v>RAH01-2026-066</x:v>
      </x:c>
      <x:c r="D468" s="36" t="n">
        <x:v>8</x:v>
      </x:c>
      <x:c r="E468" s="26" t="str">
        <x:v>Indoor Air Quality Hazards</x:v>
      </x:c>
      <x:c r="F468" s="26" t="str">
        <x:v>Poor Ventilation</x:v>
      </x:c>
      <x:c r="G468" s="35" t="n">
        <x:v>30</x:v>
      </x:c>
      <x:c r="H468" s="35" t="n">
        <x:v>7</x:v>
      </x:c>
      <x:c r="I468" s="35" t="n">
        <x:v>3</x:v>
      </x:c>
      <x:c r="J468" s="35" t="n">
        <x:v>3</x:v>
      </x:c>
      <x:c r="K468" s="36" t="n">
        <x:f>IF(AND(S468=TRUE,ISNUMBER(I468),I468=INT(I468),I468&gt;=1,I468&lt;=3,ISNUMBER(J468),J468=INT(J468),J468&gt;=1,J468&lt;=3),I468*J468,"")</x:f>
        <x:v>9</x:v>
      </x:c>
      <x:c r="L468" s="26" t="str">
        <x:f>IF(K468="","",IF(K468&lt;=2,"LOW",IF(K468&lt;=4,"MEDIUM","HIGH")))</x:f>
        <x:v>HIGH</x:v>
      </x:c>
      <x:c r="M468" s="25" t="str">
        <x:v>Ventilation, cleaning, occupancy management, and environmental inspection are performed.</x:v>
      </x:c>
      <x:c r="N468" s="25" t="str">
        <x:v>Inspect ventilation and moisture sources, then document corrective action and environmental recheck.</x:v>
      </x:c>
      <x:c r="O468" s="30" t="b">
        <x:v>0</x:v>
      </x:c>
      <x:c r="P468" s="27" t="str">
        <x:v>INDOOR_AIR_QUALITY</x:v>
      </x:c>
      <x:c r="Q468" s="27" t="str">
        <x:v>poor_ventilation</x:v>
      </x:c>
      <x:c r="R468" s="27" t="str"/>
      <x:c r="S468" s="31" t="b">
        <x:v>1</x:v>
      </x:c>
      <x:c r="T468" s="27" t="str">
        <x:v>ASM-2026-066</x:v>
      </x:c>
      <x:c r="U468" s="27" t="str">
        <x:v>HZ-2026-066-08</x:v>
      </x:c>
    </x:row>
    <x:row r="469">
      <x:c r="A469" s="28" t="str">
        <x:v>Ward 9</x:v>
      </x:c>
      <x:c r="B469" s="37" t="n">
        <x:v>46024</x:v>
      </x:c>
      <x:c r="C469" s="26" t="str">
        <x:v>RAH01-2026-067</x:v>
      </x:c>
      <x:c r="D469" s="36" t="n">
        <x:v>1</x:v>
      </x:c>
      <x:c r="E469" s="26" t="str">
        <x:v>Biological Hazards</x:v>
      </x:c>
      <x:c r="F469" s="26" t="str">
        <x:v>Viruses</x:v>
      </x:c>
      <x:c r="G469" s="35" t="n">
        <x:v>3</x:v>
      </x:c>
      <x:c r="H469" s="35" t="n">
        <x:v>25</x:v>
      </x:c>
      <x:c r="I469" s="35" t="n">
        <x:v>3</x:v>
      </x:c>
      <x:c r="J469" s="35" t="n">
        <x:v>2</x:v>
      </x:c>
      <x:c r="K469" s="36" t="n">
        <x:f>IF(AND(S469=TRUE,ISNUMBER(I469),I469=INT(I469),I469&gt;=1,I469&lt;=3,ISNUMBER(J469),J469=INT(J469),J469&gt;=1,J469&lt;=3),I469*J469,"")</x:f>
        <x:v>6</x:v>
      </x:c>
      <x:c r="L469" s="26" t="str">
        <x:f>IF(K469="","",IF(K469&lt;=2,"LOW",IF(K469&lt;=4,"MEDIUM","HIGH")))</x:f>
        <x:v>HIGH</x:v>
      </x:c>
      <x:c r="M469" s="25" t="str">
        <x:v>Standard precautions, hand hygiene, vaccination, cleaning, and appropriate PPE are implemented.</x:v>
      </x:c>
      <x:c r="N469" s="25" t="str">
        <x:v>Audit compliance, investigate exposure incidents, and reinforce source-control and PPE practice.</x:v>
      </x:c>
      <x:c r="O469" s="30" t="b">
        <x:v>0</x:v>
      </x:c>
      <x:c r="P469" s="27" t="str">
        <x:v>BIOLOGICAL</x:v>
      </x:c>
      <x:c r="Q469" s="27" t="str">
        <x:v>viruses</x:v>
      </x:c>
      <x:c r="R469" s="27" t="str"/>
      <x:c r="S469" s="31" t="b">
        <x:v>1</x:v>
      </x:c>
      <x:c r="T469" s="27" t="str">
        <x:v>ASM-2026-067</x:v>
      </x:c>
      <x:c r="U469" s="27" t="str">
        <x:v>HZ-2026-067-01</x:v>
      </x:c>
    </x:row>
    <x:row r="470">
      <x:c r="A470" s="28" t="str">
        <x:v>Ward 9</x:v>
      </x:c>
      <x:c r="B470" s="37" t="n">
        <x:v>46024</x:v>
      </x:c>
      <x:c r="C470" s="26" t="str">
        <x:v>RAH01-2026-067</x:v>
      </x:c>
      <x:c r="D470" s="36" t="n">
        <x:v>2</x:v>
      </x:c>
      <x:c r="E470" s="26" t="str">
        <x:v>Biological Hazards</x:v>
      </x:c>
      <x:c r="F470" s="26" t="str">
        <x:v>Bacteria</x:v>
      </x:c>
      <x:c r="G470" s="35" t="n">
        <x:v>6</x:v>
      </x:c>
      <x:c r="H470" s="35" t="n">
        <x:v>1</x:v>
      </x:c>
      <x:c r="I470" s="35" t="n">
        <x:v>2</x:v>
      </x:c>
      <x:c r="J470" s="35" t="n">
        <x:v>3</x:v>
      </x:c>
      <x:c r="K470" s="36" t="n">
        <x:f>IF(AND(S470=TRUE,ISNUMBER(I470),I470=INT(I470),I470&gt;=1,I470&lt;=3,ISNUMBER(J470),J470=INT(J470),J470&gt;=1,J470&lt;=3),I470*J470,"")</x:f>
        <x:v>6</x:v>
      </x:c>
      <x:c r="L470" s="26" t="str">
        <x:f>IF(K470="","",IF(K470&lt;=2,"LOW",IF(K470&lt;=4,"MEDIUM","HIGH")))</x:f>
        <x:v>HIGH</x:v>
      </x:c>
      <x:c r="M470" s="25" t="str">
        <x:v>Standard precautions, hand hygiene, vaccination, cleaning, and appropriate PPE are implemented.</x:v>
      </x:c>
      <x:c r="N470" s="25" t="str">
        <x:v>Audit compliance, investigate exposure incidents, and reinforce source-control and PPE practice.</x:v>
      </x:c>
      <x:c r="O470" s="30" t="b">
        <x:v>0</x:v>
      </x:c>
      <x:c r="P470" s="27" t="str">
        <x:v>BIOLOGICAL</x:v>
      </x:c>
      <x:c r="Q470" s="27" t="str">
        <x:v>bacteria</x:v>
      </x:c>
      <x:c r="R470" s="27" t="str"/>
      <x:c r="S470" s="31" t="b">
        <x:v>1</x:v>
      </x:c>
      <x:c r="T470" s="27" t="str">
        <x:v>ASM-2026-067</x:v>
      </x:c>
      <x:c r="U470" s="27" t="str">
        <x:v>HZ-2026-067-02</x:v>
      </x:c>
    </x:row>
    <x:row r="471">
      <x:c r="A471" s="28" t="str">
        <x:v>Ward 9</x:v>
      </x:c>
      <x:c r="B471" s="37" t="n">
        <x:v>46024</x:v>
      </x:c>
      <x:c r="C471" s="26" t="str">
        <x:v>RAH01-2026-067</x:v>
      </x:c>
      <x:c r="D471" s="36" t="n">
        <x:v>3</x:v>
      </x:c>
      <x:c r="E471" s="26" t="str">
        <x:v>Safety and Accident Hazards</x:v>
      </x:c>
      <x:c r="F471" s="26" t="str">
        <x:v>Sharps / Needlestick</x:v>
      </x:c>
      <x:c r="G471" s="35" t="n">
        <x:v>9</x:v>
      </x:c>
      <x:c r="H471" s="35" t="n">
        <x:v>8</x:v>
      </x:c>
      <x:c r="I471" s="35" t="n">
        <x:v>3</x:v>
      </x:c>
      <x:c r="J471" s="35" t="n">
        <x:v>3</x:v>
      </x:c>
      <x:c r="K471" s="36" t="n">
        <x:f>IF(AND(S471=TRUE,ISNUMBER(I471),I471=INT(I471),I471&gt;=1,I471&lt;=3,ISNUMBER(J471),J471=INT(J471),J471&gt;=1,J471&lt;=3),I471*J471,"")</x:f>
        <x:v>9</x:v>
      </x:c>
      <x:c r="L471" s="26" t="str">
        <x:f>IF(K471="","",IF(K471&lt;=2,"LOW",IF(K471&lt;=4,"MEDIUM","HIGH")))</x:f>
        <x:v>HIGH</x:v>
      </x:c>
      <x:c r="M471" s="25" t="str">
        <x:v>Safe-work procedures, inspection, housekeeping, guards, and incident reporting are implemented.</x:v>
      </x:c>
      <x:c r="N471" s="25" t="str">
        <x:v>Correct the unsafe condition, document ownership, and verify effectiveness through a follow-up inspection.</x:v>
      </x:c>
      <x:c r="O471" s="30" t="b">
        <x:v>1</x:v>
      </x:c>
      <x:c r="P471" s="27" t="str">
        <x:v>SAFETY_ACCIDENT</x:v>
      </x:c>
      <x:c r="Q471" s="27" t="str">
        <x:v>sharps</x:v>
      </x:c>
      <x:c r="R471" s="27" t="str"/>
      <x:c r="S471" s="31" t="b">
        <x:v>1</x:v>
      </x:c>
      <x:c r="T471" s="27" t="str">
        <x:v>ASM-2026-067</x:v>
      </x:c>
      <x:c r="U471" s="27" t="str">
        <x:v>HZ-2026-067-03</x:v>
      </x:c>
    </x:row>
    <x:row r="472">
      <x:c r="A472" s="28" t="str">
        <x:v>Ward 9</x:v>
      </x:c>
      <x:c r="B472" s="37" t="n">
        <x:v>46024</x:v>
      </x:c>
      <x:c r="C472" s="26" t="str">
        <x:v>RAH01-2026-067</x:v>
      </x:c>
      <x:c r="D472" s="36" t="n">
        <x:v>4</x:v>
      </x:c>
      <x:c r="E472" s="26" t="str">
        <x:v>Ergonomic Hazards</x:v>
      </x:c>
      <x:c r="F472" s="26" t="str">
        <x:v>Heavy Lifting / Patient Transfer</x:v>
      </x:c>
      <x:c r="G472" s="35" t="n">
        <x:v>1</x:v>
      </x:c>
      <x:c r="H472" s="35" t="n">
        <x:v>15</x:v>
      </x:c>
      <x:c r="I472" s="35" t="n">
        <x:v>3</x:v>
      </x:c>
      <x:c r="J472" s="35" t="n">
        <x:v>2</x:v>
      </x:c>
      <x:c r="K472" s="36" t="n">
        <x:f>IF(AND(S472=TRUE,ISNUMBER(I472),I472=INT(I472),I472&gt;=1,I472&lt;=3,ISNUMBER(J472),J472=INT(J472),J472&gt;=1,J472&lt;=3),I472*J472,"")</x:f>
        <x:v>6</x:v>
      </x:c>
      <x:c r="L472" s="26" t="str">
        <x:f>IF(K472="","",IF(K472&lt;=2,"LOW",IF(K472&lt;=4,"MEDIUM","HIGH")))</x:f>
        <x:v>HIGH</x:v>
      </x:c>
      <x:c r="M472" s="25" t="str">
        <x:v>Task rotation, adjustable equipment, team lifting, and safe-patient-handling guidance are used.</x:v>
      </x:c>
      <x:c r="N472" s="25" t="str">
        <x:v>Complete an ergonomic task assessment and implement equipment or workflow changes to reduce force and repetition.</x:v>
      </x:c>
      <x:c r="O472" s="30" t="b">
        <x:v>0</x:v>
      </x:c>
      <x:c r="P472" s="27" t="str">
        <x:v>ERGONOMIC</x:v>
      </x:c>
      <x:c r="Q472" s="27" t="str">
        <x:v>heavy_lifting_patient_transfer</x:v>
      </x:c>
      <x:c r="R472" s="27" t="str"/>
      <x:c r="S472" s="31" t="b">
        <x:v>1</x:v>
      </x:c>
      <x:c r="T472" s="27" t="str">
        <x:v>ASM-2026-067</x:v>
      </x:c>
      <x:c r="U472" s="27" t="str">
        <x:v>HZ-2026-067-04</x:v>
      </x:c>
    </x:row>
    <x:row r="473">
      <x:c r="A473" s="28" t="str">
        <x:v>Ward 9</x:v>
      </x:c>
      <x:c r="B473" s="37" t="n">
        <x:v>46024</x:v>
      </x:c>
      <x:c r="C473" s="26" t="str">
        <x:v>RAH01-2026-067</x:v>
      </x:c>
      <x:c r="D473" s="36" t="n">
        <x:v>5</x:v>
      </x:c>
      <x:c r="E473" s="26" t="str">
        <x:v>Ergonomic Hazards</x:v>
      </x:c>
      <x:c r="F473" s="26" t="str">
        <x:v>Unnatural Posture or Movement</x:v>
      </x:c>
      <x:c r="G473" s="35" t="n">
        <x:v>4</x:v>
      </x:c>
      <x:c r="H473" s="35" t="n">
        <x:v>22</x:v>
      </x:c>
      <x:c r="I473" s="35" t="n">
        <x:v>2</x:v>
      </x:c>
      <x:c r="J473" s="35" t="n">
        <x:v>3</x:v>
      </x:c>
      <x:c r="K473" s="36" t="n">
        <x:f>IF(AND(S473=TRUE,ISNUMBER(I473),I473=INT(I473),I473&gt;=1,I473&lt;=3,ISNUMBER(J473),J473=INT(J473),J473&gt;=1,J473&lt;=3),I473*J473,"")</x:f>
        <x:v>6</x:v>
      </x:c>
      <x:c r="L473" s="26" t="str">
        <x:f>IF(K473="","",IF(K473&lt;=2,"LOW",IF(K473&lt;=4,"MEDIUM","HIGH")))</x:f>
        <x:v>HIGH</x:v>
      </x:c>
      <x:c r="M473" s="25" t="str">
        <x:v>Task rotation, adjustable equipment, team lifting, and safe-patient-handling guidance are used.</x:v>
      </x:c>
      <x:c r="N473" s="25" t="str">
        <x:v>Complete an ergonomic task assessment and implement equipment or workflow changes to reduce force and repetition.</x:v>
      </x:c>
      <x:c r="O473" s="30" t="b">
        <x:v>0</x:v>
      </x:c>
      <x:c r="P473" s="27" t="str">
        <x:v>ERGONOMIC</x:v>
      </x:c>
      <x:c r="Q473" s="27" t="str">
        <x:v>unnatural_posture</x:v>
      </x:c>
      <x:c r="R473" s="27" t="str"/>
      <x:c r="S473" s="31" t="b">
        <x:v>1</x:v>
      </x:c>
      <x:c r="T473" s="27" t="str">
        <x:v>ASM-2026-067</x:v>
      </x:c>
      <x:c r="U473" s="27" t="str">
        <x:v>HZ-2026-067-05</x:v>
      </x:c>
    </x:row>
    <x:row r="474">
      <x:c r="A474" s="28" t="str">
        <x:v>Ward 9</x:v>
      </x:c>
      <x:c r="B474" s="37" t="n">
        <x:v>46024</x:v>
      </x:c>
      <x:c r="C474" s="26" t="str">
        <x:v>RAH01-2026-067</x:v>
      </x:c>
      <x:c r="D474" s="36" t="n">
        <x:v>6</x:v>
      </x:c>
      <x:c r="E474" s="26" t="str">
        <x:v>Psychosocial Hazards</x:v>
      </x:c>
      <x:c r="F474" s="26" t="str">
        <x:v>Work Stress</x:v>
      </x:c>
      <x:c r="G474" s="35" t="n">
        <x:v>7</x:v>
      </x:c>
      <x:c r="H474" s="35" t="n">
        <x:v>29</x:v>
      </x:c>
      <x:c r="I474" s="35" t="n">
        <x:v>3</x:v>
      </x:c>
      <x:c r="J474" s="35" t="n">
        <x:v>3</x:v>
      </x:c>
      <x:c r="K474" s="36" t="n">
        <x:f>IF(AND(S474=TRUE,ISNUMBER(I474),I474=INT(I474),I474&gt;=1,I474&lt;=3,ISNUMBER(J474),J474=INT(J474),J474&gt;=1,J474&lt;=3),I474*J474,"")</x:f>
        <x:v>9</x:v>
      </x:c>
      <x:c r="L474" s="26" t="str">
        <x:f>IF(K474="","",IF(K474&lt;=2,"LOW",IF(K474&lt;=4,"MEDIUM","HIGH")))</x:f>
        <x:v>HIGH</x:v>
      </x:c>
      <x:c r="M474" s="25" t="str">
        <x:v>Shift planning, escalation pathways, security support, breaks, and supervisor check-ins are available.</x:v>
      </x:c>
      <x:c r="N474" s="25" t="str">
        <x:v>Review staffing, breaks, escalation support, and violence-prevention controls with the department manager.</x:v>
      </x:c>
      <x:c r="O474" s="30" t="b">
        <x:v>1</x:v>
      </x:c>
      <x:c r="P474" s="27" t="str">
        <x:v>PSYCHOSOCIAL</x:v>
      </x:c>
      <x:c r="Q474" s="27" t="str">
        <x:v>work_stress</x:v>
      </x:c>
      <x:c r="R474" s="27" t="str"/>
      <x:c r="S474" s="31" t="b">
        <x:v>1</x:v>
      </x:c>
      <x:c r="T474" s="27" t="str">
        <x:v>ASM-2026-067</x:v>
      </x:c>
      <x:c r="U474" s="27" t="str">
        <x:v>HZ-2026-067-06</x:v>
      </x:c>
    </x:row>
    <x:row r="475">
      <x:c r="A475" s="28" t="str">
        <x:v>Ward 9</x:v>
      </x:c>
      <x:c r="B475" s="37" t="n">
        <x:v>46024</x:v>
      </x:c>
      <x:c r="C475" s="26" t="str">
        <x:v>RAH01-2026-067</x:v>
      </x:c>
      <x:c r="D475" s="36" t="n">
        <x:v>7</x:v>
      </x:c>
      <x:c r="E475" s="26" t="str">
        <x:v>Safety and Accident Hazards</x:v>
      </x:c>
      <x:c r="F475" s="26" t="str">
        <x:v>Pathway Obstruction</x:v>
      </x:c>
      <x:c r="G475" s="35" t="n">
        <x:v>10</x:v>
      </x:c>
      <x:c r="H475" s="35" t="n">
        <x:v>5</x:v>
      </x:c>
      <x:c r="I475" s="35" t="n">
        <x:v>3</x:v>
      </x:c>
      <x:c r="J475" s="35" t="n">
        <x:v>2</x:v>
      </x:c>
      <x:c r="K475" s="36" t="n">
        <x:f>IF(AND(S475=TRUE,ISNUMBER(I475),I475=INT(I475),I475&gt;=1,I475&lt;=3,ISNUMBER(J475),J475=INT(J475),J475&gt;=1,J475&lt;=3),I475*J475,"")</x:f>
        <x:v>6</x:v>
      </x:c>
      <x:c r="L475" s="26" t="str">
        <x:f>IF(K475="","",IF(K475&lt;=2,"LOW",IF(K475&lt;=4,"MEDIUM","HIGH")))</x:f>
        <x:v>HIGH</x:v>
      </x:c>
      <x:c r="M475" s="25" t="str">
        <x:v>Safe-work procedures, inspection, housekeeping, guards, and incident reporting are implemented.</x:v>
      </x:c>
      <x:c r="N475" s="25" t="str">
        <x:v>Correct the unsafe condition, document ownership, and verify effectiveness through a follow-up inspection.</x:v>
      </x:c>
      <x:c r="O475" s="30" t="b">
        <x:v>0</x:v>
      </x:c>
      <x:c r="P475" s="27" t="str">
        <x:v>SAFETY_ACCIDENT</x:v>
      </x:c>
      <x:c r="Q475" s="27" t="str">
        <x:v>pathway_obstruction</x:v>
      </x:c>
      <x:c r="R475" s="27" t="str"/>
      <x:c r="S475" s="31" t="b">
        <x:v>1</x:v>
      </x:c>
      <x:c r="T475" s="27" t="str">
        <x:v>ASM-2026-067</x:v>
      </x:c>
      <x:c r="U475" s="27" t="str">
        <x:v>HZ-2026-067-07</x:v>
      </x:c>
    </x:row>
    <x:row r="476">
      <x:c r="A476" s="28" t="str">
        <x:v>Women’s Health</x:v>
      </x:c>
      <x:c r="B476" s="37" t="n">
        <x:v>46089</x:v>
      </x:c>
      <x:c r="C476" s="26" t="str">
        <x:v>RAH01-2026-069</x:v>
      </x:c>
      <x:c r="D476" s="36" t="n">
        <x:v>1</x:v>
      </x:c>
      <x:c r="E476" s="26" t="str">
        <x:v>Biological Hazards</x:v>
      </x:c>
      <x:c r="F476" s="26" t="str">
        <x:v>Viruses</x:v>
      </x:c>
      <x:c r="G476" s="35" t="n">
        <x:v>14</x:v>
      </x:c>
      <x:c r="H476" s="35" t="n">
        <x:v>4</x:v>
      </x:c>
      <x:c r="I476" s="35" t="n">
        <x:v>1</x:v>
      </x:c>
      <x:c r="J476" s="35" t="n">
        <x:v>3</x:v>
      </x:c>
      <x:c r="K476" s="36" t="n">
        <x:f>IF(AND(S476=TRUE,ISNUMBER(I476),I476=INT(I476),I476&gt;=1,I476&lt;=3,ISNUMBER(J476),J476=INT(J476),J476&gt;=1,J476&lt;=3),I476*J476,"")</x:f>
        <x:v>3</x:v>
      </x:c>
      <x:c r="L476" s="26" t="str">
        <x:f>IF(K476="","",IF(K476&lt;=2,"LOW",IF(K476&lt;=4,"MEDIUM","HIGH")))</x:f>
        <x:v>MEDIUM</x:v>
      </x:c>
      <x:c r="M476" s="25" t="str">
        <x:v>Standard precautions, hand hygiene, vaccination, cleaning, and appropriate PPE are implemented.</x:v>
      </x:c>
      <x:c r="N476" s="25" t="str">
        <x:v>Audit compliance, investigate exposure incidents, and reinforce source-control and PPE practice.</x:v>
      </x:c>
      <x:c r="O476" s="30" t="b">
        <x:v>0</x:v>
      </x:c>
      <x:c r="P476" s="27" t="str">
        <x:v>BIOLOGICAL</x:v>
      </x:c>
      <x:c r="Q476" s="27" t="str">
        <x:v>viruses</x:v>
      </x:c>
      <x:c r="R476" s="27" t="str"/>
      <x:c r="S476" s="31" t="b">
        <x:v>1</x:v>
      </x:c>
      <x:c r="T476" s="27" t="str">
        <x:v>ASM-2026-069</x:v>
      </x:c>
      <x:c r="U476" s="27" t="str">
        <x:v>HZ-2026-069-01</x:v>
      </x:c>
    </x:row>
    <x:row r="477">
      <x:c r="A477" s="28" t="str">
        <x:v>Women’s Health</x:v>
      </x:c>
      <x:c r="B477" s="37" t="n">
        <x:v>46089</x:v>
      </x:c>
      <x:c r="C477" s="26" t="str">
        <x:v>RAH01-2026-069</x:v>
      </x:c>
      <x:c r="D477" s="36" t="n">
        <x:v>2</x:v>
      </x:c>
      <x:c r="E477" s="26" t="str">
        <x:v>Indoor Air Quality Hazards</x:v>
      </x:c>
      <x:c r="F477" s="26" t="str">
        <x:v>Crowded / Stuffy Conditions</x:v>
      </x:c>
      <x:c r="G477" s="35" t="n">
        <x:v>17</x:v>
      </x:c>
      <x:c r="H477" s="35" t="n">
        <x:v>11</x:v>
      </x:c>
      <x:c r="I477" s="35" t="n">
        <x:v>3</x:v>
      </x:c>
      <x:c r="J477" s="35" t="n">
        <x:v>1</x:v>
      </x:c>
      <x:c r="K477" s="36" t="n">
        <x:f>IF(AND(S477=TRUE,ISNUMBER(I477),I477=INT(I477),I477&gt;=1,I477&lt;=3,ISNUMBER(J477),J477=INT(J477),J477&gt;=1,J477&lt;=3),I477*J477,"")</x:f>
        <x:v>3</x:v>
      </x:c>
      <x:c r="L477" s="26" t="str">
        <x:f>IF(K477="","",IF(K477&lt;=2,"LOW",IF(K477&lt;=4,"MEDIUM","HIGH")))</x:f>
        <x:v>MEDIUM</x:v>
      </x:c>
      <x:c r="M477" s="25" t="str">
        <x:v>Ventilation, cleaning, occupancy management, and environmental inspection are performed.</x:v>
      </x:c>
      <x:c r="N477" s="25" t="str">
        <x:v>Inspect ventilation and moisture sources, then document corrective action and environmental recheck.</x:v>
      </x:c>
      <x:c r="O477" s="30" t="b">
        <x:v>0</x:v>
      </x:c>
      <x:c r="P477" s="27" t="str">
        <x:v>INDOOR_AIR_QUALITY</x:v>
      </x:c>
      <x:c r="Q477" s="27" t="str">
        <x:v>crowded_stuffy</x:v>
      </x:c>
      <x:c r="R477" s="27" t="str"/>
      <x:c r="S477" s="31" t="b">
        <x:v>1</x:v>
      </x:c>
      <x:c r="T477" s="27" t="str">
        <x:v>ASM-2026-069</x:v>
      </x:c>
      <x:c r="U477" s="27" t="str">
        <x:v>HZ-2026-069-02</x:v>
      </x:c>
    </x:row>
    <x:row r="478">
      <x:c r="A478" s="28" t="str">
        <x:v>Women’s Health</x:v>
      </x:c>
      <x:c r="B478" s="37" t="n">
        <x:v>46089</x:v>
      </x:c>
      <x:c r="C478" s="26" t="str">
        <x:v>RAH01-2026-069</x:v>
      </x:c>
      <x:c r="D478" s="36" t="n">
        <x:v>3</x:v>
      </x:c>
      <x:c r="E478" s="26" t="str">
        <x:v>Ergonomic Hazards</x:v>
      </x:c>
      <x:c r="F478" s="26" t="str">
        <x:v>Prolonged Standing or Sitting</x:v>
      </x:c>
      <x:c r="G478" s="35" t="n">
        <x:v>20</x:v>
      </x:c>
      <x:c r="H478" s="35" t="n">
        <x:v>18</x:v>
      </x:c>
      <x:c r="I478" s="35" t="n">
        <x:v>2</x:v>
      </x:c>
      <x:c r="J478" s="35" t="n">
        <x:v>2</x:v>
      </x:c>
      <x:c r="K478" s="36" t="n">
        <x:f>IF(AND(S478=TRUE,ISNUMBER(I478),I478=INT(I478),I478&gt;=1,I478&lt;=3,ISNUMBER(J478),J478=INT(J478),J478&gt;=1,J478&lt;=3),I478*J478,"")</x:f>
        <x:v>4</x:v>
      </x:c>
      <x:c r="L478" s="26" t="str">
        <x:f>IF(K478="","",IF(K478&lt;=2,"LOW",IF(K478&lt;=4,"MEDIUM","HIGH")))</x:f>
        <x:v>MEDIUM</x:v>
      </x:c>
      <x:c r="M478" s="25" t="str">
        <x:v>Task rotation, adjustable equipment, team lifting, and safe-patient-handling guidance are used.</x:v>
      </x:c>
      <x:c r="N478" s="25" t="str">
        <x:v>Complete an ergonomic task assessment and implement equipment or workflow changes to reduce force and repetition.</x:v>
      </x:c>
      <x:c r="O478" s="30" t="b">
        <x:v>0</x:v>
      </x:c>
      <x:c r="P478" s="27" t="str">
        <x:v>ERGONOMIC</x:v>
      </x:c>
      <x:c r="Q478" s="27" t="str">
        <x:v>prolonged_standing_sitting</x:v>
      </x:c>
      <x:c r="R478" s="27" t="str"/>
      <x:c r="S478" s="31" t="b">
        <x:v>1</x:v>
      </x:c>
      <x:c r="T478" s="27" t="str">
        <x:v>ASM-2026-069</x:v>
      </x:c>
      <x:c r="U478" s="27" t="str">
        <x:v>HZ-2026-069-03</x:v>
      </x:c>
    </x:row>
    <x:row r="479">
      <x:c r="A479" s="28" t="str">
        <x:v>Women’s Health</x:v>
      </x:c>
      <x:c r="B479" s="37" t="n">
        <x:v>46089</x:v>
      </x:c>
      <x:c r="C479" s="26" t="str">
        <x:v>RAH01-2026-069</x:v>
      </x:c>
      <x:c r="D479" s="36" t="n">
        <x:v>4</x:v>
      </x:c>
      <x:c r="E479" s="26" t="str">
        <x:v>Psychosocial Hazards</x:v>
      </x:c>
      <x:c r="F479" s="26" t="str">
        <x:v>Violence from Patients or Relatives</x:v>
      </x:c>
      <x:c r="G479" s="35" t="n">
        <x:v>23</x:v>
      </x:c>
      <x:c r="H479" s="35" t="n">
        <x:v>25</x:v>
      </x:c>
      <x:c r="I479" s="35" t="n">
        <x:v>1</x:v>
      </x:c>
      <x:c r="J479" s="35" t="n">
        <x:v>3</x:v>
      </x:c>
      <x:c r="K479" s="36" t="n">
        <x:f>IF(AND(S479=TRUE,ISNUMBER(I479),I479=INT(I479),I479&gt;=1,I479&lt;=3,ISNUMBER(J479),J479=INT(J479),J479&gt;=1,J479&lt;=3),I479*J479,"")</x:f>
        <x:v>3</x:v>
      </x:c>
      <x:c r="L479" s="26" t="str">
        <x:f>IF(K479="","",IF(K479&lt;=2,"LOW",IF(K479&lt;=4,"MEDIUM","HIGH")))</x:f>
        <x:v>MEDIUM</x:v>
      </x:c>
      <x:c r="M479" s="25" t="str">
        <x:v>Shift planning, escalation pathways, security support, breaks, and supervisor check-ins are available.</x:v>
      </x:c>
      <x:c r="N479" s="25" t="str">
        <x:v>Review staffing, breaks, escalation support, and violence-prevention controls with the department manager.</x:v>
      </x:c>
      <x:c r="O479" s="30" t="b">
        <x:v>0</x:v>
      </x:c>
      <x:c r="P479" s="27" t="str">
        <x:v>PSYCHOSOCIAL</x:v>
      </x:c>
      <x:c r="Q479" s="27" t="str">
        <x:v>patient_relative_violence</x:v>
      </x:c>
      <x:c r="R479" s="27" t="str"/>
      <x:c r="S479" s="31" t="b">
        <x:v>1</x:v>
      </x:c>
      <x:c r="T479" s="27" t="str">
        <x:v>ASM-2026-069</x:v>
      </x:c>
      <x:c r="U479" s="27" t="str">
        <x:v>HZ-2026-069-04</x:v>
      </x:c>
    </x:row>
    <x:row r="480">
      <x:c r="A480" s="28" t="str">
        <x:v>Women’s Health</x:v>
      </x:c>
      <x:c r="B480" s="37" t="n">
        <x:v>46089</x:v>
      </x:c>
      <x:c r="C480" s="26" t="str">
        <x:v>RAH01-2026-069</x:v>
      </x:c>
      <x:c r="D480" s="36" t="n">
        <x:v>5</x:v>
      </x:c>
      <x:c r="E480" s="26" t="str">
        <x:v>Psychosocial Hazards</x:v>
      </x:c>
      <x:c r="F480" s="26" t="str">
        <x:v>Work Stress</x:v>
      </x:c>
      <x:c r="G480" s="35" t="n">
        <x:v>1</x:v>
      </x:c>
      <x:c r="H480" s="35" t="n">
        <x:v>1</x:v>
      </x:c>
      <x:c r="I480" s="35" t="n">
        <x:v>3</x:v>
      </x:c>
      <x:c r="J480" s="35" t="n">
        <x:v>1</x:v>
      </x:c>
      <x:c r="K480" s="36" t="n">
        <x:f>IF(AND(S480=TRUE,ISNUMBER(I480),I480=INT(I480),I480&gt;=1,I480&lt;=3,ISNUMBER(J480),J480=INT(J480),J480&gt;=1,J480&lt;=3),I480*J480,"")</x:f>
        <x:v>3</x:v>
      </x:c>
      <x:c r="L480" s="26" t="str">
        <x:f>IF(K480="","",IF(K480&lt;=2,"LOW",IF(K480&lt;=4,"MEDIUM","HIGH")))</x:f>
        <x:v>MEDIUM</x:v>
      </x:c>
      <x:c r="M480" s="25" t="str">
        <x:v>Shift planning, escalation pathways, security support, breaks, and supervisor check-ins are available.</x:v>
      </x:c>
      <x:c r="N480" s="25" t="str">
        <x:v>Review staffing, breaks, escalation support, and violence-prevention controls with the department manager.</x:v>
      </x:c>
      <x:c r="O480" s="30" t="b">
        <x:v>0</x:v>
      </x:c>
      <x:c r="P480" s="27" t="str">
        <x:v>PSYCHOSOCIAL</x:v>
      </x:c>
      <x:c r="Q480" s="27" t="str">
        <x:v>work_stress</x:v>
      </x:c>
      <x:c r="R480" s="27" t="str"/>
      <x:c r="S480" s="31" t="b">
        <x:v>1</x:v>
      </x:c>
      <x:c r="T480" s="27" t="str">
        <x:v>ASM-2026-069</x:v>
      </x:c>
      <x:c r="U480" s="27" t="str">
        <x:v>HZ-2026-069-05</x:v>
      </x:c>
    </x:row>
    <x:row r="481">
      <x:c r="A481" s="28" t="str">
        <x:v>Women’s Health</x:v>
      </x:c>
      <x:c r="B481" s="37" t="n">
        <x:v>46089</x:v>
      </x:c>
      <x:c r="C481" s="26" t="str">
        <x:v>RAH01-2026-069</x:v>
      </x:c>
      <x:c r="D481" s="36" t="n">
        <x:v>6</x:v>
      </x:c>
      <x:c r="E481" s="26" t="str">
        <x:v>Psychosocial Hazards</x:v>
      </x:c>
      <x:c r="F481" s="26" t="str">
        <x:v>Insufficient Rest</x:v>
      </x:c>
      <x:c r="G481" s="35" t="n">
        <x:v>4</x:v>
      </x:c>
      <x:c r="H481" s="35" t="n">
        <x:v>8</x:v>
      </x:c>
      <x:c r="I481" s="35" t="n">
        <x:v>2</x:v>
      </x:c>
      <x:c r="J481" s="35" t="n">
        <x:v>2</x:v>
      </x:c>
      <x:c r="K481" s="36" t="n">
        <x:f>IF(AND(S481=TRUE,ISNUMBER(I481),I481=INT(I481),I481&gt;=1,I481&lt;=3,ISNUMBER(J481),J481=INT(J481),J481&gt;=1,J481&lt;=3),I481*J481,"")</x:f>
        <x:v>4</x:v>
      </x:c>
      <x:c r="L481" s="26" t="str">
        <x:f>IF(K481="","",IF(K481&lt;=2,"LOW",IF(K481&lt;=4,"MEDIUM","HIGH")))</x:f>
        <x:v>MEDIUM</x:v>
      </x:c>
      <x:c r="M481" s="25" t="str">
        <x:v>Shift planning, escalation pathways, security support, breaks, and supervisor check-ins are available.</x:v>
      </x:c>
      <x:c r="N481" s="25" t="str">
        <x:v>Review staffing, breaks, escalation support, and violence-prevention controls with the department manager.</x:v>
      </x:c>
      <x:c r="O481" s="30" t="b">
        <x:v>0</x:v>
      </x:c>
      <x:c r="P481" s="27" t="str">
        <x:v>PSYCHOSOCIAL</x:v>
      </x:c>
      <x:c r="Q481" s="27" t="str">
        <x:v>insufficient_rest</x:v>
      </x:c>
      <x:c r="R481" s="27" t="str"/>
      <x:c r="S481" s="31" t="b">
        <x:v>1</x:v>
      </x:c>
      <x:c r="T481" s="27" t="str">
        <x:v>ASM-2026-069</x:v>
      </x:c>
      <x:c r="U481" s="27" t="str">
        <x:v>HZ-2026-069-06</x:v>
      </x:c>
    </x:row>
    <x:row r="482">
      <x:c r="A482" s="28" t="str">
        <x:v>Workplace Safety</x:v>
      </x:c>
      <x:c r="B482" s="37" t="n">
        <x:v>46123</x:v>
      </x:c>
      <x:c r="C482" s="26" t="str">
        <x:v>RAH01-2026-070</x:v>
      </x:c>
      <x:c r="D482" s="36" t="n">
        <x:v>1</x:v>
      </x:c>
      <x:c r="E482" s="26" t="str">
        <x:v>Biological Hazards</x:v>
      </x:c>
      <x:c r="F482" s="26" t="str">
        <x:v>Viruses</x:v>
      </x:c>
      <x:c r="G482" s="35" t="n">
        <x:v>13</x:v>
      </x:c>
      <x:c r="H482" s="35" t="n">
        <x:v>9</x:v>
      </x:c>
      <x:c r="I482" s="35" t="n">
        <x:v>2</x:v>
      </x:c>
      <x:c r="J482" s="35" t="n">
        <x:v>2</x:v>
      </x:c>
      <x:c r="K482" s="36" t="n">
        <x:f>IF(AND(S482=TRUE,ISNUMBER(I482),I482=INT(I482),I482&gt;=1,I482&lt;=3,ISNUMBER(J482),J482=INT(J482),J482&gt;=1,J482&lt;=3),I482*J482,"")</x:f>
        <x:v>4</x:v>
      </x:c>
      <x:c r="L482" s="26" t="str">
        <x:f>IF(K482="","",IF(K482&lt;=2,"LOW",IF(K482&lt;=4,"MEDIUM","HIGH")))</x:f>
        <x:v>MEDIUM</x:v>
      </x:c>
      <x:c r="M482" s="25" t="str">
        <x:v>Standard precautions, hand hygiene, vaccination, cleaning, and appropriate PPE are implemented.</x:v>
      </x:c>
      <x:c r="N482" s="25" t="str">
        <x:v>Audit compliance, investigate exposure incidents, and reinforce source-control and PPE practice.</x:v>
      </x:c>
      <x:c r="O482" s="30" t="b">
        <x:v>0</x:v>
      </x:c>
      <x:c r="P482" s="27" t="str">
        <x:v>BIOLOGICAL</x:v>
      </x:c>
      <x:c r="Q482" s="27" t="str">
        <x:v>viruses</x:v>
      </x:c>
      <x:c r="R482" s="27" t="str"/>
      <x:c r="S482" s="31" t="b">
        <x:v>1</x:v>
      </x:c>
      <x:c r="T482" s="27" t="str">
        <x:v>ASM-2026-070</x:v>
      </x:c>
      <x:c r="U482" s="27" t="str">
        <x:v>HZ-2026-070-01</x:v>
      </x:c>
    </x:row>
    <x:row r="483">
      <x:c r="A483" s="28" t="str">
        <x:v>Workplace Safety</x:v>
      </x:c>
      <x:c r="B483" s="37" t="n">
        <x:v>46123</x:v>
      </x:c>
      <x:c r="C483" s="26" t="str">
        <x:v>RAH01-2026-070</x:v>
      </x:c>
      <x:c r="D483" s="36" t="n">
        <x:v>2</x:v>
      </x:c>
      <x:c r="E483" s="26" t="str">
        <x:v>Indoor Air Quality Hazards</x:v>
      </x:c>
      <x:c r="F483" s="26" t="str">
        <x:v>Crowded / Stuffy Conditions</x:v>
      </x:c>
      <x:c r="G483" s="35" t="n">
        <x:v>16</x:v>
      </x:c>
      <x:c r="H483" s="35" t="n">
        <x:v>16</x:v>
      </x:c>
      <x:c r="I483" s="35" t="n">
        <x:v>1</x:v>
      </x:c>
      <x:c r="J483" s="35" t="n">
        <x:v>3</x:v>
      </x:c>
      <x:c r="K483" s="36" t="n">
        <x:f>IF(AND(S483=TRUE,ISNUMBER(I483),I483=INT(I483),I483&gt;=1,I483&lt;=3,ISNUMBER(J483),J483=INT(J483),J483&gt;=1,J483&lt;=3),I483*J483,"")</x:f>
        <x:v>3</x:v>
      </x:c>
      <x:c r="L483" s="26" t="str">
        <x:f>IF(K483="","",IF(K483&lt;=2,"LOW",IF(K483&lt;=4,"MEDIUM","HIGH")))</x:f>
        <x:v>MEDIUM</x:v>
      </x:c>
      <x:c r="M483" s="25" t="str">
        <x:v>Ventilation, cleaning, occupancy management, and environmental inspection are performed.</x:v>
      </x:c>
      <x:c r="N483" s="25" t="str">
        <x:v>Inspect ventilation and moisture sources, then document corrective action and environmental recheck.</x:v>
      </x:c>
      <x:c r="O483" s="30" t="b">
        <x:v>0</x:v>
      </x:c>
      <x:c r="P483" s="27" t="str">
        <x:v>INDOOR_AIR_QUALITY</x:v>
      </x:c>
      <x:c r="Q483" s="27" t="str">
        <x:v>crowded_stuffy</x:v>
      </x:c>
      <x:c r="R483" s="27" t="str"/>
      <x:c r="S483" s="31" t="b">
        <x:v>1</x:v>
      </x:c>
      <x:c r="T483" s="27" t="str">
        <x:v>ASM-2026-070</x:v>
      </x:c>
      <x:c r="U483" s="27" t="str">
        <x:v>HZ-2026-070-02</x:v>
      </x:c>
    </x:row>
    <x:row r="484">
      <x:c r="A484" s="28" t="str">
        <x:v>Workplace Safety</x:v>
      </x:c>
      <x:c r="B484" s="37" t="n">
        <x:v>46123</x:v>
      </x:c>
      <x:c r="C484" s="26" t="str">
        <x:v>RAH01-2026-070</x:v>
      </x:c>
      <x:c r="D484" s="36" t="n">
        <x:v>3</x:v>
      </x:c>
      <x:c r="E484" s="26" t="str">
        <x:v>Ergonomic Hazards</x:v>
      </x:c>
      <x:c r="F484" s="26" t="str">
        <x:v>Prolonged Standing or Sitting</x:v>
      </x:c>
      <x:c r="G484" s="35" t="n">
        <x:v>19</x:v>
      </x:c>
      <x:c r="H484" s="35" t="n">
        <x:v>23</x:v>
      </x:c>
      <x:c r="I484" s="35" t="n">
        <x:v>3</x:v>
      </x:c>
      <x:c r="J484" s="35" t="n">
        <x:v>1</x:v>
      </x:c>
      <x:c r="K484" s="36" t="n">
        <x:f>IF(AND(S484=TRUE,ISNUMBER(I484),I484=INT(I484),I484&gt;=1,I484&lt;=3,ISNUMBER(J484),J484=INT(J484),J484&gt;=1,J484&lt;=3),I484*J484,"")</x:f>
        <x:v>3</x:v>
      </x:c>
      <x:c r="L484" s="26" t="str">
        <x:f>IF(K484="","",IF(K484&lt;=2,"LOW",IF(K484&lt;=4,"MEDIUM","HIGH")))</x:f>
        <x:v>MEDIUM</x:v>
      </x:c>
      <x:c r="M484" s="25" t="str">
        <x:v>Task rotation, adjustable equipment, team lifting, and safe-patient-handling guidance are used.</x:v>
      </x:c>
      <x:c r="N484" s="25" t="str">
        <x:v>Complete an ergonomic task assessment and implement equipment or workflow changes to reduce force and repetition.</x:v>
      </x:c>
      <x:c r="O484" s="30" t="b">
        <x:v>0</x:v>
      </x:c>
      <x:c r="P484" s="27" t="str">
        <x:v>ERGONOMIC</x:v>
      </x:c>
      <x:c r="Q484" s="27" t="str">
        <x:v>prolonged_standing_sitting</x:v>
      </x:c>
      <x:c r="R484" s="27" t="str"/>
      <x:c r="S484" s="31" t="b">
        <x:v>1</x:v>
      </x:c>
      <x:c r="T484" s="27" t="str">
        <x:v>ASM-2026-070</x:v>
      </x:c>
      <x:c r="U484" s="27" t="str">
        <x:v>HZ-2026-070-03</x:v>
      </x:c>
    </x:row>
    <x:row r="485">
      <x:c r="A485" s="28" t="str">
        <x:v>Workplace Safety</x:v>
      </x:c>
      <x:c r="B485" s="37" t="n">
        <x:v>46123</x:v>
      </x:c>
      <x:c r="C485" s="26" t="str">
        <x:v>RAH01-2026-070</x:v>
      </x:c>
      <x:c r="D485" s="36" t="n">
        <x:v>4</x:v>
      </x:c>
      <x:c r="E485" s="26" t="str">
        <x:v>Psychosocial Hazards</x:v>
      </x:c>
      <x:c r="F485" s="26" t="str">
        <x:v>Violence from Patients or Relatives</x:v>
      </x:c>
      <x:c r="G485" s="35" t="n">
        <x:v>22</x:v>
      </x:c>
      <x:c r="H485" s="35" t="n">
        <x:v>30</x:v>
      </x:c>
      <x:c r="I485" s="35" t="n">
        <x:v>2</x:v>
      </x:c>
      <x:c r="J485" s="35" t="n">
        <x:v>2</x:v>
      </x:c>
      <x:c r="K485" s="36" t="n">
        <x:f>IF(AND(S485=TRUE,ISNUMBER(I485),I485=INT(I485),I485&gt;=1,I485&lt;=3,ISNUMBER(J485),J485=INT(J485),J485&gt;=1,J485&lt;=3),I485*J485,"")</x:f>
        <x:v>4</x:v>
      </x:c>
      <x:c r="L485" s="26" t="str">
        <x:f>IF(K485="","",IF(K485&lt;=2,"LOW",IF(K485&lt;=4,"MEDIUM","HIGH")))</x:f>
        <x:v>MEDIUM</x:v>
      </x:c>
      <x:c r="M485" s="25" t="str">
        <x:v>Shift planning, escalation pathways, security support, breaks, and supervisor check-ins are available.</x:v>
      </x:c>
      <x:c r="N485" s="25" t="str">
        <x:v>Review staffing, breaks, escalation support, and violence-prevention controls with the department manager.</x:v>
      </x:c>
      <x:c r="O485" s="30" t="b">
        <x:v>0</x:v>
      </x:c>
      <x:c r="P485" s="27" t="str">
        <x:v>PSYCHOSOCIAL</x:v>
      </x:c>
      <x:c r="Q485" s="27" t="str">
        <x:v>patient_relative_violence</x:v>
      </x:c>
      <x:c r="R485" s="27" t="str"/>
      <x:c r="S485" s="31" t="b">
        <x:v>1</x:v>
      </x:c>
      <x:c r="T485" s="27" t="str">
        <x:v>ASM-2026-070</x:v>
      </x:c>
      <x:c r="U485" s="27" t="str">
        <x:v>HZ-2026-070-04</x:v>
      </x:c>
    </x:row>
    <x:row r="486">
      <x:c r="A486" s="28" t="str">
        <x:v>Workplace Safety</x:v>
      </x:c>
      <x:c r="B486" s="37" t="n">
        <x:v>46123</x:v>
      </x:c>
      <x:c r="C486" s="26" t="str">
        <x:v>RAH01-2026-070</x:v>
      </x:c>
      <x:c r="D486" s="36" t="n">
        <x:v>5</x:v>
      </x:c>
      <x:c r="E486" s="26" t="str">
        <x:v>Psychosocial Hazards</x:v>
      </x:c>
      <x:c r="F486" s="26" t="str">
        <x:v>Work Stress</x:v>
      </x:c>
      <x:c r="G486" s="35" t="n">
        <x:v>25</x:v>
      </x:c>
      <x:c r="H486" s="35" t="n">
        <x:v>6</x:v>
      </x:c>
      <x:c r="I486" s="35" t="n">
        <x:v>1</x:v>
      </x:c>
      <x:c r="J486" s="35" t="n">
        <x:v>3</x:v>
      </x:c>
      <x:c r="K486" s="36" t="n">
        <x:f>IF(AND(S486=TRUE,ISNUMBER(I486),I486=INT(I486),I486&gt;=1,I486&lt;=3,ISNUMBER(J486),J486=INT(J486),J486&gt;=1,J486&lt;=3),I486*J486,"")</x:f>
        <x:v>3</x:v>
      </x:c>
      <x:c r="L486" s="26" t="str">
        <x:f>IF(K486="","",IF(K486&lt;=2,"LOW",IF(K486&lt;=4,"MEDIUM","HIGH")))</x:f>
        <x:v>MEDIUM</x:v>
      </x:c>
      <x:c r="M486" s="25" t="str">
        <x:v>Shift planning, escalation pathways, security support, breaks, and supervisor check-ins are available.</x:v>
      </x:c>
      <x:c r="N486" s="25" t="str">
        <x:v>Review staffing, breaks, escalation support, and violence-prevention controls with the department manager.</x:v>
      </x:c>
      <x:c r="O486" s="30" t="b">
        <x:v>0</x:v>
      </x:c>
      <x:c r="P486" s="27" t="str">
        <x:v>PSYCHOSOCIAL</x:v>
      </x:c>
      <x:c r="Q486" s="27" t="str">
        <x:v>work_stress</x:v>
      </x:c>
      <x:c r="R486" s="27" t="str"/>
      <x:c r="S486" s="31" t="b">
        <x:v>1</x:v>
      </x:c>
      <x:c r="T486" s="27" t="str">
        <x:v>ASM-2026-070</x:v>
      </x:c>
      <x:c r="U486" s="27" t="str">
        <x:v>HZ-2026-070-05</x:v>
      </x:c>
    </x:row>
    <x:row r="487">
      <x:c r="A487" s="28" t="str">
        <x:v>Workplace Safety</x:v>
      </x:c>
      <x:c r="B487" s="37" t="n">
        <x:v>46123</x:v>
      </x:c>
      <x:c r="C487" s="26" t="str">
        <x:v>RAH01-2026-070</x:v>
      </x:c>
      <x:c r="D487" s="36" t="n">
        <x:v>6</x:v>
      </x:c>
      <x:c r="E487" s="26" t="str">
        <x:v>Indoor Air Quality Hazards</x:v>
      </x:c>
      <x:c r="F487" s="26" t="str">
        <x:v>Dust</x:v>
      </x:c>
      <x:c r="G487" s="35" t="n">
        <x:v>28</x:v>
      </x:c>
      <x:c r="H487" s="35" t="n">
        <x:v>13</x:v>
      </x:c>
      <x:c r="I487" s="35" t="n">
        <x:v>3</x:v>
      </x:c>
      <x:c r="J487" s="35" t="n">
        <x:v>1</x:v>
      </x:c>
      <x:c r="K487" s="36" t="n">
        <x:f>IF(AND(S487=TRUE,ISNUMBER(I487),I487=INT(I487),I487&gt;=1,I487&lt;=3,ISNUMBER(J487),J487=INT(J487),J487&gt;=1,J487&lt;=3),I487*J487,"")</x:f>
        <x:v>3</x:v>
      </x:c>
      <x:c r="L487" s="26" t="str">
        <x:f>IF(K487="","",IF(K487&lt;=2,"LOW",IF(K487&lt;=4,"MEDIUM","HIGH")))</x:f>
        <x:v>MEDIUM</x:v>
      </x:c>
      <x:c r="M487" s="25" t="str">
        <x:v>Ventilation, cleaning, occupancy management, and environmental inspection are performed.</x:v>
      </x:c>
      <x:c r="N487" s="25" t="str">
        <x:v>Inspect ventilation and moisture sources, then document corrective action and environmental recheck.</x:v>
      </x:c>
      <x:c r="O487" s="30" t="b">
        <x:v>0</x:v>
      </x:c>
      <x:c r="P487" s="27" t="str">
        <x:v>INDOOR_AIR_QUALITY</x:v>
      </x:c>
      <x:c r="Q487" s="27" t="str">
        <x:v>dust</x:v>
      </x:c>
      <x:c r="R487" s="27" t="str"/>
      <x:c r="S487" s="31" t="b">
        <x:v>1</x:v>
      </x:c>
      <x:c r="T487" s="27" t="str">
        <x:v>ASM-2026-070</x:v>
      </x:c>
      <x:c r="U487" s="27" t="str">
        <x:v>HZ-2026-070-06</x:v>
      </x:c>
    </x:row>
    <x:row r="488">
      <x:c r="A488" s="28" t="str">
        <x:v>Workplace Safety</x:v>
      </x:c>
      <x:c r="B488" s="37" t="n">
        <x:v>46123</x:v>
      </x:c>
      <x:c r="C488" s="26" t="str">
        <x:v>RAH01-2026-070</x:v>
      </x:c>
      <x:c r="D488" s="36" t="n">
        <x:v>7</x:v>
      </x:c>
      <x:c r="E488" s="26" t="str">
        <x:v>Safety and Accident Hazards</x:v>
      </x:c>
      <x:c r="F488" s="26" t="str">
        <x:v>Department-specific operational hazard requiring local review</x:v>
      </x:c>
      <x:c r="G488" s="35" t="n">
        <x:v>31</x:v>
      </x:c>
      <x:c r="H488" s="35" t="n">
        <x:v>20</x:v>
      </x:c>
      <x:c r="I488" s="35" t="n">
        <x:v>2</x:v>
      </x:c>
      <x:c r="J488" s="35" t="n">
        <x:v>2</x:v>
      </x:c>
      <x:c r="K488" s="36" t="n">
        <x:f>IF(AND(S488=TRUE,ISNUMBER(I488),I488=INT(I488),I488&gt;=1,I488&lt;=3,ISNUMBER(J488),J488=INT(J488),J488&gt;=1,J488&lt;=3),I488*J488,"")</x:f>
        <x:v>4</x:v>
      </x:c>
      <x:c r="L488" s="26" t="str">
        <x:f>IF(K488="","",IF(K488&lt;=2,"LOW",IF(K488&lt;=4,"MEDIUM","HIGH")))</x:f>
        <x:v>MEDIUM</x:v>
      </x:c>
      <x:c r="M488" s="25" t="str">
        <x:v>Safe-work procedures, inspection, housekeeping, guards, and incident reporting are implemented.</x:v>
      </x:c>
      <x:c r="N488" s="25" t="str">
        <x:v>Correct the unsafe condition, document ownership, and verify effectiveness through a follow-up inspection.</x:v>
      </x:c>
      <x:c r="O488" s="30" t="b">
        <x:v>0</x:v>
      </x:c>
      <x:c r="P488" s="27" t="str">
        <x:v>SAFETY_ACCIDENT</x:v>
      </x:c>
      <x:c r="Q488" s="27" t="str">
        <x:v>OTHER</x:v>
      </x:c>
      <x:c r="R488" s="27" t="str">
        <x:v>Department-specific operational hazard requiring local review</x:v>
      </x:c>
      <x:c r="S488" s="31" t="b">
        <x:v>1</x:v>
      </x:c>
      <x:c r="T488" s="27" t="str">
        <x:v>ASM-2026-070</x:v>
      </x:c>
      <x:c r="U488" s="27" t="str">
        <x:v>HZ-2026-070-07</x:v>
      </x:c>
    </x:row>
  </x:sheetData>
  <x:mergeCells>
    <x:mergeCell ref="A1:U1"/>
    <x:mergeCell ref="A2:U2"/>
  </x:mergeCells>
  <x:conditionalFormatting sqref="L4:L1048576">
    <x:cfRule type="expression" dxfId="3" priority="1">
      <x:formula>$L4="LOW"</x:formula>
    </x:cfRule>
    <x:cfRule type="expression" dxfId="4" priority="2">
      <x:formula>$L4="MEDIUM"</x:formula>
    </x:cfRule>
    <x:cfRule type="expression" dxfId="5" priority="3">
      <x:formula>$L4="HIGH"</x:formula>
    </x:cfRule>
  </x:conditionalFormatting>
  <x:dataValidations count="6">
    <x:dataValidation type="whole" operator="greaterThanOrEqual" sqref="D4:D1048576">
      <x:formula1>1</x:formula1>
    </x:dataValidation>
    <x:dataValidation type="list" sqref="S4:S1048576">
      <x:formula1>"true,false"</x:formula1>
    </x:dataValidation>
    <x:dataValidation type="whole" operator="greaterThanOrEqual" sqref="G4:H1048576">
      <x:formula1>0</x:formula1>
    </x:dataValidation>
    <x:dataValidation type="whole" operator="between" sqref="I4:J1048576">
      <x:formula1>1</x:formula1>
      <x:formula2>3</x:formula2>
    </x:dataValidation>
    <x:dataValidation type="custom" sqref="R4:R1048576">
      <x:formula1>OR(AND($Q4="OTHER",$R4&lt;&gt;""),AND($Q4&lt;&gt;"OTHER",$R4=""))</x:formula1>
    </x:dataValidation>
    <x:dataValidation type="list" sqref="O4:O1048576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3d44b768754a9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2" hidden="0" customWidth="1"/>
    <x:col min="2" max="2" width="16" hidden="0" customWidth="1"/>
    <x:col min="3" max="3" width="19" hidden="0" customWidth="1"/>
    <x:col min="4" max="4" width="36" hidden="0" customWidth="1"/>
    <x:col min="5" max="5" width="24" hidden="0" customWidth="1"/>
    <x:col min="6" max="6" width="16" hidden="0" customWidth="1"/>
    <x:col min="7" max="7" width="21" hidden="0" customWidth="1"/>
    <x:col min="8" max="8" width="38" hidden="0" customWidth="1"/>
    <x:col min="9" max="9" width="21" hidden="0" customWidth="1"/>
    <x:col min="10" max="10" width="24" hidden="0" customWidth="1"/>
    <x:col min="11" max="11" width="20" hidden="0" customWidth="1"/>
    <x:col min="12" max="12" width="24" hidden="0" customWidth="1"/>
    <x:col min="13" max="13" width="22" hidden="0" customWidth="1"/>
  </x:cols>
  <x:sheetData>
    <x:row r="1" ht="28" customHeight="1">
      <x:c r="A1" s="3" t="str">
        <x:v>RAH.01 Attachment metadata / ข้อมูลไฟล์แนบ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2" customHeight="1">
      <x:c r="A2" s="7" t="str">
        <x:v>Metadata only. Binary files remain outside the workbook; explicit zero-byte values are preserved.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34" customHeight="1">
      <x:c r="A3" s="20" t="str">
        <x:v>department_name</x:v>
      </x:c>
      <x:c r="B3" s="21" t="str">
        <x:v>assessment_date</x:v>
      </x:c>
      <x:c r="C3" s="21" t="str">
        <x:v>report_number</x:v>
      </x:c>
      <x:c r="D3" s="21" t="str">
        <x:v>file_name</x:v>
      </x:c>
      <x:c r="E3" s="21" t="str">
        <x:v>mime_type</x:v>
      </x:c>
      <x:c r="F3" s="21" t="str">
        <x:v>size_bytes</x:v>
      </x:c>
      <x:c r="G3" s="21" t="str">
        <x:v>uploaded_at</x:v>
      </x:c>
      <x:c r="H3" s="21" t="str">
        <x:v>drive_url</x:v>
      </x:c>
      <x:c r="I3" s="21" t="str">
        <x:v>last_modified</x:v>
      </x:c>
      <x:c r="J3" s="21" t="str">
        <x:v>drive_file_id</x:v>
      </x:c>
      <x:c r="K3" s="21" t="str">
        <x:v>assessment_id</x:v>
      </x:c>
      <x:c r="L3" s="21" t="str">
        <x:v>hazard_evaluation_id</x:v>
      </x:c>
      <x:c r="M3" s="22" t="str">
        <x:v>attachment_id</x:v>
      </x:c>
    </x:row>
    <x:row r="4">
      <x:c r="A4" s="28" t="str">
        <x:v>Accident &amp; Emergency</x:v>
      </x:c>
      <x:c r="B4" s="37" t="n">
        <x:v>46026</x:v>
      </x:c>
      <x:c r="C4" s="26" t="str">
        <x:v>RAH01-2026-001</x:v>
      </x:c>
      <x:c r="D4" s="25" t="str">
        <x:v>01_insufficient_rest_evidence.pdf</x:v>
      </x:c>
      <x:c r="E4" s="25" t="str">
        <x:v>application/pdf</x:v>
      </x:c>
      <x:c r="F4" s="35" t="n">
        <x:v>149372</x:v>
      </x:c>
      <x:c r="G4" s="38" t="n">
        <x:v>46027.08819444444</x:v>
      </x:c>
      <x:c r="H4" s="25" t="str">
        <x:v>https://drive.google.com/file/d/EXAMPLE-001-06/view</x:v>
      </x:c>
      <x:c r="I4" s="38" t="n">
        <x:v>46027.09652777778</x:v>
      </x:c>
      <x:c r="J4" s="27" t="str">
        <x:v>DRIVE-2026-001-06</x:v>
      </x:c>
      <x:c r="K4" s="27" t="str">
        <x:v>ASM-2026-001</x:v>
      </x:c>
      <x:c r="L4" s="27" t="str">
        <x:v>HZ-2026-001-06</x:v>
      </x:c>
      <x:c r="M4" s="27" t="str">
        <x:v>ATT-2026-001-06</x:v>
      </x:c>
    </x:row>
    <x:row r="5">
      <x:c r="A5" s="28" t="str">
        <x:v>Accident &amp; Emergency</x:v>
      </x:c>
      <x:c r="B5" s="37" t="n">
        <x:v>46026</x:v>
      </x:c>
      <x:c r="C5" s="26" t="str">
        <x:v>RAH01-2026-001</x:v>
      </x:c>
      <x:c r="D5" s="25" t="str">
        <x:v>01_sharps_evidence.pdf</x:v>
      </x:c>
      <x:c r="E5" s="25" t="str">
        <x:v>application/pdf</x:v>
      </x:c>
      <x:c r="F5" s="35" t="n">
        <x:v>113339</x:v>
      </x:c>
      <x:c r="G5" s="38" t="n">
        <x:v>46027.08819444444</x:v>
      </x:c>
      <x:c r="H5" s="25" t="str">
        <x:v>https://drive.google.com/file/d/EXAMPLE-001-03/view</x:v>
      </x:c>
      <x:c r="I5" s="38" t="n">
        <x:v>46027.09652777778</x:v>
      </x:c>
      <x:c r="J5" s="27" t="str">
        <x:v>DRIVE-2026-001-03</x:v>
      </x:c>
      <x:c r="K5" s="27" t="str">
        <x:v>ASM-2026-001</x:v>
      </x:c>
      <x:c r="L5" s="27" t="str">
        <x:v>HZ-2026-001-03</x:v>
      </x:c>
      <x:c r="M5" s="27" t="str">
        <x:v>ATT-2026-001-03</x:v>
      </x:c>
    </x:row>
    <x:row r="6">
      <x:c r="A6" s="28" t="str">
        <x:v>Anaesthesia</x:v>
      </x:c>
      <x:c r="B6" s="37" t="n">
        <x:v>46060</x:v>
      </x:c>
      <x:c r="C6" s="26" t="str">
        <x:v>RAH01-2026-002</x:v>
      </x:c>
      <x:c r="D6" s="25" t="str">
        <x:v>02_bacteria_evidence.pdf</x:v>
      </x:c>
      <x:c r="E6" s="25" t="str">
        <x:v>application/pdf</x:v>
      </x:c>
      <x:c r="F6" s="35" t="n">
        <x:v>105645</x:v>
      </x:c>
      <x:c r="G6" s="38" t="n">
        <x:v>46061.134722222225</x:v>
      </x:c>
      <x:c r="H6" s="25" t="str">
        <x:v>https://drive.google.com/file/d/EXAMPLE-002-02/view</x:v>
      </x:c>
      <x:c r="I6" s="38" t="n">
        <x:v>46061.143055555556</x:v>
      </x:c>
      <x:c r="J6" s="27" t="str">
        <x:v>DRIVE-2026-002-02</x:v>
      </x:c>
      <x:c r="K6" s="27" t="str">
        <x:v>ASM-2026-002</x:v>
      </x:c>
      <x:c r="L6" s="27" t="str">
        <x:v>HZ-2026-002-02</x:v>
      </x:c>
      <x:c r="M6" s="27" t="str">
        <x:v>ATT-2026-002-02</x:v>
      </x:c>
    </x:row>
    <x:row r="7">
      <x:c r="A7" s="28" t="str">
        <x:v>Anaesthesia</x:v>
      </x:c>
      <x:c r="B7" s="37" t="n">
        <x:v>46060</x:v>
      </x:c>
      <x:c r="C7" s="26" t="str">
        <x:v>RAH01-2026-002</x:v>
      </x:c>
      <x:c r="D7" s="25" t="str">
        <x:v>02_lighting_evidence.pdf</x:v>
      </x:c>
      <x:c r="E7" s="25" t="str">
        <x:v>application/pdf</x:v>
      </x:c>
      <x:c r="F7" s="35" t="n">
        <x:v>177711</x:v>
      </x:c>
      <x:c r="G7" s="38" t="n">
        <x:v>46061.134722222225</x:v>
      </x:c>
      <x:c r="H7" s="25" t="str">
        <x:v>https://drive.google.com/file/d/EXAMPLE-002-08/view</x:v>
      </x:c>
      <x:c r="I7" s="38" t="n">
        <x:v>46061.143055555556</x:v>
      </x:c>
      <x:c r="J7" s="27" t="str">
        <x:v>DRIVE-2026-002-08</x:v>
      </x:c>
      <x:c r="K7" s="27" t="str">
        <x:v>ASM-2026-002</x:v>
      </x:c>
      <x:c r="L7" s="27" t="str">
        <x:v>HZ-2026-002-08</x:v>
      </x:c>
      <x:c r="M7" s="27" t="str">
        <x:v>ATT-2026-002-08</x:v>
      </x:c>
    </x:row>
    <x:row r="8">
      <x:c r="A8" s="28" t="str">
        <x:v>Anaesthesia</x:v>
      </x:c>
      <x:c r="B8" s="37" t="n">
        <x:v>46060</x:v>
      </x:c>
      <x:c r="C8" s="26" t="str">
        <x:v>RAH01-2026-002</x:v>
      </x:c>
      <x:c r="D8" s="25" t="str">
        <x:v>02_work_stress_evidence.pdf</x:v>
      </x:c>
      <x:c r="E8" s="25" t="str">
        <x:v>application/pdf</x:v>
      </x:c>
      <x:c r="F8" s="35" t="n">
        <x:v>141678</x:v>
      </x:c>
      <x:c r="G8" s="38" t="n">
        <x:v>46061.134722222225</x:v>
      </x:c>
      <x:c r="H8" s="25" t="str">
        <x:v>https://drive.google.com/file/d/EXAMPLE-002-05/view</x:v>
      </x:c>
      <x:c r="I8" s="38" t="n">
        <x:v>46061.143055555556</x:v>
      </x:c>
      <x:c r="J8" s="27" t="str">
        <x:v>DRIVE-2026-002-05</x:v>
      </x:c>
      <x:c r="K8" s="27" t="str">
        <x:v>ASM-2026-002</x:v>
      </x:c>
      <x:c r="L8" s="27" t="str">
        <x:v>HZ-2026-002-05</x:v>
      </x:c>
      <x:c r="M8" s="27" t="str">
        <x:v>ATT-2026-002-05</x:v>
      </x:c>
    </x:row>
    <x:row r="9">
      <x:c r="A9" s="28" t="str">
        <x:v>Cardiology</x:v>
      </x:c>
      <x:c r="B9" s="37" t="n">
        <x:v>46091</x:v>
      </x:c>
      <x:c r="C9" s="26" t="str">
        <x:v>RAH01-2026-003</x:v>
      </x:c>
      <x:c r="D9" s="25" t="str">
        <x:v>03_heavy_lifting_patient_transfer_evidence.pdf</x:v>
      </x:c>
      <x:c r="E9" s="25" t="str">
        <x:v>application/pdf</x:v>
      </x:c>
      <x:c r="F9" s="35" t="n">
        <x:v>133984</x:v>
      </x:c>
      <x:c r="G9" s="38" t="n">
        <x:v>46092.18125</x:v>
      </x:c>
      <x:c r="H9" s="25" t="str">
        <x:v>https://drive.google.com/file/d/EXAMPLE-003-04/view</x:v>
      </x:c>
      <x:c r="I9" s="38" t="n">
        <x:v>46092.18958333333</x:v>
      </x:c>
      <x:c r="J9" s="27" t="str">
        <x:v>DRIVE-2026-003-04</x:v>
      </x:c>
      <x:c r="K9" s="27" t="str">
        <x:v>ASM-2026-003</x:v>
      </x:c>
      <x:c r="L9" s="27" t="str">
        <x:v>HZ-2026-003-04</x:v>
      </x:c>
      <x:c r="M9" s="27" t="str">
        <x:v>ATT-2026-003-04</x:v>
      </x:c>
    </x:row>
    <x:row r="10">
      <x:c r="A10" s="28" t="str">
        <x:v>Cardiology</x:v>
      </x:c>
      <x:c r="B10" s="37" t="n">
        <x:v>46091</x:v>
      </x:c>
      <x:c r="C10" s="26" t="str">
        <x:v>RAH01-2026-003</x:v>
      </x:c>
      <x:c r="D10" s="25" t="str">
        <x:v>03_insufficient_rest_evidence.pdf</x:v>
      </x:c>
      <x:c r="E10" s="25" t="str">
        <x:v>application/pdf</x:v>
      </x:c>
      <x:c r="F10" s="35" t="n">
        <x:v>170017</x:v>
      </x:c>
      <x:c r="G10" s="38" t="n">
        <x:v>46092.18125</x:v>
      </x:c>
      <x:c r="H10" s="25" t="str">
        <x:v>https://drive.google.com/file/d/EXAMPLE-003-07/view</x:v>
      </x:c>
      <x:c r="I10" s="38" t="n">
        <x:v>46092.18958333333</x:v>
      </x:c>
      <x:c r="J10" s="27" t="str">
        <x:v>DRIVE-2026-003-07</x:v>
      </x:c>
      <x:c r="K10" s="27" t="str">
        <x:v>ASM-2026-003</x:v>
      </x:c>
      <x:c r="L10" s="27" t="str">
        <x:v>HZ-2026-003-07</x:v>
      </x:c>
      <x:c r="M10" s="27" t="str">
        <x:v>ATT-2026-003-07</x:v>
      </x:c>
    </x:row>
    <x:row r="11">
      <x:c r="A11" s="28" t="str">
        <x:v>Cardiology</x:v>
      </x:c>
      <x:c r="B11" s="37" t="n">
        <x:v>46091</x:v>
      </x:c>
      <x:c r="C11" s="26" t="str">
        <x:v>RAH01-2026-003</x:v>
      </x:c>
      <x:c r="D11" s="25" t="str">
        <x:v>03_viruses_evidence.pdf</x:v>
      </x:c>
      <x:c r="E11" s="25" t="str">
        <x:v>application/pdf</x:v>
      </x:c>
      <x:c r="F11" s="35" t="n">
        <x:v>97951</x:v>
      </x:c>
      <x:c r="G11" s="38" t="n">
        <x:v>46092.18125</x:v>
      </x:c>
      <x:c r="H11" s="25" t="str">
        <x:v>https://drive.google.com/file/d/EXAMPLE-003-01/view</x:v>
      </x:c>
      <x:c r="I11" s="38" t="n">
        <x:v>46092.18958333333</x:v>
      </x:c>
      <x:c r="J11" s="27" t="str">
        <x:v>DRIVE-2026-003-01</x:v>
      </x:c>
      <x:c r="K11" s="27" t="str">
        <x:v>ASM-2026-003</x:v>
      </x:c>
      <x:c r="L11" s="27" t="str">
        <x:v>HZ-2026-003-01</x:v>
      </x:c>
      <x:c r="M11" s="27" t="str">
        <x:v>ATT-2026-003-01</x:v>
      </x:c>
    </x:row>
    <x:row r="12">
      <x:c r="A12" s="28" t="str">
        <x:v>Cardiothoracic Surgery</x:v>
      </x:c>
      <x:c r="B12" s="37" t="n">
        <x:v>46125</x:v>
      </x:c>
      <x:c r="C12" s="26" t="str">
        <x:v>RAH01-2026-004</x:v>
      </x:c>
      <x:c r="D12" s="25" t="str">
        <x:v>04_prolonged_standing_sitting_evidence.pdf</x:v>
      </x:c>
      <x:c r="E12" s="25" t="str">
        <x:v>application/pdf</x:v>
      </x:c>
      <x:c r="F12" s="35" t="n">
        <x:v>162323</x:v>
      </x:c>
      <x:c r="G12" s="38" t="n">
        <x:v>46126.22777777778</x:v>
      </x:c>
      <x:c r="H12" s="25" t="str">
        <x:v>https://drive.google.com/file/d/EXAMPLE-004-06/view</x:v>
      </x:c>
      <x:c r="I12" s="38" t="n">
        <x:v>46126.23611111111</x:v>
      </x:c>
      <x:c r="J12" s="27" t="str">
        <x:v>DRIVE-2026-004-06</x:v>
      </x:c>
      <x:c r="K12" s="27" t="str">
        <x:v>ASM-2026-004</x:v>
      </x:c>
      <x:c r="L12" s="27" t="str">
        <x:v>HZ-2026-004-06</x:v>
      </x:c>
      <x:c r="M12" s="27" t="str">
        <x:v>ATT-2026-004-06</x:v>
      </x:c>
    </x:row>
    <x:row r="13">
      <x:c r="A13" s="28" t="str">
        <x:v>Cardiothoracic Surgery</x:v>
      </x:c>
      <x:c r="B13" s="37" t="n">
        <x:v>46125</x:v>
      </x:c>
      <x:c r="C13" s="26" t="str">
        <x:v>RAH01-2026-004</x:v>
      </x:c>
      <x:c r="D13" s="25" t="str">
        <x:v>04_viruses_evidence.pdf</x:v>
      </x:c>
      <x:c r="E13" s="25" t="str">
        <x:v>application/pdf</x:v>
      </x:c>
      <x:c r="F13" s="35" t="n">
        <x:v>126290</x:v>
      </x:c>
      <x:c r="G13" s="38" t="n">
        <x:v>46126.22777777778</x:v>
      </x:c>
      <x:c r="H13" s="25" t="str">
        <x:v>https://drive.google.com/file/d/EXAMPLE-004-03/view</x:v>
      </x:c>
      <x:c r="I13" s="38" t="n">
        <x:v>46126.23611111111</x:v>
      </x:c>
      <x:c r="J13" s="27" t="str">
        <x:v>DRIVE-2026-004-03</x:v>
      </x:c>
      <x:c r="K13" s="27" t="str">
        <x:v>ASM-2026-004</x:v>
      </x:c>
      <x:c r="L13" s="27" t="str">
        <x:v>HZ-2026-004-03</x:v>
      </x:c>
      <x:c r="M13" s="27" t="str">
        <x:v>ATT-2026-004-03</x:v>
      </x:c>
    </x:row>
    <x:row r="14">
      <x:c r="A14" s="28" t="str">
        <x:v>Central Sterile Supply</x:v>
      </x:c>
      <x:c r="B14" s="37" t="n">
        <x:v>46158</x:v>
      </x:c>
      <x:c r="C14" s="26" t="str">
        <x:v>RAH01-2026-005</x:v>
      </x:c>
      <x:c r="D14" s="25" t="str">
        <x:v>05_repetitive_tasks_evidence.pdf</x:v>
      </x:c>
      <x:c r="E14" s="25" t="str">
        <x:v>application/pdf</x:v>
      </x:c>
      <x:c r="F14" s="35" t="n">
        <x:v>154629</x:v>
      </x:c>
      <x:c r="G14" s="38" t="n">
        <x:v>46159.274305555555</x:v>
      </x:c>
      <x:c r="H14" s="25" t="str">
        <x:v>https://drive.google.com/file/d/EXAMPLE-005-05/view</x:v>
      </x:c>
      <x:c r="I14" s="38" t="n">
        <x:v>46159.282638888886</x:v>
      </x:c>
      <x:c r="J14" s="27" t="str">
        <x:v>DRIVE-2026-005-05</x:v>
      </x:c>
      <x:c r="K14" s="27" t="str">
        <x:v>ASM-2026-005</x:v>
      </x:c>
      <x:c r="L14" s="27" t="str">
        <x:v>HZ-2026-005-05</x:v>
      </x:c>
      <x:c r="M14" s="27" t="str">
        <x:v>ATT-2026-005-05</x:v>
      </x:c>
    </x:row>
    <x:row r="15">
      <x:c r="A15" s="28" t="str">
        <x:v>Central Sterile Supply</x:v>
      </x:c>
      <x:c r="B15" s="37" t="n">
        <x:v>46158</x:v>
      </x:c>
      <x:c r="C15" s="26" t="str">
        <x:v>RAH01-2026-005</x:v>
      </x:c>
      <x:c r="D15" s="25" t="str">
        <x:v>05_viruses_evidence.pdf</x:v>
      </x:c>
      <x:c r="E15" s="25" t="str">
        <x:v>application/pdf</x:v>
      </x:c>
      <x:c r="F15" s="35" t="n">
        <x:v>118596</x:v>
      </x:c>
      <x:c r="G15" s="38" t="n">
        <x:v>46159.274305555555</x:v>
      </x:c>
      <x:c r="H15" s="25" t="str">
        <x:v>https://drive.google.com/file/d/EXAMPLE-005-02/view</x:v>
      </x:c>
      <x:c r="I15" s="38" t="n">
        <x:v>46159.282638888886</x:v>
      </x:c>
      <x:c r="J15" s="27" t="str">
        <x:v>DRIVE-2026-005-02</x:v>
      </x:c>
      <x:c r="K15" s="27" t="str">
        <x:v>ASM-2026-005</x:v>
      </x:c>
      <x:c r="L15" s="27" t="str">
        <x:v>HZ-2026-005-02</x:v>
      </x:c>
      <x:c r="M15" s="27" t="str">
        <x:v>ATT-2026-005-02</x:v>
      </x:c>
    </x:row>
    <x:row r="16">
      <x:c r="A16" s="28" t="str">
        <x:v>Child Development</x:v>
      </x:c>
      <x:c r="B16" s="37" t="n">
        <x:v>46192</x:v>
      </x:c>
      <x:c r="C16" s="26" t="str">
        <x:v>RAH01-2026-006</x:v>
      </x:c>
      <x:c r="D16" s="25" t="str">
        <x:v>06_prolonged_standing_sitting_evidence.pdf</x:v>
      </x:c>
      <x:c r="E16" s="25" t="str">
        <x:v>application/pdf</x:v>
      </x:c>
      <x:c r="F16" s="35" t="n">
        <x:v>146935</x:v>
      </x:c>
      <x:c r="G16" s="38" t="n">
        <x:v>46193.32083333333</x:v>
      </x:c>
      <x:c r="H16" s="25" t="str">
        <x:v>https://drive.google.com/file/d/EXAMPLE-006-04/view</x:v>
      </x:c>
      <x:c r="I16" s="38" t="n">
        <x:v>46193.32916666667</x:v>
      </x:c>
      <x:c r="J16" s="27" t="str">
        <x:v>DRIVE-2026-006-04</x:v>
      </x:c>
      <x:c r="K16" s="27" t="str">
        <x:v>ASM-2026-006</x:v>
      </x:c>
      <x:c r="L16" s="27" t="str">
        <x:v>HZ-2026-006-04</x:v>
      </x:c>
      <x:c r="M16" s="27" t="str">
        <x:v>ATT-2026-006-04</x:v>
      </x:c>
    </x:row>
    <x:row r="17">
      <x:c r="A17" s="28" t="str">
        <x:v>Child Development</x:v>
      </x:c>
      <x:c r="B17" s="37" t="n">
        <x:v>46192</x:v>
      </x:c>
      <x:c r="C17" s="26" t="str">
        <x:v>RAH01-2026-006</x:v>
      </x:c>
      <x:c r="D17" s="25" t="str">
        <x:v>06_radiation_evidence.pdf</x:v>
      </x:c>
      <x:c r="E17" s="25" t="str">
        <x:v>application/pdf</x:v>
      </x:c>
      <x:c r="F17" s="35" t="n">
        <x:v>110902</x:v>
      </x:c>
      <x:c r="G17" s="38" t="n">
        <x:v>46193.32083333333</x:v>
      </x:c>
      <x:c r="H17" s="25" t="str">
        <x:v>https://drive.google.com/file/d/EXAMPLE-006-01/view</x:v>
      </x:c>
      <x:c r="I17" s="38" t="n">
        <x:v>46193.32916666667</x:v>
      </x:c>
      <x:c r="J17" s="27" t="str">
        <x:v>DRIVE-2026-006-01</x:v>
      </x:c>
      <x:c r="K17" s="27" t="str">
        <x:v>ASM-2026-006</x:v>
      </x:c>
      <x:c r="L17" s="27" t="str">
        <x:v>HZ-2026-006-01</x:v>
      </x:c>
      <x:c r="M17" s="27" t="str">
        <x:v>ATT-2026-006-01</x:v>
      </x:c>
    </x:row>
    <x:row r="18">
      <x:c r="A18" s="28" t="str">
        <x:v>Child Development</x:v>
      </x:c>
      <x:c r="B18" s="37" t="n">
        <x:v>46192</x:v>
      </x:c>
      <x:c r="C18" s="26" t="str">
        <x:v>RAH01-2026-006</x:v>
      </x:c>
      <x:c r="D18" s="25" t="str">
        <x:v>06_work_stress_evidence.pdf</x:v>
      </x:c>
      <x:c r="E18" s="25" t="str">
        <x:v>application/pdf</x:v>
      </x:c>
      <x:c r="F18" s="35" t="n">
        <x:v>182968</x:v>
      </x:c>
      <x:c r="G18" s="38" t="n">
        <x:v>46193.32083333333</x:v>
      </x:c>
      <x:c r="H18" s="25" t="str">
        <x:v>https://drive.google.com/file/d/EXAMPLE-006-07/view</x:v>
      </x:c>
      <x:c r="I18" s="38" t="n">
        <x:v>46193.32916666667</x:v>
      </x:c>
      <x:c r="J18" s="27" t="str">
        <x:v>DRIVE-2026-006-07</x:v>
      </x:c>
      <x:c r="K18" s="27" t="str">
        <x:v>ASM-2026-006</x:v>
      </x:c>
      <x:c r="L18" s="27" t="str">
        <x:v>HZ-2026-006-07</x:v>
      </x:c>
      <x:c r="M18" s="27" t="str">
        <x:v>ATT-2026-006-07</x:v>
      </x:c>
    </x:row>
    <x:row r="19">
      <x:c r="A19" s="28" t="str">
        <x:v>Dental</x:v>
      </x:c>
      <x:c r="B19" s="37" t="n">
        <x:v>46078</x:v>
      </x:c>
      <x:c r="C19" s="26" t="str">
        <x:v>RAH01-2026-008</x:v>
      </x:c>
      <x:c r="D19" s="25" t="str">
        <x:v>08_bacteria_evidence.pdf</x:v>
      </x:c>
      <x:c r="E19" s="25" t="str">
        <x:v>application/pdf</x:v>
      </x:c>
      <x:c r="F19" s="35" t="n">
        <x:v>131547</x:v>
      </x:c>
      <x:c r="G19" s="38" t="n">
        <x:v>46079.080555555556</x:v>
      </x:c>
      <x:c r="H19" s="25" t="str">
        <x:v>https://drive.google.com/file/d/EXAMPLE-008-02/view</x:v>
      </x:c>
      <x:c r="I19" s="38" t="n">
        <x:v>46079.08888888889</x:v>
      </x:c>
      <x:c r="J19" s="27" t="str">
        <x:v>DRIVE-2026-008-02</x:v>
      </x:c>
      <x:c r="K19" s="27" t="str">
        <x:v>ASM-2026-008</x:v>
      </x:c>
      <x:c r="L19" s="27" t="str">
        <x:v>HZ-2026-008-02</x:v>
      </x:c>
      <x:c r="M19" s="27" t="str">
        <x:v>ATT-2026-008-02</x:v>
      </x:c>
    </x:row>
    <x:row r="20">
      <x:c r="A20" s="28" t="str">
        <x:v>Dental</x:v>
      </x:c>
      <x:c r="B20" s="37" t="n">
        <x:v>46078</x:v>
      </x:c>
      <x:c r="C20" s="26" t="str">
        <x:v>RAH01-2026-008</x:v>
      </x:c>
      <x:c r="D20" s="25" t="str">
        <x:v>08_unnatural_posture_evidence.pdf</x:v>
      </x:c>
      <x:c r="E20" s="25" t="str">
        <x:v>application/pdf</x:v>
      </x:c>
      <x:c r="F20" s="35" t="n">
        <x:v>167580</x:v>
      </x:c>
      <x:c r="G20" s="38" t="n">
        <x:v>46079.080555555556</x:v>
      </x:c>
      <x:c r="H20" s="25" t="str">
        <x:v>https://drive.google.com/file/d/EXAMPLE-008-05/view</x:v>
      </x:c>
      <x:c r="I20" s="38" t="n">
        <x:v>46079.08888888889</x:v>
      </x:c>
      <x:c r="J20" s="27" t="str">
        <x:v>DRIVE-2026-008-05</x:v>
      </x:c>
      <x:c r="K20" s="27" t="str">
        <x:v>ASM-2026-008</x:v>
      </x:c>
      <x:c r="L20" s="27" t="str">
        <x:v>HZ-2026-008-05</x:v>
      </x:c>
      <x:c r="M20" s="27" t="str">
        <x:v>ATT-2026-008-05</x:v>
      </x:c>
    </x:row>
    <x:row r="21">
      <x:c r="A21" s="28" t="str">
        <x:v>Dermatology</x:v>
      </x:c>
      <x:c r="B21" s="37" t="n">
        <x:v>46084</x:v>
      </x:c>
      <x:c r="C21" s="26" t="str">
        <x:v>RAH01-2026-009</x:v>
      </x:c>
      <x:c r="D21" s="25" t="str">
        <x:v>09_heavy_lifting_patient_transfer_evidence.pdf</x:v>
      </x:c>
      <x:c r="E21" s="25" t="str">
        <x:v>application/pdf</x:v>
      </x:c>
      <x:c r="F21" s="35" t="n">
        <x:v>159886</x:v>
      </x:c>
      <x:c r="G21" s="38" t="n">
        <x:v>46085.08541666667</x:v>
      </x:c>
      <x:c r="H21" s="25" t="str">
        <x:v>https://drive.google.com/file/d/EXAMPLE-009-04/view</x:v>
      </x:c>
      <x:c r="I21" s="38" t="n">
        <x:v>46085.09375</x:v>
      </x:c>
      <x:c r="J21" s="27" t="str">
        <x:v>DRIVE-2026-009-04</x:v>
      </x:c>
      <x:c r="K21" s="27" t="str">
        <x:v>ASM-2026-009</x:v>
      </x:c>
      <x:c r="L21" s="27" t="str">
        <x:v>HZ-2026-009-04</x:v>
      </x:c>
      <x:c r="M21" s="27" t="str">
        <x:v>ATT-2026-009-04</x:v>
      </x:c>
    </x:row>
    <x:row r="22">
      <x:c r="A22" s="28" t="str">
        <x:v>Dermatology</x:v>
      </x:c>
      <x:c r="B22" s="37" t="n">
        <x:v>46084</x:v>
      </x:c>
      <x:c r="C22" s="26" t="str">
        <x:v>RAH01-2026-009</x:v>
      </x:c>
      <x:c r="D22" s="25" t="str">
        <x:v>09_insufficient_rest_evidence.pdf</x:v>
      </x:c>
      <x:c r="E22" s="25" t="str">
        <x:v>application/pdf</x:v>
      </x:c>
      <x:c r="F22" s="35" t="n">
        <x:v>195919</x:v>
      </x:c>
      <x:c r="G22" s="38" t="n">
        <x:v>46085.08541666667</x:v>
      </x:c>
      <x:c r="H22" s="25" t="str">
        <x:v>https://drive.google.com/file/d/EXAMPLE-009-07/view</x:v>
      </x:c>
      <x:c r="I22" s="38" t="n">
        <x:v>46085.09375</x:v>
      </x:c>
      <x:c r="J22" s="27" t="str">
        <x:v>DRIVE-2026-009-07</x:v>
      </x:c>
      <x:c r="K22" s="27" t="str">
        <x:v>ASM-2026-009</x:v>
      </x:c>
      <x:c r="L22" s="27" t="str">
        <x:v>HZ-2026-009-07</x:v>
      </x:c>
      <x:c r="M22" s="27" t="str">
        <x:v>ATT-2026-009-07</x:v>
      </x:c>
    </x:row>
    <x:row r="23">
      <x:c r="A23" s="28" t="str">
        <x:v>Dermatology</x:v>
      </x:c>
      <x:c r="B23" s="37" t="n">
        <x:v>46084</x:v>
      </x:c>
      <x:c r="C23" s="26" t="str">
        <x:v>RAH01-2026-009</x:v>
      </x:c>
      <x:c r="D23" s="25" t="str">
        <x:v>09_viruses_evidence.pdf</x:v>
      </x:c>
      <x:c r="E23" s="25" t="str">
        <x:v>application/pdf</x:v>
      </x:c>
      <x:c r="F23" s="35" t="n">
        <x:v>123853</x:v>
      </x:c>
      <x:c r="G23" s="38" t="n">
        <x:v>46085.08541666667</x:v>
      </x:c>
      <x:c r="H23" s="25" t="str">
        <x:v>https://drive.google.com/file/d/EXAMPLE-009-01/view</x:v>
      </x:c>
      <x:c r="I23" s="38" t="n">
        <x:v>46085.09375</x:v>
      </x:c>
      <x:c r="J23" s="27" t="str">
        <x:v>DRIVE-2026-009-01</x:v>
      </x:c>
      <x:c r="K23" s="27" t="str">
        <x:v>ASM-2026-009</x:v>
      </x:c>
      <x:c r="L23" s="27" t="str">
        <x:v>HZ-2026-009-01</x:v>
      </x:c>
      <x:c r="M23" s="27" t="str">
        <x:v>ATT-2026-009-01</x:v>
      </x:c>
    </x:row>
    <x:row r="24">
      <x:c r="A24" s="28" t="str">
        <x:v>Diagnostic Imaging</x:v>
      </x:c>
      <x:c r="B24" s="37" t="n">
        <x:v>46118</x:v>
      </x:c>
      <x:c r="C24" s="26" t="str">
        <x:v>RAH01-2026-010</x:v>
      </x:c>
      <x:c r="D24" s="25" t="str">
        <x:v>10_sharps_evidence.pdf</x:v>
      </x:c>
      <x:c r="E24" s="25" t="str">
        <x:v>application/pdf</x:v>
      </x:c>
      <x:c r="F24" s="35" t="n">
        <x:v>152192</x:v>
      </x:c>
      <x:c r="G24" s="38" t="n">
        <x:v>46119.131944444445</x:v>
      </x:c>
      <x:c r="H24" s="25" t="str">
        <x:v>https://drive.google.com/file/d/EXAMPLE-010-03/view</x:v>
      </x:c>
      <x:c r="I24" s="38" t="n">
        <x:v>46119.14027777778</x:v>
      </x:c>
      <x:c r="J24" s="27" t="str">
        <x:v>DRIVE-2026-010-03</x:v>
      </x:c>
      <x:c r="K24" s="27" t="str">
        <x:v>ASM-2026-010</x:v>
      </x:c>
      <x:c r="L24" s="27" t="str">
        <x:v>HZ-2026-010-03</x:v>
      </x:c>
      <x:c r="M24" s="27" t="str">
        <x:v>ATT-2026-010-03</x:v>
      </x:c>
    </x:row>
    <x:row r="25">
      <x:c r="A25" s="28" t="str">
        <x:v>Diagnostic Imaging</x:v>
      </x:c>
      <x:c r="B25" s="37" t="n">
        <x:v>46118</x:v>
      </x:c>
      <x:c r="C25" s="26" t="str">
        <x:v>RAH01-2026-010</x:v>
      </x:c>
      <x:c r="D25" s="25" t="str">
        <x:v>10_work_stress_evidence.pdf</x:v>
      </x:c>
      <x:c r="E25" s="25" t="str">
        <x:v>application/pdf</x:v>
      </x:c>
      <x:c r="F25" s="35" t="n">
        <x:v>188225</x:v>
      </x:c>
      <x:c r="G25" s="38" t="n">
        <x:v>46119.131944444445</x:v>
      </x:c>
      <x:c r="H25" s="25" t="str">
        <x:v>https://drive.google.com/file/d/EXAMPLE-010-06/view</x:v>
      </x:c>
      <x:c r="I25" s="38" t="n">
        <x:v>46119.14027777778</x:v>
      </x:c>
      <x:c r="J25" s="27" t="str">
        <x:v>DRIVE-2026-010-06</x:v>
      </x:c>
      <x:c r="K25" s="27" t="str">
        <x:v>ASM-2026-010</x:v>
      </x:c>
      <x:c r="L25" s="27" t="str">
        <x:v>HZ-2026-010-06</x:v>
      </x:c>
      <x:c r="M25" s="27" t="str">
        <x:v>ATT-2026-010-06</x:v>
      </x:c>
    </x:row>
    <x:row r="26">
      <x:c r="A26" s="28" t="str">
        <x:v>Endocrinology</x:v>
      </x:c>
      <x:c r="B26" s="37" t="n">
        <x:v>46185</x:v>
      </x:c>
      <x:c r="C26" s="26" t="str">
        <x:v>RAH01-2026-012</x:v>
      </x:c>
      <x:c r="D26" s="25" t="str">
        <x:v>12_pathway_obstruction_evidence.pdf</x:v>
      </x:c>
      <x:c r="E26" s="25" t="str">
        <x:v>application/pdf</x:v>
      </x:c>
      <x:c r="F26" s="35" t="n">
        <x:v>172837</x:v>
      </x:c>
      <x:c r="G26" s="38" t="n">
        <x:v>46186.225</x:v>
      </x:c>
      <x:c r="H26" s="25" t="str">
        <x:v>https://drive.google.com/file/d/EXAMPLE-012-04/view</x:v>
      </x:c>
      <x:c r="I26" s="38" t="n">
        <x:v>46186.23333333333</x:v>
      </x:c>
      <x:c r="J26" s="27" t="str">
        <x:v>DRIVE-2026-012-04</x:v>
      </x:c>
      <x:c r="K26" s="27" t="str">
        <x:v>ASM-2026-012</x:v>
      </x:c>
      <x:c r="L26" s="27" t="str">
        <x:v>HZ-2026-012-04</x:v>
      </x:c>
      <x:c r="M26" s="27" t="str">
        <x:v>ATT-2026-012-04</x:v>
      </x:c>
    </x:row>
    <x:row r="27">
      <x:c r="A27" s="28" t="str">
        <x:v>Endocrinology</x:v>
      </x:c>
      <x:c r="B27" s="37" t="n">
        <x:v>46185</x:v>
      </x:c>
      <x:c r="C27" s="26" t="str">
        <x:v>RAH01-2026-012</x:v>
      </x:c>
      <x:c r="D27" s="25" t="str">
        <x:v>12_repetitive_tasks_evidence.pdf</x:v>
      </x:c>
      <x:c r="E27" s="25" t="str">
        <x:v>application/pdf</x:v>
      </x:c>
      <x:c r="F27" s="35" t="n">
        <x:v>136804</x:v>
      </x:c>
      <x:c r="G27" s="38" t="n">
        <x:v>46186.225</x:v>
      </x:c>
      <x:c r="H27" s="25" t="str">
        <x:v>https://drive.google.com/file/d/EXAMPLE-012-01/view</x:v>
      </x:c>
      <x:c r="I27" s="38" t="n">
        <x:v>46186.23333333333</x:v>
      </x:c>
      <x:c r="J27" s="27" t="str">
        <x:v>DRIVE-2026-012-01</x:v>
      </x:c>
      <x:c r="K27" s="27" t="str">
        <x:v>ASM-2026-012</x:v>
      </x:c>
      <x:c r="L27" s="27" t="str">
        <x:v>HZ-2026-012-01</x:v>
      </x:c>
      <x:c r="M27" s="27" t="str">
        <x:v>ATT-2026-012-01</x:v>
      </x:c>
    </x:row>
    <x:row r="28">
      <x:c r="A28" s="28" t="str">
        <x:v>Family Medicine</x:v>
      </x:c>
      <x:c r="B28" s="37" t="n">
        <x:v>46136</x:v>
      </x:c>
      <x:c r="C28" s="26" t="str">
        <x:v>RAH01-2026-016</x:v>
      </x:c>
      <x:c r="D28" s="25" t="str">
        <x:v>16_dust_evidence.pdf</x:v>
      </x:c>
      <x:c r="E28" s="25" t="str">
        <x:v>application/pdf</x:v>
      </x:c>
      <x:c r="F28" s="35" t="n">
        <x:v>214127</x:v>
      </x:c>
      <x:c r="G28" s="38" t="n">
        <x:v>46137.07777777778</x:v>
      </x:c>
      <x:c r="H28" s="25" t="str">
        <x:v>https://drive.google.com/file/d/EXAMPLE-016-06/view</x:v>
      </x:c>
      <x:c r="I28" s="38" t="n">
        <x:v>46137.08611111111</x:v>
      </x:c>
      <x:c r="J28" s="27" t="str">
        <x:v>DRIVE-2026-016-06</x:v>
      </x:c>
      <x:c r="K28" s="27" t="str">
        <x:v>ASM-2026-016</x:v>
      </x:c>
      <x:c r="L28" s="27" t="str">
        <x:v>HZ-2026-016-06</x:v>
      </x:c>
      <x:c r="M28" s="27" t="str">
        <x:v>ATT-2026-016-06</x:v>
      </x:c>
    </x:row>
    <x:row r="29">
      <x:c r="A29" s="28" t="str">
        <x:v>Family Medicine</x:v>
      </x:c>
      <x:c r="B29" s="37" t="n">
        <x:v>46136</x:v>
      </x:c>
      <x:c r="C29" s="26" t="str">
        <x:v>RAH01-2026-016</x:v>
      </x:c>
      <x:c r="D29" s="25" t="str">
        <x:v>16_prolonged_standing_sitting_evidence.pdf</x:v>
      </x:c>
      <x:c r="E29" s="25" t="str">
        <x:v>application/pdf</x:v>
      </x:c>
      <x:c r="F29" s="35" t="n">
        <x:v>178094</x:v>
      </x:c>
      <x:c r="G29" s="38" t="n">
        <x:v>46137.07777777778</x:v>
      </x:c>
      <x:c r="H29" s="25" t="str">
        <x:v>https://drive.google.com/file/d/EXAMPLE-016-03/view</x:v>
      </x:c>
      <x:c r="I29" s="38" t="n">
        <x:v>46137.08611111111</x:v>
      </x:c>
      <x:c r="J29" s="27" t="str">
        <x:v>DRIVE-2026-016-03</x:v>
      </x:c>
      <x:c r="K29" s="27" t="str">
        <x:v>ASM-2026-016</x:v>
      </x:c>
      <x:c r="L29" s="27" t="str">
        <x:v>HZ-2026-016-03</x:v>
      </x:c>
      <x:c r="M29" s="27" t="str">
        <x:v>ATT-2026-016-03</x:v>
      </x:c>
    </x:row>
    <x:row r="30">
      <x:c r="A30" s="28" t="str">
        <x:v>General Surgery</x:v>
      </x:c>
      <x:c r="B30" s="37" t="n">
        <x:v>46178</x:v>
      </x:c>
      <x:c r="C30" s="26" t="str">
        <x:v>RAH01-2026-018</x:v>
      </x:c>
      <x:c r="D30" s="25" t="str">
        <x:v>18_heavy_lifting_patient_transfer_evidence.pdf</x:v>
      </x:c>
      <x:c r="E30" s="25" t="str">
        <x:v>application/pdf</x:v>
      </x:c>
      <x:c r="F30" s="35" t="n">
        <x:v>198739</x:v>
      </x:c>
      <x:c r="G30" s="38" t="n">
        <x:v>46179.129166666666</x:v>
      </x:c>
      <x:c r="H30" s="25" t="str">
        <x:v>https://drive.google.com/file/d/EXAMPLE-018-04/view</x:v>
      </x:c>
      <x:c r="I30" s="38" t="n">
        <x:v>46179.1375</x:v>
      </x:c>
      <x:c r="J30" s="27" t="str">
        <x:v>DRIVE-2026-018-04</x:v>
      </x:c>
      <x:c r="K30" s="27" t="str">
        <x:v>ASM-2026-018</x:v>
      </x:c>
      <x:c r="L30" s="27" t="str">
        <x:v>HZ-2026-018-04</x:v>
      </x:c>
      <x:c r="M30" s="27" t="str">
        <x:v>ATT-2026-018-04</x:v>
      </x:c>
    </x:row>
    <x:row r="31">
      <x:c r="A31" s="28" t="str">
        <x:v>General Surgery</x:v>
      </x:c>
      <x:c r="B31" s="37" t="n">
        <x:v>46178</x:v>
      </x:c>
      <x:c r="C31" s="26" t="str">
        <x:v>RAH01-2026-018</x:v>
      </x:c>
      <x:c r="D31" s="25" t="str">
        <x:v>18_poor_ventilation_evidence.pdf</x:v>
      </x:c>
      <x:c r="E31" s="25" t="str">
        <x:v>application/pdf</x:v>
      </x:c>
      <x:c r="F31" s="35" t="n">
        <x:v>234772</x:v>
      </x:c>
      <x:c r="G31" s="38" t="n">
        <x:v>46179.129166666666</x:v>
      </x:c>
      <x:c r="H31" s="25" t="str">
        <x:v>https://drive.google.com/file/d/EXAMPLE-018-07/view</x:v>
      </x:c>
      <x:c r="I31" s="38" t="n">
        <x:v>46179.1375</x:v>
      </x:c>
      <x:c r="J31" s="27" t="str">
        <x:v>DRIVE-2026-018-07</x:v>
      </x:c>
      <x:c r="K31" s="27" t="str">
        <x:v>ASM-2026-018</x:v>
      </x:c>
      <x:c r="L31" s="27" t="str">
        <x:v>HZ-2026-018-07</x:v>
      </x:c>
      <x:c r="M31" s="27" t="str">
        <x:v>ATT-2026-018-07</x:v>
      </x:c>
    </x:row>
    <x:row r="32">
      <x:c r="A32" s="28" t="str">
        <x:v>General Surgery</x:v>
      </x:c>
      <x:c r="B32" s="37" t="n">
        <x:v>46178</x:v>
      </x:c>
      <x:c r="C32" s="26" t="str">
        <x:v>RAH01-2026-018</x:v>
      </x:c>
      <x:c r="D32" s="25" t="str">
        <x:v>18_viruses_evidence.pdf</x:v>
      </x:c>
      <x:c r="E32" s="25" t="str">
        <x:v>application/pdf</x:v>
      </x:c>
      <x:c r="F32" s="35" t="n">
        <x:v>162706</x:v>
      </x:c>
      <x:c r="G32" s="38" t="n">
        <x:v>46179.129166666666</x:v>
      </x:c>
      <x:c r="H32" s="25" t="str">
        <x:v>https://drive.google.com/file/d/EXAMPLE-018-01/view</x:v>
      </x:c>
      <x:c r="I32" s="38" t="n">
        <x:v>46179.1375</x:v>
      </x:c>
      <x:c r="J32" s="27" t="str">
        <x:v>DRIVE-2026-018-01</x:v>
      </x:c>
      <x:c r="K32" s="27" t="str">
        <x:v>ASM-2026-018</x:v>
      </x:c>
      <x:c r="L32" s="27" t="str">
        <x:v>HZ-2026-018-01</x:v>
      </x:c>
      <x:c r="M32" s="27" t="str">
        <x:v>ATT-2026-018-01</x:v>
      </x:c>
    </x:row>
    <x:row r="33">
      <x:c r="A33" s="28" t="str">
        <x:v>Health Promotion</x:v>
      </x:c>
      <x:c r="B33" s="37" t="n">
        <x:v>46064</x:v>
      </x:c>
      <x:c r="C33" s="26" t="str">
        <x:v>RAH01-2026-020</x:v>
      </x:c>
      <x:c r="D33" s="25" t="str">
        <x:v>20_bacteria_evidence.pdf</x:v>
      </x:c>
      <x:c r="E33" s="25" t="str">
        <x:v>application/pdf</x:v>
      </x:c>
      <x:c r="F33" s="35" t="n">
        <x:v>183351</x:v>
      </x:c>
      <x:c r="G33" s="38" t="n">
        <x:v>46065.22222222222</x:v>
      </x:c>
      <x:c r="H33" s="25" t="str">
        <x:v>https://drive.google.com/file/d/EXAMPLE-020-02/view</x:v>
      </x:c>
      <x:c r="I33" s="38" t="n">
        <x:v>46065.23055555556</x:v>
      </x:c>
      <x:c r="J33" s="27" t="str">
        <x:v>DRIVE-2026-020-02</x:v>
      </x:c>
      <x:c r="K33" s="27" t="str">
        <x:v>ASM-2026-020</x:v>
      </x:c>
      <x:c r="L33" s="27" t="str">
        <x:v>HZ-2026-020-02</x:v>
      </x:c>
      <x:c r="M33" s="27" t="str">
        <x:v>ATT-2026-020-02</x:v>
      </x:c>
    </x:row>
    <x:row r="34">
      <x:c r="A34" s="28" t="str">
        <x:v>Health Promotion</x:v>
      </x:c>
      <x:c r="B34" s="37" t="n">
        <x:v>46064</x:v>
      </x:c>
      <x:c r="C34" s="26" t="str">
        <x:v>RAH01-2026-020</x:v>
      </x:c>
      <x:c r="D34" s="25" t="str">
        <x:v>20_other_evidence.pdf</x:v>
      </x:c>
      <x:c r="E34" s="25" t="str">
        <x:v>application/pdf</x:v>
      </x:c>
      <x:c r="F34" s="35" t="n">
        <x:v>255417</x:v>
      </x:c>
      <x:c r="G34" s="38" t="n">
        <x:v>46065.22222222222</x:v>
      </x:c>
      <x:c r="H34" s="25" t="str">
        <x:v>https://drive.google.com/file/d/EXAMPLE-020-08/view</x:v>
      </x:c>
      <x:c r="I34" s="38" t="n">
        <x:v>46065.23055555556</x:v>
      </x:c>
      <x:c r="J34" s="27" t="str">
        <x:v>DRIVE-2026-020-08</x:v>
      </x:c>
      <x:c r="K34" s="27" t="str">
        <x:v>ASM-2026-020</x:v>
      </x:c>
      <x:c r="L34" s="27" t="str">
        <x:v>HZ-2026-020-08</x:v>
      </x:c>
      <x:c r="M34" s="27" t="str">
        <x:v>ATT-2026-020-08</x:v>
      </x:c>
    </x:row>
    <x:row r="35">
      <x:c r="A35" s="28" t="str">
        <x:v>Health Promotion</x:v>
      </x:c>
      <x:c r="B35" s="37" t="n">
        <x:v>46064</x:v>
      </x:c>
      <x:c r="C35" s="26" t="str">
        <x:v>RAH01-2026-020</x:v>
      </x:c>
      <x:c r="D35" s="25" t="str">
        <x:v>20_unnatural_posture_evidence.pdf</x:v>
      </x:c>
      <x:c r="E35" s="25" t="str">
        <x:v>application/pdf</x:v>
      </x:c>
      <x:c r="F35" s="35" t="n">
        <x:v>219384</x:v>
      </x:c>
      <x:c r="G35" s="38" t="n">
        <x:v>46065.22222222222</x:v>
      </x:c>
      <x:c r="H35" s="25" t="str">
        <x:v>https://drive.google.com/file/d/EXAMPLE-020-05/view</x:v>
      </x:c>
      <x:c r="I35" s="38" t="n">
        <x:v>46065.23055555556</x:v>
      </x:c>
      <x:c r="J35" s="27" t="str">
        <x:v>DRIVE-2026-020-05</x:v>
      </x:c>
      <x:c r="K35" s="27" t="str">
        <x:v>ASM-2026-020</x:v>
      </x:c>
      <x:c r="L35" s="27" t="str">
        <x:v>HZ-2026-020-05</x:v>
      </x:c>
      <x:c r="M35" s="27" t="str">
        <x:v>ATT-2026-020-05</x:v>
      </x:c>
    </x:row>
    <x:row r="36">
      <x:c r="A36" s="28" t="str">
        <x:v>ICU 1</x:v>
      </x:c>
      <x:c r="B36" s="37" t="n">
        <x:v>46129</x:v>
      </x:c>
      <x:c r="C36" s="26" t="str">
        <x:v>RAH01-2026-022</x:v>
      </x:c>
      <x:c r="D36" s="25" t="str">
        <x:v>22_chemical_odor_evidence.pdf</x:v>
      </x:c>
      <x:c r="E36" s="25" t="str">
        <x:v>application/pdf</x:v>
      </x:c>
      <x:c r="F36" s="35" t="n">
        <x:v>240029</x:v>
      </x:c>
      <x:c r="G36" s="38" t="n">
        <x:v>46130.31527777778</x:v>
      </x:c>
      <x:c r="H36" s="25" t="str">
        <x:v>https://drive.google.com/file/d/EXAMPLE-022-06/view</x:v>
      </x:c>
      <x:c r="I36" s="38" t="n">
        <x:v>46130.32361111111</x:v>
      </x:c>
      <x:c r="J36" s="27" t="str">
        <x:v>DRIVE-2026-022-06</x:v>
      </x:c>
      <x:c r="K36" s="27" t="str">
        <x:v>ASM-2026-022</x:v>
      </x:c>
      <x:c r="L36" s="27" t="str">
        <x:v>HZ-2026-022-06</x:v>
      </x:c>
      <x:c r="M36" s="27" t="str">
        <x:v>ATT-2026-022-06</x:v>
      </x:c>
    </x:row>
    <x:row r="37">
      <x:c r="A37" s="28" t="str">
        <x:v>ICU 1</x:v>
      </x:c>
      <x:c r="B37" s="37" t="n">
        <x:v>46129</x:v>
      </x:c>
      <x:c r="C37" s="26" t="str">
        <x:v>RAH01-2026-022</x:v>
      </x:c>
      <x:c r="D37" s="25" t="str">
        <x:v>22_sharps_evidence.pdf</x:v>
      </x:c>
      <x:c r="E37" s="25" t="str">
        <x:v>application/pdf</x:v>
      </x:c>
      <x:c r="F37" s="35" t="n">
        <x:v>203996</x:v>
      </x:c>
      <x:c r="G37" s="38" t="n">
        <x:v>46130.31527777778</x:v>
      </x:c>
      <x:c r="H37" s="25" t="str">
        <x:v>https://drive.google.com/file/d/EXAMPLE-022-03/view</x:v>
      </x:c>
      <x:c r="I37" s="38" t="n">
        <x:v>46130.32361111111</x:v>
      </x:c>
      <x:c r="J37" s="27" t="str">
        <x:v>DRIVE-2026-022-03</x:v>
      </x:c>
      <x:c r="K37" s="27" t="str">
        <x:v>ASM-2026-022</x:v>
      </x:c>
      <x:c r="L37" s="27" t="str">
        <x:v>HZ-2026-022-03</x:v>
      </x:c>
      <x:c r="M37" s="27" t="str">
        <x:v>ATT-2026-022-03</x:v>
      </x:c>
    </x:row>
    <x:row r="38">
      <x:c r="A38" s="28" t="str">
        <x:v>Infectious Diseases</x:v>
      </x:c>
      <x:c r="B38" s="37" t="n">
        <x:v>46196</x:v>
      </x:c>
      <x:c r="C38" s="26" t="str">
        <x:v>RAH01-2026-024</x:v>
      </x:c>
      <x:c r="D38" s="25" t="str">
        <x:v>24_patient_relative_violence_evidence.pdf</x:v>
      </x:c>
      <x:c r="E38" s="25" t="str">
        <x:v>application/pdf</x:v>
      </x:c>
      <x:c r="F38" s="35" t="n">
        <x:v>224641</x:v>
      </x:c>
      <x:c r="G38" s="38" t="n">
        <x:v>46197.075</x:v>
      </x:c>
      <x:c r="H38" s="25" t="str">
        <x:v>https://drive.google.com/file/d/EXAMPLE-024-04/view</x:v>
      </x:c>
      <x:c r="I38" s="38" t="n">
        <x:v>46197.083333333336</x:v>
      </x:c>
      <x:c r="J38" s="27" t="str">
        <x:v>DRIVE-2026-024-04</x:v>
      </x:c>
      <x:c r="K38" s="27" t="str">
        <x:v>ASM-2026-024</x:v>
      </x:c>
      <x:c r="L38" s="27" t="str">
        <x:v>HZ-2026-024-04</x:v>
      </x:c>
      <x:c r="M38" s="27" t="str">
        <x:v>ATT-2026-024-04</x:v>
      </x:c>
    </x:row>
    <x:row r="39">
      <x:c r="A39" s="28" t="str">
        <x:v>Infectious Diseases</x:v>
      </x:c>
      <x:c r="B39" s="37" t="n">
        <x:v>46196</x:v>
      </x:c>
      <x:c r="C39" s="26" t="str">
        <x:v>RAH01-2026-024</x:v>
      </x:c>
      <x:c r="D39" s="25" t="str">
        <x:v>24_viruses_evidence.pdf</x:v>
      </x:c>
      <x:c r="E39" s="25" t="str">
        <x:v>application/pdf</x:v>
      </x:c>
      <x:c r="F39" s="35" t="n">
        <x:v>188608</x:v>
      </x:c>
      <x:c r="G39" s="38" t="n">
        <x:v>46197.075</x:v>
      </x:c>
      <x:c r="H39" s="25" t="str">
        <x:v>https://drive.google.com/file/d/EXAMPLE-024-01/view</x:v>
      </x:c>
      <x:c r="I39" s="38" t="n">
        <x:v>46197.083333333336</x:v>
      </x:c>
      <x:c r="J39" s="27" t="str">
        <x:v>DRIVE-2026-024-01</x:v>
      </x:c>
      <x:c r="K39" s="27" t="str">
        <x:v>ASM-2026-024</x:v>
      </x:c>
      <x:c r="L39" s="27" t="str">
        <x:v>HZ-2026-024-01</x:v>
      </x:c>
      <x:c r="M39" s="27" t="str">
        <x:v>ATT-2026-024-01</x:v>
      </x:c>
    </x:row>
    <x:row r="40">
      <x:c r="A40" s="28" t="str">
        <x:v>Laboratory</x:v>
      </x:c>
      <x:c r="B40" s="37" t="n">
        <x:v>46057</x:v>
      </x:c>
      <x:c r="C40" s="26" t="str">
        <x:v>RAH01-2026-026</x:v>
      </x:c>
      <x:c r="D40" s="25" t="str">
        <x:v>26_bacteria_evidence.pdf</x:v>
      </x:c>
      <x:c r="E40" s="25" t="str">
        <x:v>application/pdf</x:v>
      </x:c>
      <x:c r="F40" s="35" t="n">
        <x:v>209253</x:v>
      </x:c>
      <x:c r="G40" s="38" t="n">
        <x:v>46058.126388888886</x:v>
      </x:c>
      <x:c r="H40" s="25" t="str">
        <x:v>https://drive.google.com/file/d/EXAMPLE-026-02/view</x:v>
      </x:c>
      <x:c r="I40" s="38" t="n">
        <x:v>46058.134722222225</x:v>
      </x:c>
      <x:c r="J40" s="27" t="str">
        <x:v>DRIVE-2026-026-02</x:v>
      </x:c>
      <x:c r="K40" s="27" t="str">
        <x:v>ASM-2026-026</x:v>
      </x:c>
      <x:c r="L40" s="27" t="str">
        <x:v>HZ-2026-026-02</x:v>
      </x:c>
      <x:c r="M40" s="27" t="str">
        <x:v>ATT-2026-026-02</x:v>
      </x:c>
    </x:row>
    <x:row r="41">
      <x:c r="A41" s="28" t="str">
        <x:v>Laboratory</x:v>
      </x:c>
      <x:c r="B41" s="37" t="n">
        <x:v>46057</x:v>
      </x:c>
      <x:c r="C41" s="26" t="str">
        <x:v>RAH01-2026-026</x:v>
      </x:c>
      <x:c r="D41" s="25" t="str">
        <x:v>26_lighting_evidence.pdf</x:v>
      </x:c>
      <x:c r="E41" s="25" t="str">
        <x:v>application/pdf</x:v>
      </x:c>
      <x:c r="F41" s="35" t="n">
        <x:v>281319</x:v>
      </x:c>
      <x:c r="G41" s="38" t="n">
        <x:v>46058.126388888886</x:v>
      </x:c>
      <x:c r="H41" s="25" t="str">
        <x:v>https://drive.google.com/file/d/EXAMPLE-026-08/view</x:v>
      </x:c>
      <x:c r="I41" s="38" t="n">
        <x:v>46058.134722222225</x:v>
      </x:c>
      <x:c r="J41" s="27" t="str">
        <x:v>DRIVE-2026-026-08</x:v>
      </x:c>
      <x:c r="K41" s="27" t="str">
        <x:v>ASM-2026-026</x:v>
      </x:c>
      <x:c r="L41" s="27" t="str">
        <x:v>HZ-2026-026-08</x:v>
      </x:c>
      <x:c r="M41" s="27" t="str">
        <x:v>ATT-2026-026-08</x:v>
      </x:c>
    </x:row>
    <x:row r="42">
      <x:c r="A42" s="28" t="str">
        <x:v>Laboratory</x:v>
      </x:c>
      <x:c r="B42" s="37" t="n">
        <x:v>46057</x:v>
      </x:c>
      <x:c r="C42" s="26" t="str">
        <x:v>RAH01-2026-026</x:v>
      </x:c>
      <x:c r="D42" s="25" t="str">
        <x:v>26_unnatural_posture_evidence.pdf</x:v>
      </x:c>
      <x:c r="E42" s="25" t="str">
        <x:v>application/pdf</x:v>
      </x:c>
      <x:c r="F42" s="35" t="n">
        <x:v>245286</x:v>
      </x:c>
      <x:c r="G42" s="38" t="n">
        <x:v>46058.126388888886</x:v>
      </x:c>
      <x:c r="H42" s="25" t="str">
        <x:v>https://drive.google.com/file/d/EXAMPLE-026-05/view</x:v>
      </x:c>
      <x:c r="I42" s="38" t="n">
        <x:v>46058.134722222225</x:v>
      </x:c>
      <x:c r="J42" s="27" t="str">
        <x:v>DRIVE-2026-026-05</x:v>
      </x:c>
      <x:c r="K42" s="27" t="str">
        <x:v>ASM-2026-026</x:v>
      </x:c>
      <x:c r="L42" s="27" t="str">
        <x:v>HZ-2026-026-05</x:v>
      </x:c>
      <x:c r="M42" s="27" t="str">
        <x:v>ATT-2026-026-05</x:v>
      </x:c>
    </x:row>
    <x:row r="43">
      <x:c r="A43" s="28" t="str">
        <x:v>Laundry</x:v>
      </x:c>
      <x:c r="B43" s="37" t="n">
        <x:v>46088</x:v>
      </x:c>
      <x:c r="C43" s="26" t="str">
        <x:v>RAH01-2026-027</x:v>
      </x:c>
      <x:c r="D43" s="25" t="str">
        <x:v>27_machinery_evidence.pdf</x:v>
      </x:c>
      <x:c r="E43" s="25" t="str">
        <x:v>application/pdf</x:v>
      </x:c>
      <x:c r="F43" s="35" t="n">
        <x:v>273625</x:v>
      </x:c>
      <x:c r="G43" s="38" t="n">
        <x:v>46089.17291666667</x:v>
      </x:c>
      <x:c r="H43" s="25" t="str">
        <x:v>https://drive.google.com/file/d/EXAMPLE-027-07/view</x:v>
      </x:c>
      <x:c r="I43" s="38" t="n">
        <x:v>46089.18125</x:v>
      </x:c>
      <x:c r="J43" s="27" t="str">
        <x:v>DRIVE-2026-027-07</x:v>
      </x:c>
      <x:c r="K43" s="27" t="str">
        <x:v>ASM-2026-027</x:v>
      </x:c>
      <x:c r="L43" s="27" t="str">
        <x:v>HZ-2026-027-07</x:v>
      </x:c>
      <x:c r="M43" s="27" t="str">
        <x:v>ATT-2026-027-07</x:v>
      </x:c>
    </x:row>
    <x:row r="44">
      <x:c r="A44" s="28" t="str">
        <x:v>Laundry</x:v>
      </x:c>
      <x:c r="B44" s="37" t="n">
        <x:v>46088</x:v>
      </x:c>
      <x:c r="C44" s="26" t="str">
        <x:v>RAH01-2026-027</x:v>
      </x:c>
      <x:c r="D44" s="25" t="str">
        <x:v>27_sharps_evidence.pdf</x:v>
      </x:c>
      <x:c r="E44" s="25" t="str">
        <x:v>application/pdf</x:v>
      </x:c>
      <x:c r="F44" s="35" t="n">
        <x:v>201559</x:v>
      </x:c>
      <x:c r="G44" s="38" t="n">
        <x:v>46089.17291666667</x:v>
      </x:c>
      <x:c r="H44" s="25" t="str">
        <x:v>https://drive.google.com/file/d/EXAMPLE-027-01/view</x:v>
      </x:c>
      <x:c r="I44" s="38" t="n">
        <x:v>46089.18125</x:v>
      </x:c>
      <x:c r="J44" s="27" t="str">
        <x:v>DRIVE-2026-027-01</x:v>
      </x:c>
      <x:c r="K44" s="27" t="str">
        <x:v>ASM-2026-027</x:v>
      </x:c>
      <x:c r="L44" s="27" t="str">
        <x:v>HZ-2026-027-01</x:v>
      </x:c>
      <x:c r="M44" s="27" t="str">
        <x:v>ATT-2026-027-01</x:v>
      </x:c>
    </x:row>
    <x:row r="45">
      <x:c r="A45" s="28" t="str">
        <x:v>Laundry</x:v>
      </x:c>
      <x:c r="B45" s="37" t="n">
        <x:v>46088</x:v>
      </x:c>
      <x:c r="C45" s="26" t="str">
        <x:v>RAH01-2026-027</x:v>
      </x:c>
      <x:c r="D45" s="25" t="str">
        <x:v>27_sterilization_disinfection_chemicals_evidence.pdf</x:v>
      </x:c>
      <x:c r="E45" s="25" t="str">
        <x:v>application/pdf</x:v>
      </x:c>
      <x:c r="F45" s="35" t="n">
        <x:v>237592</x:v>
      </x:c>
      <x:c r="G45" s="38" t="n">
        <x:v>46089.17291666667</x:v>
      </x:c>
      <x:c r="H45" s="25" t="str">
        <x:v>https://drive.google.com/file/d/EXAMPLE-027-04/view</x:v>
      </x:c>
      <x:c r="I45" s="38" t="n">
        <x:v>46089.18125</x:v>
      </x:c>
      <x:c r="J45" s="27" t="str">
        <x:v>DRIVE-2026-027-04</x:v>
      </x:c>
      <x:c r="K45" s="27" t="str">
        <x:v>ASM-2026-027</x:v>
      </x:c>
      <x:c r="L45" s="27" t="str">
        <x:v>HZ-2026-027-04</x:v>
      </x:c>
      <x:c r="M45" s="27" t="str">
        <x:v>ATT-2026-027-04</x:v>
      </x:c>
    </x:row>
    <x:row r="46">
      <x:c r="A46" s="28" t="str">
        <x:v>Medical Records</x:v>
      </x:c>
      <x:c r="B46" s="37" t="n">
        <x:v>46122</x:v>
      </x:c>
      <x:c r="C46" s="26" t="str">
        <x:v>RAH01-2026-028</x:v>
      </x:c>
      <x:c r="D46" s="25" t="str">
        <x:v>28_floor_cleaner_evidence.pdf</x:v>
      </x:c>
      <x:c r="E46" s="25" t="str">
        <x:v>application/pdf</x:v>
      </x:c>
      <x:c r="F46" s="35" t="n">
        <x:v>265931</x:v>
      </x:c>
      <x:c r="G46" s="38" t="n">
        <x:v>46123.21944444445</x:v>
      </x:c>
      <x:c r="H46" s="25" t="str">
        <x:v>https://drive.google.com/file/d/EXAMPLE-028-06/view</x:v>
      </x:c>
      <x:c r="I46" s="38" t="n">
        <x:v>46123.22777777778</x:v>
      </x:c>
      <x:c r="J46" s="27" t="str">
        <x:v>DRIVE-2026-028-06</x:v>
      </x:c>
      <x:c r="K46" s="27" t="str">
        <x:v>ASM-2026-028</x:v>
      </x:c>
      <x:c r="L46" s="27" t="str">
        <x:v>HZ-2026-028-06</x:v>
      </x:c>
      <x:c r="M46" s="27" t="str">
        <x:v>ATT-2026-028-06</x:v>
      </x:c>
    </x:row>
    <x:row r="47">
      <x:c r="A47" s="28" t="str">
        <x:v>Medical Records</x:v>
      </x:c>
      <x:c r="B47" s="37" t="n">
        <x:v>46122</x:v>
      </x:c>
      <x:c r="C47" s="26" t="str">
        <x:v>RAH01-2026-028</x:v>
      </x:c>
      <x:c r="D47" s="25" t="str">
        <x:v>28_hot_objects_evidence.pdf</x:v>
      </x:c>
      <x:c r="E47" s="25" t="str">
        <x:v>application/pdf</x:v>
      </x:c>
      <x:c r="F47" s="35" t="n">
        <x:v>229898</x:v>
      </x:c>
      <x:c r="G47" s="38" t="n">
        <x:v>46123.21944444445</x:v>
      </x:c>
      <x:c r="H47" s="25" t="str">
        <x:v>https://drive.google.com/file/d/EXAMPLE-028-03/view</x:v>
      </x:c>
      <x:c r="I47" s="38" t="n">
        <x:v>46123.22777777778</x:v>
      </x:c>
      <x:c r="J47" s="27" t="str">
        <x:v>DRIVE-2026-028-03</x:v>
      </x:c>
      <x:c r="K47" s="27" t="str">
        <x:v>ASM-2026-028</x:v>
      </x:c>
      <x:c r="L47" s="27" t="str">
        <x:v>HZ-2026-028-03</x:v>
      </x:c>
      <x:c r="M47" s="27" t="str">
        <x:v>ATT-2026-028-03</x:v>
      </x:c>
    </x:row>
    <x:row r="48">
      <x:c r="A48" s="28" t="str">
        <x:v>Operating Theatre</x:v>
      </x:c>
      <x:c r="B48" s="37" t="n">
        <x:v>46182</x:v>
      </x:c>
      <x:c r="C48" s="26" t="str">
        <x:v>RAH01-2026-036</x:v>
      </x:c>
      <x:c r="D48" s="25" t="str">
        <x:v>36_electrical_work_evidence.pdf</x:v>
      </x:c>
      <x:c r="E48" s="25" t="str">
        <x:v>application/pdf</x:v>
      </x:c>
      <x:c r="F48" s="35" t="n">
        <x:v>240412</x:v>
      </x:c>
      <x:c r="G48" s="38" t="n">
        <x:v>46183.21666666667</x:v>
      </x:c>
      <x:c r="H48" s="25" t="str">
        <x:v>https://drive.google.com/file/d/EXAMPLE-036-01/view</x:v>
      </x:c>
      <x:c r="I48" s="38" t="n">
        <x:v>46183.225</x:v>
      </x:c>
      <x:c r="J48" s="27" t="str">
        <x:v>DRIVE-2026-036-01</x:v>
      </x:c>
      <x:c r="K48" s="27" t="str">
        <x:v>ASM-2026-036</x:v>
      </x:c>
      <x:c r="L48" s="27" t="str">
        <x:v>HZ-2026-036-01</x:v>
      </x:c>
      <x:c r="M48" s="27" t="str">
        <x:v>ATT-2026-036-01</x:v>
      </x:c>
    </x:row>
    <x:row r="49">
      <x:c r="A49" s="28" t="str">
        <x:v>Operating Theatre</x:v>
      </x:c>
      <x:c r="B49" s="37" t="n">
        <x:v>46182</x:v>
      </x:c>
      <x:c r="C49" s="26" t="str">
        <x:v>RAH01-2026-036</x:v>
      </x:c>
      <x:c r="D49" s="25" t="str">
        <x:v>36_generator_evidence.pdf</x:v>
      </x:c>
      <x:c r="E49" s="25" t="str">
        <x:v>application/pdf</x:v>
      </x:c>
      <x:c r="F49" s="35" t="n">
        <x:v>312478</x:v>
      </x:c>
      <x:c r="G49" s="38" t="n">
        <x:v>46183.21666666667</x:v>
      </x:c>
      <x:c r="H49" s="25" t="str">
        <x:v>https://drive.google.com/file/d/EXAMPLE-036-07/view</x:v>
      </x:c>
      <x:c r="I49" s="38" t="n">
        <x:v>46183.225</x:v>
      </x:c>
      <x:c r="J49" s="27" t="str">
        <x:v>DRIVE-2026-036-07</x:v>
      </x:c>
      <x:c r="K49" s="27" t="str">
        <x:v>ASM-2026-036</x:v>
      </x:c>
      <x:c r="L49" s="27" t="str">
        <x:v>HZ-2026-036-07</x:v>
      </x:c>
      <x:c r="M49" s="27" t="str">
        <x:v>ATT-2026-036-07</x:v>
      </x:c>
    </x:row>
    <x:row r="50">
      <x:c r="A50" s="28" t="str">
        <x:v>Operating Theatre</x:v>
      </x:c>
      <x:c r="B50" s="37" t="n">
        <x:v>46182</x:v>
      </x:c>
      <x:c r="C50" s="26" t="str">
        <x:v>RAH01-2026-036</x:v>
      </x:c>
      <x:c r="D50" s="25" t="str">
        <x:v>36_heat_evidence.pdf</x:v>
      </x:c>
      <x:c r="E50" s="25" t="str">
        <x:v>application/pdf</x:v>
      </x:c>
      <x:c r="F50" s="35" t="n">
        <x:v>276445</x:v>
      </x:c>
      <x:c r="G50" s="38" t="n">
        <x:v>46183.21666666667</x:v>
      </x:c>
      <x:c r="H50" s="25" t="str">
        <x:v>https://drive.google.com/file/d/EXAMPLE-036-04/view</x:v>
      </x:c>
      <x:c r="I50" s="38" t="n">
        <x:v>46183.225</x:v>
      </x:c>
      <x:c r="J50" s="27" t="str">
        <x:v>DRIVE-2026-036-04</x:v>
      </x:c>
      <x:c r="K50" s="27" t="str">
        <x:v>ASM-2026-036</x:v>
      </x:c>
      <x:c r="L50" s="27" t="str">
        <x:v>HZ-2026-036-04</x:v>
      </x:c>
      <x:c r="M50" s="27" t="str">
        <x:v>ATT-2026-036-04</x:v>
      </x:c>
    </x:row>
    <x:row r="51">
      <x:c r="A51" s="28" t="str">
        <x:v>Orthopaedics</x:v>
      </x:c>
      <x:c r="B51" s="37" t="n">
        <x:v>46034</x:v>
      </x:c>
      <x:c r="C51" s="26" t="str">
        <x:v>RAH01-2026-037</x:v>
      </x:c>
      <x:c r="D51" s="25" t="str">
        <x:v>37_confined_space_evidence.pdf</x:v>
      </x:c>
      <x:c r="E51" s="25" t="str">
        <x:v>application/pdf</x:v>
      </x:c>
      <x:c r="F51" s="35" t="n">
        <x:v>304784</x:v>
      </x:c>
      <x:c r="G51" s="38" t="n">
        <x:v>46035.263194444444</x:v>
      </x:c>
      <x:c r="H51" s="25" t="str">
        <x:v>https://drive.google.com/file/d/EXAMPLE-037-06/view</x:v>
      </x:c>
      <x:c r="I51" s="38" t="n">
        <x:v>46035.271527777775</x:v>
      </x:c>
      <x:c r="J51" s="27" t="str">
        <x:v>DRIVE-2026-037-06</x:v>
      </x:c>
      <x:c r="K51" s="27" t="str">
        <x:v>ASM-2026-037</x:v>
      </x:c>
      <x:c r="L51" s="27" t="str">
        <x:v>HZ-2026-037-06</x:v>
      </x:c>
      <x:c r="M51" s="27" t="str">
        <x:v>ATT-2026-037-06</x:v>
      </x:c>
    </x:row>
    <x:row r="52">
      <x:c r="A52" s="28" t="str">
        <x:v>Orthopaedics</x:v>
      </x:c>
      <x:c r="B52" s="37" t="n">
        <x:v>46034</x:v>
      </x:c>
      <x:c r="C52" s="26" t="str">
        <x:v>RAH01-2026-037</x:v>
      </x:c>
      <x:c r="D52" s="25" t="str">
        <x:v>37_noise_evidence.pdf</x:v>
      </x:c>
      <x:c r="E52" s="25" t="str">
        <x:v>application/pdf</x:v>
      </x:c>
      <x:c r="F52" s="35" t="n">
        <x:v>268751</x:v>
      </x:c>
      <x:c r="G52" s="38" t="n">
        <x:v>46035.263194444444</x:v>
      </x:c>
      <x:c r="H52" s="25" t="str">
        <x:v>https://drive.google.com/file/d/EXAMPLE-037-03/view</x:v>
      </x:c>
      <x:c r="I52" s="38" t="n">
        <x:v>46035.271527777775</x:v>
      </x:c>
      <x:c r="J52" s="27" t="str">
        <x:v>DRIVE-2026-037-03</x:v>
      </x:c>
      <x:c r="K52" s="27" t="str">
        <x:v>ASM-2026-037</x:v>
      </x:c>
      <x:c r="L52" s="27" t="str">
        <x:v>HZ-2026-037-03</x:v>
      </x:c>
      <x:c r="M52" s="27" t="str">
        <x:v>ATT-2026-037-03</x:v>
      </x:c>
    </x:row>
    <x:row r="53">
      <x:c r="A53" s="28" t="str">
        <x:v>Outpatient Department</x:v>
      </x:c>
      <x:c r="B53" s="37" t="n">
        <x:v>46068</x:v>
      </x:c>
      <x:c r="C53" s="26" t="str">
        <x:v>RAH01-2026-038</x:v>
      </x:c>
      <x:c r="D53" s="25" t="str">
        <x:v>38_heavy_lifting_patient_transfer_evidence.pdf</x:v>
      </x:c>
      <x:c r="E53" s="25" t="str">
        <x:v>application/pdf</x:v>
      </x:c>
      <x:c r="F53" s="35" t="n">
        <x:v>297090</x:v>
      </x:c>
      <x:c r="G53" s="38" t="n">
        <x:v>46069.30972222222</x:v>
      </x:c>
      <x:c r="H53" s="25" t="str">
        <x:v>https://drive.google.com/file/d/EXAMPLE-038-05/view</x:v>
      </x:c>
      <x:c r="I53" s="38" t="n">
        <x:v>46069.31805555556</x:v>
      </x:c>
      <x:c r="J53" s="27" t="str">
        <x:v>DRIVE-2026-038-05</x:v>
      </x:c>
      <x:c r="K53" s="27" t="str">
        <x:v>ASM-2026-038</x:v>
      </x:c>
      <x:c r="L53" s="27" t="str">
        <x:v>HZ-2026-038-05</x:v>
      </x:c>
      <x:c r="M53" s="27" t="str">
        <x:v>ATT-2026-038-05</x:v>
      </x:c>
    </x:row>
    <x:row r="54">
      <x:c r="A54" s="28" t="str">
        <x:v>Outpatient Department</x:v>
      </x:c>
      <x:c r="B54" s="37" t="n">
        <x:v>46068</x:v>
      </x:c>
      <x:c r="C54" s="26" t="str">
        <x:v>RAH01-2026-038</x:v>
      </x:c>
      <x:c r="D54" s="25" t="str">
        <x:v>38_lighting_evidence.pdf</x:v>
      </x:c>
      <x:c r="E54" s="25" t="str">
        <x:v>application/pdf</x:v>
      </x:c>
      <x:c r="F54" s="35" t="n">
        <x:v>333123</x:v>
      </x:c>
      <x:c r="G54" s="38" t="n">
        <x:v>46069.30972222222</x:v>
      </x:c>
      <x:c r="H54" s="25" t="str">
        <x:v>https://drive.google.com/file/d/EXAMPLE-038-08/view</x:v>
      </x:c>
      <x:c r="I54" s="38" t="n">
        <x:v>46069.31805555556</x:v>
      </x:c>
      <x:c r="J54" s="27" t="str">
        <x:v>DRIVE-2026-038-08</x:v>
      </x:c>
      <x:c r="K54" s="27" t="str">
        <x:v>ASM-2026-038</x:v>
      </x:c>
      <x:c r="L54" s="27" t="str">
        <x:v>HZ-2026-038-08</x:v>
      </x:c>
      <x:c r="M54" s="27" t="str">
        <x:v>ATT-2026-038-08</x:v>
      </x:c>
    </x:row>
    <x:row r="55">
      <x:c r="A55" s="28" t="str">
        <x:v>Outpatient Department</x:v>
      </x:c>
      <x:c r="B55" s="37" t="n">
        <x:v>46068</x:v>
      </x:c>
      <x:c r="C55" s="26" t="str">
        <x:v>RAH01-2026-038</x:v>
      </x:c>
      <x:c r="D55" s="25" t="str">
        <x:v>38_sharps_evidence.pdf</x:v>
      </x:c>
      <x:c r="E55" s="25" t="str">
        <x:v>application/pdf</x:v>
      </x:c>
      <x:c r="F55" s="35" t="n">
        <x:v>261057</x:v>
      </x:c>
      <x:c r="G55" s="38" t="n">
        <x:v>46069.30972222222</x:v>
      </x:c>
      <x:c r="H55" s="25" t="str">
        <x:v>https://drive.google.com/file/d/EXAMPLE-038-02/view</x:v>
      </x:c>
      <x:c r="I55" s="38" t="n">
        <x:v>46069.31805555556</x:v>
      </x:c>
      <x:c r="J55" s="27" t="str">
        <x:v>DRIVE-2026-038-02</x:v>
      </x:c>
      <x:c r="K55" s="27" t="str">
        <x:v>ASM-2026-038</x:v>
      </x:c>
      <x:c r="L55" s="27" t="str">
        <x:v>HZ-2026-038-02</x:v>
      </x:c>
      <x:c r="M55" s="27" t="str">
        <x:v>ATT-2026-038-02</x:v>
      </x:c>
    </x:row>
    <x:row r="56">
      <x:c r="A56" s="28" t="str">
        <x:v>Paediatrics</x:v>
      </x:c>
      <x:c r="B56" s="37" t="n">
        <x:v>46099</x:v>
      </x:c>
      <x:c r="C56" s="26" t="str">
        <x:v>RAH01-2026-039</x:v>
      </x:c>
      <x:c r="D56" s="25" t="str">
        <x:v>39_bacteria_evidence.pdf</x:v>
      </x:c>
      <x:c r="E56" s="25" t="str">
        <x:v>application/pdf</x:v>
      </x:c>
      <x:c r="F56" s="35" t="n">
        <x:v>253363</x:v>
      </x:c>
      <x:c r="G56" s="38" t="n">
        <x:v>46100.35625</x:v>
      </x:c>
      <x:c r="H56" s="25" t="str">
        <x:v>https://drive.google.com/file/d/EXAMPLE-039-01/view</x:v>
      </x:c>
      <x:c r="I56" s="38" t="n">
        <x:v>46100.364583333336</x:v>
      </x:c>
      <x:c r="J56" s="27" t="str">
        <x:v>DRIVE-2026-039-01</x:v>
      </x:c>
      <x:c r="K56" s="27" t="str">
        <x:v>ASM-2026-039</x:v>
      </x:c>
      <x:c r="L56" s="27" t="str">
        <x:v>HZ-2026-039-01</x:v>
      </x:c>
      <x:c r="M56" s="27" t="str">
        <x:v>ATT-2026-039-01</x:v>
      </x:c>
    </x:row>
    <x:row r="57">
      <x:c r="A57" s="28" t="str">
        <x:v>Paediatrics</x:v>
      </x:c>
      <x:c r="B57" s="37" t="n">
        <x:v>46099</x:v>
      </x:c>
      <x:c r="C57" s="26" t="str">
        <x:v>RAH01-2026-039</x:v>
      </x:c>
      <x:c r="D57" s="25" t="str">
        <x:v>39_repetitive_tasks_evidence.pdf</x:v>
      </x:c>
      <x:c r="E57" s="25" t="str">
        <x:v>application/pdf</x:v>
      </x:c>
      <x:c r="F57" s="35" t="n">
        <x:v>325429</x:v>
      </x:c>
      <x:c r="G57" s="38" t="n">
        <x:v>46100.35625</x:v>
      </x:c>
      <x:c r="H57" s="25" t="str">
        <x:v>https://drive.google.com/file/d/EXAMPLE-039-07/view</x:v>
      </x:c>
      <x:c r="I57" s="38" t="n">
        <x:v>46100.364583333336</x:v>
      </x:c>
      <x:c r="J57" s="27" t="str">
        <x:v>DRIVE-2026-039-07</x:v>
      </x:c>
      <x:c r="K57" s="27" t="str">
        <x:v>ASM-2026-039</x:v>
      </x:c>
      <x:c r="L57" s="27" t="str">
        <x:v>HZ-2026-039-07</x:v>
      </x:c>
      <x:c r="M57" s="27" t="str">
        <x:v>ATT-2026-039-07</x:v>
      </x:c>
    </x:row>
    <x:row r="58">
      <x:c r="A58" s="28" t="str">
        <x:v>Paediatrics</x:v>
      </x:c>
      <x:c r="B58" s="37" t="n">
        <x:v>46099</x:v>
      </x:c>
      <x:c r="C58" s="26" t="str">
        <x:v>RAH01-2026-039</x:v>
      </x:c>
      <x:c r="D58" s="25" t="str">
        <x:v>39_slippery_surface_evidence.pdf</x:v>
      </x:c>
      <x:c r="E58" s="25" t="str">
        <x:v>application/pdf</x:v>
      </x:c>
      <x:c r="F58" s="35" t="n">
        <x:v>289396</x:v>
      </x:c>
      <x:c r="G58" s="38" t="n">
        <x:v>46100.35625</x:v>
      </x:c>
      <x:c r="H58" s="25" t="str">
        <x:v>https://drive.google.com/file/d/EXAMPLE-039-04/view</x:v>
      </x:c>
      <x:c r="I58" s="38" t="n">
        <x:v>46100.364583333336</x:v>
      </x:c>
      <x:c r="J58" s="27" t="str">
        <x:v>DRIVE-2026-039-04</x:v>
      </x:c>
      <x:c r="K58" s="27" t="str">
        <x:v>ASM-2026-039</x:v>
      </x:c>
      <x:c r="L58" s="27" t="str">
        <x:v>HZ-2026-039-04</x:v>
      </x:c>
      <x:c r="M58" s="27" t="str">
        <x:v>ATT-2026-039-04</x:v>
      </x:c>
    </x:row>
    <x:row r="59">
      <x:c r="A59" s="28" t="str">
        <x:v>Pathology</x:v>
      </x:c>
      <x:c r="B59" s="37" t="n">
        <x:v>46133</x:v>
      </x:c>
      <x:c r="C59" s="26" t="str">
        <x:v>RAH01-2026-040</x:v>
      </x:c>
      <x:c r="D59" s="25" t="str">
        <x:v>40_high_push_pull_force_evidence.pdf</x:v>
      </x:c>
      <x:c r="E59" s="25" t="str">
        <x:v>application/pdf</x:v>
      </x:c>
      <x:c r="F59" s="35" t="n">
        <x:v>281702</x:v>
      </x:c>
      <x:c r="G59" s="38" t="n">
        <x:v>46134.069444444445</x:v>
      </x:c>
      <x:c r="H59" s="25" t="str">
        <x:v>https://drive.google.com/file/d/EXAMPLE-040-03/view</x:v>
      </x:c>
      <x:c r="I59" s="38" t="n">
        <x:v>46134.07777777778</x:v>
      </x:c>
      <x:c r="J59" s="27" t="str">
        <x:v>DRIVE-2026-040-03</x:v>
      </x:c>
      <x:c r="K59" s="27" t="str">
        <x:v>ASM-2026-040</x:v>
      </x:c>
      <x:c r="L59" s="27" t="str">
        <x:v>HZ-2026-040-03</x:v>
      </x:c>
      <x:c r="M59" s="27" t="str">
        <x:v>ATT-2026-040-03</x:v>
      </x:c>
    </x:row>
    <x:row r="60">
      <x:c r="A60" s="28" t="str">
        <x:v>Pathology</x:v>
      </x:c>
      <x:c r="B60" s="37" t="n">
        <x:v>46133</x:v>
      </x:c>
      <x:c r="C60" s="26" t="str">
        <x:v>RAH01-2026-040</x:v>
      </x:c>
      <x:c r="D60" s="25" t="str">
        <x:v>40_work_stress_evidence.pdf</x:v>
      </x:c>
      <x:c r="E60" s="25" t="str">
        <x:v>application/pdf</x:v>
      </x:c>
      <x:c r="F60" s="35" t="n">
        <x:v>317735</x:v>
      </x:c>
      <x:c r="G60" s="38" t="n">
        <x:v>46134.069444444445</x:v>
      </x:c>
      <x:c r="H60" s="25" t="str">
        <x:v>https://drive.google.com/file/d/EXAMPLE-040-06/view</x:v>
      </x:c>
      <x:c r="I60" s="38" t="n">
        <x:v>46134.07777777778</x:v>
      </x:c>
      <x:c r="J60" s="27" t="str">
        <x:v>DRIVE-2026-040-06</x:v>
      </x:c>
      <x:c r="K60" s="27" t="str">
        <x:v>ASM-2026-040</x:v>
      </x:c>
      <x:c r="L60" s="27" t="str">
        <x:v>HZ-2026-040-06</x:v>
      </x:c>
      <x:c r="M60" s="27" t="str">
        <x:v>ATT-2026-040-06</x:v>
      </x:c>
    </x:row>
    <x:row r="61">
      <x:c r="A61" s="28" t="str">
        <x:v>Pharmacy</x:v>
      </x:c>
      <x:c r="B61" s="37" t="n">
        <x:v>46166</x:v>
      </x:c>
      <x:c r="C61" s="26" t="str">
        <x:v>RAH01-2026-041</x:v>
      </x:c>
      <x:c r="D61" s="25" t="str">
        <x:v>41_heavy_lifting_patient_transfer_evidence.pdf</x:v>
      </x:c>
      <x:c r="E61" s="25" t="str">
        <x:v>application/pdf</x:v>
      </x:c>
      <x:c r="F61" s="35" t="n">
        <x:v>274008</x:v>
      </x:c>
      <x:c r="G61" s="38" t="n">
        <x:v>46167.11597222222</x:v>
      </x:c>
      <x:c r="H61" s="25" t="str">
        <x:v>https://drive.google.com/file/d/EXAMPLE-041-02/view</x:v>
      </x:c>
      <x:c r="I61" s="38" t="n">
        <x:v>46167.12430555555</x:v>
      </x:c>
      <x:c r="J61" s="27" t="str">
        <x:v>DRIVE-2026-041-02</x:v>
      </x:c>
      <x:c r="K61" s="27" t="str">
        <x:v>ASM-2026-041</x:v>
      </x:c>
      <x:c r="L61" s="27" t="str">
        <x:v>HZ-2026-041-02</x:v>
      </x:c>
      <x:c r="M61" s="27" t="str">
        <x:v>ATT-2026-041-02</x:v>
      </x:c>
    </x:row>
    <x:row r="62">
      <x:c r="A62" s="28" t="str">
        <x:v>Pharmacy</x:v>
      </x:c>
      <x:c r="B62" s="37" t="n">
        <x:v>46166</x:v>
      </x:c>
      <x:c r="C62" s="26" t="str">
        <x:v>RAH01-2026-041</x:v>
      </x:c>
      <x:c r="D62" s="25" t="str">
        <x:v>41_slippery_surface_evidence.pdf</x:v>
      </x:c>
      <x:c r="E62" s="25" t="str">
        <x:v>application/pdf</x:v>
      </x:c>
      <x:c r="F62" s="35" t="n">
        <x:v>310041</x:v>
      </x:c>
      <x:c r="G62" s="38" t="n">
        <x:v>46167.11597222222</x:v>
      </x:c>
      <x:c r="H62" s="25" t="str">
        <x:v>https://drive.google.com/file/d/EXAMPLE-041-05/view</x:v>
      </x:c>
      <x:c r="I62" s="38" t="n">
        <x:v>46167.12430555555</x:v>
      </x:c>
      <x:c r="J62" s="27" t="str">
        <x:v>DRIVE-2026-041-05</x:v>
      </x:c>
      <x:c r="K62" s="27" t="str">
        <x:v>ASM-2026-041</x:v>
      </x:c>
      <x:c r="L62" s="27" t="str">
        <x:v>HZ-2026-041-05</x:v>
      </x:c>
      <x:c r="M62" s="27" t="str">
        <x:v>ATT-2026-041-05</x:v>
      </x:c>
    </x:row>
    <x:row r="63">
      <x:c r="A63" s="28" t="str">
        <x:v>Plastic Surgery</x:v>
      </x:c>
      <x:c r="B63" s="37" t="n">
        <x:v>46027</x:v>
      </x:c>
      <x:c r="C63" s="26" t="str">
        <x:v>RAH01-2026-043</x:v>
      </x:c>
      <x:c r="D63" s="25" t="str">
        <x:v>43_floor_cleaner_evidence.pdf</x:v>
      </x:c>
      <x:c r="E63" s="25" t="str">
        <x:v>application/pdf</x:v>
      </x:c>
      <x:c r="F63" s="35" t="n">
        <x:v>294653</x:v>
      </x:c>
      <x:c r="G63" s="38" t="n">
        <x:v>46028.16736111111</x:v>
      </x:c>
      <x:c r="H63" s="25" t="str">
        <x:v>https://drive.google.com/file/d/EXAMPLE-043-03/view</x:v>
      </x:c>
      <x:c r="I63" s="38" t="n">
        <x:v>46028.17569444444</x:v>
      </x:c>
      <x:c r="J63" s="27" t="str">
        <x:v>DRIVE-2026-043-03</x:v>
      </x:c>
      <x:c r="K63" s="27" t="str">
        <x:v>ASM-2026-043</x:v>
      </x:c>
      <x:c r="L63" s="27" t="str">
        <x:v>HZ-2026-043-03</x:v>
      </x:c>
      <x:c r="M63" s="27" t="str">
        <x:v>ATT-2026-043-03</x:v>
      </x:c>
    </x:row>
    <x:row r="64">
      <x:c r="A64" s="28" t="str">
        <x:v>Plastic Surgery</x:v>
      </x:c>
      <x:c r="B64" s="37" t="n">
        <x:v>46027</x:v>
      </x:c>
      <x:c r="C64" s="26" t="str">
        <x:v>RAH01-2026-043</x:v>
      </x:c>
      <x:c r="D64" s="25" t="str">
        <x:v>43_high_push_pull_force_evidence.pdf</x:v>
      </x:c>
      <x:c r="E64" s="25" t="str">
        <x:v>application/pdf</x:v>
      </x:c>
      <x:c r="F64" s="35" t="n">
        <x:v>330686</x:v>
      </x:c>
      <x:c r="G64" s="38" t="n">
        <x:v>46028.16736111111</x:v>
      </x:c>
      <x:c r="H64" s="25" t="str">
        <x:v>https://drive.google.com/file/d/EXAMPLE-043-06/view</x:v>
      </x:c>
      <x:c r="I64" s="38" t="n">
        <x:v>46028.17569444444</x:v>
      </x:c>
      <x:c r="J64" s="27" t="str">
        <x:v>DRIVE-2026-043-06</x:v>
      </x:c>
      <x:c r="K64" s="27" t="str">
        <x:v>ASM-2026-043</x:v>
      </x:c>
      <x:c r="L64" s="27" t="str">
        <x:v>HZ-2026-043-06</x:v>
      </x:c>
      <x:c r="M64" s="27" t="str">
        <x:v>ATT-2026-043-06</x:v>
      </x:c>
    </x:row>
    <x:row r="65">
      <x:c r="A65" s="28" t="str">
        <x:v>Vaccination Clinic</x:v>
      </x:c>
      <x:c r="B65" s="37" t="n">
        <x:v>46137</x:v>
      </x:c>
      <x:c r="C65" s="26" t="str">
        <x:v>RAH01-2026-058</x:v>
      </x:c>
      <x:c r="D65" s="25" t="str">
        <x:v>58_confined_space_evidence.pdf</x:v>
      </x:c>
      <x:c r="E65" s="25" t="str">
        <x:v>application/pdf</x:v>
      </x:c>
      <x:c r="F65" s="35" t="n">
        <x:v>395441</x:v>
      </x:c>
      <x:c r="G65" s="38" t="n">
        <x:v>46138.15694444445</x:v>
      </x:c>
      <x:c r="H65" s="25" t="str">
        <x:v>https://drive.google.com/file/d/EXAMPLE-058-06/view</x:v>
      </x:c>
      <x:c r="I65" s="38" t="n">
        <x:v>46138.16527777778</x:v>
      </x:c>
      <x:c r="J65" s="27" t="str">
        <x:v>DRIVE-2026-058-06</x:v>
      </x:c>
      <x:c r="K65" s="27" t="str">
        <x:v>ASM-2026-058</x:v>
      </x:c>
      <x:c r="L65" s="27" t="str">
        <x:v>HZ-2026-058-06</x:v>
      </x:c>
      <x:c r="M65" s="27" t="str">
        <x:v>ATT-2026-058-06</x:v>
      </x:c>
    </x:row>
    <x:row r="66">
      <x:c r="A66" s="28" t="str">
        <x:v>Vaccination Clinic</x:v>
      </x:c>
      <x:c r="B66" s="37" t="n">
        <x:v>46137</x:v>
      </x:c>
      <x:c r="C66" s="26" t="str">
        <x:v>RAH01-2026-058</x:v>
      </x:c>
      <x:c r="D66" s="25" t="str">
        <x:v>58_noise_evidence.pdf</x:v>
      </x:c>
      <x:c r="E66" s="25" t="str">
        <x:v>application/pdf</x:v>
      </x:c>
      <x:c r="F66" s="35" t="n">
        <x:v>359408</x:v>
      </x:c>
      <x:c r="G66" s="38" t="n">
        <x:v>46138.15694444445</x:v>
      </x:c>
      <x:c r="H66" s="25" t="str">
        <x:v>https://drive.google.com/file/d/EXAMPLE-058-03/view</x:v>
      </x:c>
      <x:c r="I66" s="38" t="n">
        <x:v>46138.16527777778</x:v>
      </x:c>
      <x:c r="J66" s="27" t="str">
        <x:v>DRIVE-2026-058-03</x:v>
      </x:c>
      <x:c r="K66" s="27" t="str">
        <x:v>ASM-2026-058</x:v>
      </x:c>
      <x:c r="L66" s="27" t="str">
        <x:v>HZ-2026-058-03</x:v>
      </x:c>
      <x:c r="M66" s="27" t="str">
        <x:v>ATT-2026-058-03</x:v>
      </x:c>
    </x:row>
    <x:row r="67">
      <x:c r="A67" s="28" t="str">
        <x:v>Vaccination Clinic</x:v>
      </x:c>
      <x:c r="B67" s="37" t="n">
        <x:v>46137</x:v>
      </x:c>
      <x:c r="C67" s="26" t="str">
        <x:v>RAH01-2026-058</x:v>
      </x:c>
      <x:c r="D67" s="25" t="str">
        <x:v>58_other_evidence.pdf</x:v>
      </x:c>
      <x:c r="E67" s="25" t="str">
        <x:v>application/pdf</x:v>
      </x:c>
      <x:c r="F67" s="35" t="n">
        <x:v>431474</x:v>
      </x:c>
      <x:c r="G67" s="38" t="n">
        <x:v>46138.15694444445</x:v>
      </x:c>
      <x:c r="H67" s="25" t="str">
        <x:v>https://drive.google.com/file/d/EXAMPLE-058-09/view</x:v>
      </x:c>
      <x:c r="I67" s="38" t="n">
        <x:v>46138.16527777778</x:v>
      </x:c>
      <x:c r="J67" s="27" t="str">
        <x:v>DRIVE-2026-058-09</x:v>
      </x:c>
      <x:c r="K67" s="27" t="str">
        <x:v>ASM-2026-058</x:v>
      </x:c>
      <x:c r="L67" s="27" t="str">
        <x:v>HZ-2026-058-09</x:v>
      </x:c>
      <x:c r="M67" s="27" t="str">
        <x:v>ATT-2026-058-09</x:v>
      </x:c>
    </x:row>
    <x:row r="68">
      <x:c r="A68" s="28" t="str">
        <x:v>Ward 1</x:v>
      </x:c>
      <x:c r="B68" s="37" t="n">
        <x:v>46145</x:v>
      </x:c>
      <x:c r="C68" s="26" t="str">
        <x:v>RAH01-2026-059</x:v>
      </x:c>
      <x:c r="D68" s="25" t="str">
        <x:v>59_electrical_equipment_evidence.pdf</x:v>
      </x:c>
      <x:c r="E68" s="25" t="str">
        <x:v>application/pdf</x:v>
      </x:c>
      <x:c r="F68" s="35" t="n">
        <x:v>423780</x:v>
      </x:c>
      <x:c r="G68" s="38" t="n">
        <x:v>46146.20347222222</x:v>
      </x:c>
      <x:c r="H68" s="25" t="str">
        <x:v>https://drive.google.com/file/d/EXAMPLE-059-08/view</x:v>
      </x:c>
      <x:c r="I68" s="38" t="n">
        <x:v>46146.211805555555</x:v>
      </x:c>
      <x:c r="J68" s="27" t="str">
        <x:v>DRIVE-2026-059-08</x:v>
      </x:c>
      <x:c r="K68" s="27" t="str">
        <x:v>ASM-2026-059</x:v>
      </x:c>
      <x:c r="L68" s="27" t="str">
        <x:v>HZ-2026-059-08</x:v>
      </x:c>
      <x:c r="M68" s="27" t="str">
        <x:v>ATT-2026-059-08</x:v>
      </x:c>
    </x:row>
    <x:row r="69">
      <x:c r="A69" s="28" t="str">
        <x:v>Ward 1</x:v>
      </x:c>
      <x:c r="B69" s="37" t="n">
        <x:v>46145</x:v>
      </x:c>
      <x:c r="C69" s="26" t="str">
        <x:v>RAH01-2026-059</x:v>
      </x:c>
      <x:c r="D69" s="25" t="str">
        <x:v>59_machinery_evidence.pdf</x:v>
      </x:c>
      <x:c r="E69" s="25" t="str">
        <x:v>application/pdf</x:v>
      </x:c>
      <x:c r="F69" s="35" t="n">
        <x:v>351714</x:v>
      </x:c>
      <x:c r="G69" s="38" t="n">
        <x:v>46146.20347222222</x:v>
      </x:c>
      <x:c r="H69" s="25" t="str">
        <x:v>https://drive.google.com/file/d/EXAMPLE-059-02/view</x:v>
      </x:c>
      <x:c r="I69" s="38" t="n">
        <x:v>46146.211805555555</x:v>
      </x:c>
      <x:c r="J69" s="27" t="str">
        <x:v>DRIVE-2026-059-02</x:v>
      </x:c>
      <x:c r="K69" s="27" t="str">
        <x:v>ASM-2026-059</x:v>
      </x:c>
      <x:c r="L69" s="27" t="str">
        <x:v>HZ-2026-059-02</x:v>
      </x:c>
      <x:c r="M69" s="27" t="str">
        <x:v>ATT-2026-059-02</x:v>
      </x:c>
    </x:row>
    <x:row r="70">
      <x:c r="A70" s="28" t="str">
        <x:v>Ward 1</x:v>
      </x:c>
      <x:c r="B70" s="37" t="n">
        <x:v>46145</x:v>
      </x:c>
      <x:c r="C70" s="26" t="str">
        <x:v>RAH01-2026-059</x:v>
      </x:c>
      <x:c r="D70" s="25" t="str">
        <x:v>59_work_at_height_evidence.pdf</x:v>
      </x:c>
      <x:c r="E70" s="25" t="str">
        <x:v>application/pdf</x:v>
      </x:c>
      <x:c r="F70" s="35" t="n">
        <x:v>387747</x:v>
      </x:c>
      <x:c r="G70" s="38" t="n">
        <x:v>46146.20347222222</x:v>
      </x:c>
      <x:c r="H70" s="25" t="str">
        <x:v>https://drive.google.com/file/d/EXAMPLE-059-05/view</x:v>
      </x:c>
      <x:c r="I70" s="38" t="n">
        <x:v>46146.211805555555</x:v>
      </x:c>
      <x:c r="J70" s="27" t="str">
        <x:v>DRIVE-2026-059-05</x:v>
      </x:c>
      <x:c r="K70" s="27" t="str">
        <x:v>ASM-2026-059</x:v>
      </x:c>
      <x:c r="L70" s="27" t="str">
        <x:v>HZ-2026-059-05</x:v>
      </x:c>
      <x:c r="M70" s="27" t="str">
        <x:v>ATT-2026-059-05</x:v>
      </x:c>
    </x:row>
    <x:row r="71">
      <x:c r="A71" s="28" t="str">
        <x:v>Ward 10</x:v>
      </x:c>
      <x:c r="B71" s="37" t="n">
        <x:v>46058</x:v>
      </x:c>
      <x:c r="C71" s="26" t="str">
        <x:v>RAH01-2026-068</x:v>
      </x:c>
      <x:c r="D71" s="25" t="str">
        <x:v>68_bacteria_evidence.pdf</x:v>
      </x:c>
      <x:c r="E71" s="25" t="str">
        <x:v>application/pdf</x:v>
      </x:c>
      <x:c r="F71" s="35" t="n">
        <x:v>390567</x:v>
      </x:c>
      <x:c r="G71" s="38" t="n">
        <x:v>46059.24722222222</x:v>
      </x:c>
      <x:c r="H71" s="25" t="str">
        <x:v>https://drive.google.com/file/d/EXAMPLE-068-02/view</x:v>
      </x:c>
      <x:c r="I71" s="38" t="n">
        <x:v>46059.25555555556</x:v>
      </x:c>
      <x:c r="J71" s="27" t="str">
        <x:v>DRIVE-2026-068-02</x:v>
      </x:c>
      <x:c r="K71" s="27" t="str">
        <x:v>ASM-2026-068</x:v>
      </x:c>
      <x:c r="L71" s="27" t="str">
        <x:v>HZ-2026-068-02</x:v>
      </x:c>
      <x:c r="M71" s="27" t="str">
        <x:v>ATT-2026-068-02</x:v>
      </x:c>
    </x:row>
    <x:row r="72">
      <x:c r="A72" s="28" t="str">
        <x:v>Ward 10</x:v>
      </x:c>
      <x:c r="B72" s="37" t="n">
        <x:v>46058</x:v>
      </x:c>
      <x:c r="C72" s="26" t="str">
        <x:v>RAH01-2026-068</x:v>
      </x:c>
      <x:c r="D72" s="25" t="str">
        <x:v>68_unnatural_posture_evidence.pdf</x:v>
      </x:c>
      <x:c r="E72" s="25" t="str">
        <x:v>application/pdf</x:v>
      </x:c>
      <x:c r="F72" s="35" t="n">
        <x:v>426600</x:v>
      </x:c>
      <x:c r="G72" s="38" t="n">
        <x:v>46059.24722222222</x:v>
      </x:c>
      <x:c r="H72" s="25" t="str">
        <x:v>https://drive.google.com/file/d/EXAMPLE-068-05/view</x:v>
      </x:c>
      <x:c r="I72" s="38" t="n">
        <x:v>46059.25555555556</x:v>
      </x:c>
      <x:c r="J72" s="27" t="str">
        <x:v>DRIVE-2026-068-05</x:v>
      </x:c>
      <x:c r="K72" s="27" t="str">
        <x:v>ASM-2026-068</x:v>
      </x:c>
      <x:c r="L72" s="27" t="str">
        <x:v>HZ-2026-068-05</x:v>
      </x:c>
      <x:c r="M72" s="27" t="str">
        <x:v>ATT-2026-068-05</x:v>
      </x:c>
    </x:row>
    <x:row r="73">
      <x:c r="A73" s="28" t="str">
        <x:v>Ward 2</x:v>
      </x:c>
      <x:c r="B73" s="37" t="n">
        <x:v>46179</x:v>
      </x:c>
      <x:c r="C73" s="26" t="str">
        <x:v>RAH01-2026-060</x:v>
      </x:c>
      <x:c r="D73" s="25" t="str">
        <x:v>60_poor_ventilation_evidence.pdf</x:v>
      </x:c>
      <x:c r="E73" s="25" t="str">
        <x:v>application/pdf</x:v>
      </x:c>
      <x:c r="F73" s="35" t="n">
        <x:v>416086</x:v>
      </x:c>
      <x:c r="G73" s="38" t="n">
        <x:v>46180.208333333336</x:v>
      </x:c>
      <x:c r="H73" s="25" t="str">
        <x:v>https://drive.google.com/file/d/EXAMPLE-060-07/view</x:v>
      </x:c>
      <x:c r="I73" s="38" t="n">
        <x:v>46180.21666666667</x:v>
      </x:c>
      <x:c r="J73" s="27" t="str">
        <x:v>DRIVE-2026-060-07</x:v>
      </x:c>
      <x:c r="K73" s="27" t="str">
        <x:v>ASM-2026-060</x:v>
      </x:c>
      <x:c r="L73" s="27" t="str">
        <x:v>HZ-2026-060-07</x:v>
      </x:c>
      <x:c r="M73" s="27" t="str">
        <x:v>ATT-2026-060-07</x:v>
      </x:c>
    </x:row>
    <x:row r="74">
      <x:c r="A74" s="28" t="str">
        <x:v>Ward 2</x:v>
      </x:c>
      <x:c r="B74" s="37" t="n">
        <x:v>46179</x:v>
      </x:c>
      <x:c r="C74" s="26" t="str">
        <x:v>RAH01-2026-060</x:v>
      </x:c>
      <x:c r="D74" s="25" t="str">
        <x:v>60_sharps_evidence.pdf</x:v>
      </x:c>
      <x:c r="E74" s="25" t="str">
        <x:v>application/pdf</x:v>
      </x:c>
      <x:c r="F74" s="35" t="n">
        <x:v>344020</x:v>
      </x:c>
      <x:c r="G74" s="38" t="n">
        <x:v>46180.208333333336</x:v>
      </x:c>
      <x:c r="H74" s="25" t="str">
        <x:v>https://drive.google.com/file/d/EXAMPLE-060-01/view</x:v>
      </x:c>
      <x:c r="I74" s="38" t="n">
        <x:v>46180.21666666667</x:v>
      </x:c>
      <x:c r="J74" s="27" t="str">
        <x:v>DRIVE-2026-060-01</x:v>
      </x:c>
      <x:c r="K74" s="27" t="str">
        <x:v>ASM-2026-060</x:v>
      </x:c>
      <x:c r="L74" s="27" t="str">
        <x:v>HZ-2026-060-01</x:v>
      </x:c>
      <x:c r="M74" s="27" t="str">
        <x:v>ATT-2026-060-01</x:v>
      </x:c>
    </x:row>
    <x:row r="75">
      <x:c r="A75" s="28" t="str">
        <x:v>Ward 2</x:v>
      </x:c>
      <x:c r="B75" s="37" t="n">
        <x:v>46179</x:v>
      </x:c>
      <x:c r="C75" s="26" t="str">
        <x:v>RAH01-2026-060</x:v>
      </x:c>
      <x:c r="D75" s="25" t="str">
        <x:v>60_slippery_surface_evidence.pdf</x:v>
      </x:c>
      <x:c r="E75" s="25" t="str">
        <x:v>application/pdf</x:v>
      </x:c>
      <x:c r="F75" s="35" t="n">
        <x:v>380053</x:v>
      </x:c>
      <x:c r="G75" s="38" t="n">
        <x:v>46180.208333333336</x:v>
      </x:c>
      <x:c r="H75" s="25" t="str">
        <x:v>https://drive.google.com/file/d/EXAMPLE-060-04/view</x:v>
      </x:c>
      <x:c r="I75" s="38" t="n">
        <x:v>46180.21666666667</x:v>
      </x:c>
      <x:c r="J75" s="27" t="str">
        <x:v>DRIVE-2026-060-04</x:v>
      </x:c>
      <x:c r="K75" s="27" t="str">
        <x:v>ASM-2026-060</x:v>
      </x:c>
      <x:c r="L75" s="27" t="str">
        <x:v>HZ-2026-060-04</x:v>
      </x:c>
      <x:c r="M75" s="27" t="str">
        <x:v>ATT-2026-060-04</x:v>
      </x:c>
    </x:row>
    <x:row r="76">
      <x:c r="A76" s="28" t="str">
        <x:v>Ward 3</x:v>
      </x:c>
      <x:c r="B76" s="37" t="n">
        <x:v>46031</x:v>
      </x:c>
      <x:c r="C76" s="26" t="str">
        <x:v>RAH01-2026-061</x:v>
      </x:c>
      <x:c r="D76" s="25" t="str">
        <x:v>61_sharps_evidence.pdf</x:v>
      </x:c>
      <x:c r="E76" s="25" t="str">
        <x:v>application/pdf</x:v>
      </x:c>
      <x:c r="F76" s="35" t="n">
        <x:v>372359</x:v>
      </x:c>
      <x:c r="G76" s="38" t="n">
        <x:v>46032.25486111111</x:v>
      </x:c>
      <x:c r="H76" s="25" t="str">
        <x:v>https://drive.google.com/file/d/EXAMPLE-061-03/view</x:v>
      </x:c>
      <x:c r="I76" s="38" t="n">
        <x:v>46032.263194444444</x:v>
      </x:c>
      <x:c r="J76" s="27" t="str">
        <x:v>DRIVE-2026-061-03</x:v>
      </x:c>
      <x:c r="K76" s="27" t="str">
        <x:v>ASM-2026-061</x:v>
      </x:c>
      <x:c r="L76" s="27" t="str">
        <x:v>HZ-2026-061-03</x:v>
      </x:c>
      <x:c r="M76" s="27" t="str">
        <x:v>ATT-2026-061-03</x:v>
      </x:c>
    </x:row>
    <x:row r="77">
      <x:c r="A77" s="28" t="str">
        <x:v>Ward 3</x:v>
      </x:c>
      <x:c r="B77" s="37" t="n">
        <x:v>46031</x:v>
      </x:c>
      <x:c r="C77" s="26" t="str">
        <x:v>RAH01-2026-061</x:v>
      </x:c>
      <x:c r="D77" s="25" t="str">
        <x:v>61_work_stress_evidence.pdf</x:v>
      </x:c>
      <x:c r="E77" s="25" t="str">
        <x:v>application/pdf</x:v>
      </x:c>
      <x:c r="F77" s="35" t="n">
        <x:v>408392</x:v>
      </x:c>
      <x:c r="G77" s="38" t="n">
        <x:v>46032.25486111111</x:v>
      </x:c>
      <x:c r="H77" s="25" t="str">
        <x:v>https://drive.google.com/file/d/EXAMPLE-061-06/view</x:v>
      </x:c>
      <x:c r="I77" s="38" t="n">
        <x:v>46032.263194444444</x:v>
      </x:c>
      <x:c r="J77" s="27" t="str">
        <x:v>DRIVE-2026-061-06</x:v>
      </x:c>
      <x:c r="K77" s="27" t="str">
        <x:v>ASM-2026-061</x:v>
      </x:c>
      <x:c r="L77" s="27" t="str">
        <x:v>HZ-2026-061-06</x:v>
      </x:c>
      <x:c r="M77" s="27" t="str">
        <x:v>ATT-2026-061-06</x:v>
      </x:c>
    </x:row>
    <x:row r="78">
      <x:c r="A78" s="28" t="str">
        <x:v>Ward 4</x:v>
      </x:c>
      <x:c r="B78" s="37" t="n">
        <x:v>46065</x:v>
      </x:c>
      <x:c r="C78" s="26" t="str">
        <x:v>RAH01-2026-062</x:v>
      </x:c>
      <x:c r="D78" s="25" t="str">
        <x:v>62_bacteria_evidence.pdf</x:v>
      </x:c>
      <x:c r="E78" s="25" t="str">
        <x:v>application/pdf</x:v>
      </x:c>
      <x:c r="F78" s="35" t="n">
        <x:v>364665</x:v>
      </x:c>
      <x:c r="G78" s="38" t="n">
        <x:v>46066.30138888889</x:v>
      </x:c>
      <x:c r="H78" s="25" t="str">
        <x:v>https://drive.google.com/file/d/EXAMPLE-062-02/view</x:v>
      </x:c>
      <x:c r="I78" s="38" t="n">
        <x:v>46066.30972222222</x:v>
      </x:c>
      <x:c r="J78" s="27" t="str">
        <x:v>DRIVE-2026-062-02</x:v>
      </x:c>
      <x:c r="K78" s="27" t="str">
        <x:v>ASM-2026-062</x:v>
      </x:c>
      <x:c r="L78" s="27" t="str">
        <x:v>HZ-2026-062-02</x:v>
      </x:c>
      <x:c r="M78" s="27" t="str">
        <x:v>ATT-2026-062-02</x:v>
      </x:c>
    </x:row>
    <x:row r="79">
      <x:c r="A79" s="28" t="str">
        <x:v>Ward 4</x:v>
      </x:c>
      <x:c r="B79" s="37" t="n">
        <x:v>46065</x:v>
      </x:c>
      <x:c r="C79" s="26" t="str">
        <x:v>RAH01-2026-062</x:v>
      </x:c>
      <x:c r="D79" s="25" t="str">
        <x:v>62_lighting_evidence.pdf</x:v>
      </x:c>
      <x:c r="E79" s="25" t="str">
        <x:v>application/pdf</x:v>
      </x:c>
      <x:c r="F79" s="35" t="n">
        <x:v>436731</x:v>
      </x:c>
      <x:c r="G79" s="38" t="n">
        <x:v>46066.30138888889</x:v>
      </x:c>
      <x:c r="H79" s="25" t="str">
        <x:v>https://drive.google.com/file/d/EXAMPLE-062-08/view</x:v>
      </x:c>
      <x:c r="I79" s="38" t="n">
        <x:v>46066.30972222222</x:v>
      </x:c>
      <x:c r="J79" s="27" t="str">
        <x:v>DRIVE-2026-062-08</x:v>
      </x:c>
      <x:c r="K79" s="27" t="str">
        <x:v>ASM-2026-062</x:v>
      </x:c>
      <x:c r="L79" s="27" t="str">
        <x:v>HZ-2026-062-08</x:v>
      </x:c>
      <x:c r="M79" s="27" t="str">
        <x:v>ATT-2026-062-08</x:v>
      </x:c>
    </x:row>
    <x:row r="80">
      <x:c r="A80" s="28" t="str">
        <x:v>Ward 4</x:v>
      </x:c>
      <x:c r="B80" s="37" t="n">
        <x:v>46065</x:v>
      </x:c>
      <x:c r="C80" s="26" t="str">
        <x:v>RAH01-2026-062</x:v>
      </x:c>
      <x:c r="D80" s="25" t="str">
        <x:v>62_unnatural_posture_evidence.pdf</x:v>
      </x:c>
      <x:c r="E80" s="25" t="str">
        <x:v>application/pdf</x:v>
      </x:c>
      <x:c r="F80" s="35" t="n">
        <x:v>400698</x:v>
      </x:c>
      <x:c r="G80" s="38" t="n">
        <x:v>46066.30138888889</x:v>
      </x:c>
      <x:c r="H80" s="25" t="str">
        <x:v>https://drive.google.com/file/d/EXAMPLE-062-05/view</x:v>
      </x:c>
      <x:c r="I80" s="38" t="n">
        <x:v>46066.30972222222</x:v>
      </x:c>
      <x:c r="J80" s="27" t="str">
        <x:v>DRIVE-2026-062-05</x:v>
      </x:c>
      <x:c r="K80" s="27" t="str">
        <x:v>ASM-2026-062</x:v>
      </x:c>
      <x:c r="L80" s="27" t="str">
        <x:v>HZ-2026-062-05</x:v>
      </x:c>
      <x:c r="M80" s="27" t="str">
        <x:v>ATT-2026-062-05</x:v>
      </x:c>
    </x:row>
    <x:row r="81">
      <x:c r="A81" s="28" t="str">
        <x:v>Ward 6</x:v>
      </x:c>
      <x:c r="B81" s="37" t="n">
        <x:v>46130</x:v>
      </x:c>
      <x:c r="C81" s="26" t="str">
        <x:v>RAH01-2026-064</x:v>
      </x:c>
      <x:c r="D81" s="25" t="str">
        <x:v>64_insufficient_rest_evidence.pdf</x:v>
      </x:c>
      <x:c r="E81" s="25" t="str">
        <x:v>application/pdf</x:v>
      </x:c>
      <x:c r="F81" s="35" t="n">
        <x:v>421343</x:v>
      </x:c>
      <x:c r="G81" s="38" t="n">
        <x:v>46131.061111111114</x:v>
      </x:c>
      <x:c r="H81" s="25" t="str">
        <x:v>https://drive.google.com/file/d/EXAMPLE-064-06/view</x:v>
      </x:c>
      <x:c r="I81" s="38" t="n">
        <x:v>46131.069444444445</x:v>
      </x:c>
      <x:c r="J81" s="27" t="str">
        <x:v>DRIVE-2026-064-06</x:v>
      </x:c>
      <x:c r="K81" s="27" t="str">
        <x:v>ASM-2026-064</x:v>
      </x:c>
      <x:c r="L81" s="27" t="str">
        <x:v>HZ-2026-064-06</x:v>
      </x:c>
      <x:c r="M81" s="27" t="str">
        <x:v>ATT-2026-064-06</x:v>
      </x:c>
    </x:row>
    <x:row r="82">
      <x:c r="A82" s="28" t="str">
        <x:v>Ward 6</x:v>
      </x:c>
      <x:c r="B82" s="37" t="n">
        <x:v>46130</x:v>
      </x:c>
      <x:c r="C82" s="26" t="str">
        <x:v>RAH01-2026-064</x:v>
      </x:c>
      <x:c r="D82" s="25" t="str">
        <x:v>64_sharps_evidence.pdf</x:v>
      </x:c>
      <x:c r="E82" s="25" t="str">
        <x:v>application/pdf</x:v>
      </x:c>
      <x:c r="F82" s="35" t="n">
        <x:v>385310</x:v>
      </x:c>
      <x:c r="G82" s="38" t="n">
        <x:v>46131.061111111114</x:v>
      </x:c>
      <x:c r="H82" s="25" t="str">
        <x:v>https://drive.google.com/file/d/EXAMPLE-064-03/view</x:v>
      </x:c>
      <x:c r="I82" s="38" t="n">
        <x:v>46131.069444444445</x:v>
      </x:c>
      <x:c r="J82" s="27" t="str">
        <x:v>DRIVE-2026-064-03</x:v>
      </x:c>
      <x:c r="K82" s="27" t="str">
        <x:v>ASM-2026-064</x:v>
      </x:c>
      <x:c r="L82" s="27" t="str">
        <x:v>HZ-2026-064-03</x:v>
      </x:c>
      <x:c r="M82" s="27" t="str">
        <x:v>ATT-2026-064-03</x:v>
      </x:c>
    </x:row>
    <x:row r="83">
      <x:c r="A83" s="28" t="str">
        <x:v>Ward 7</x:v>
      </x:c>
      <x:c r="B83" s="37" t="n">
        <x:v>46163</x:v>
      </x:c>
      <x:c r="C83" s="26" t="str">
        <x:v>RAH01-2026-065</x:v>
      </x:c>
      <x:c r="D83" s="25" t="str">
        <x:v>65_bacteria_evidence.pdf</x:v>
      </x:c>
      <x:c r="E83" s="25" t="str">
        <x:v>application/pdf</x:v>
      </x:c>
      <x:c r="F83" s="35" t="n">
        <x:v>377616</x:v>
      </x:c>
      <x:c r="G83" s="38" t="n">
        <x:v>46164.10763888889</x:v>
      </x:c>
      <x:c r="H83" s="25" t="str">
        <x:v>https://drive.google.com/file/d/EXAMPLE-065-02/view</x:v>
      </x:c>
      <x:c r="I83" s="38" t="n">
        <x:v>46164.11597222222</x:v>
      </x:c>
      <x:c r="J83" s="27" t="str">
        <x:v>DRIVE-2026-065-02</x:v>
      </x:c>
      <x:c r="K83" s="27" t="str">
        <x:v>ASM-2026-065</x:v>
      </x:c>
      <x:c r="L83" s="27" t="str">
        <x:v>HZ-2026-065-02</x:v>
      </x:c>
      <x:c r="M83" s="27" t="str">
        <x:v>ATT-2026-065-02</x:v>
      </x:c>
    </x:row>
    <x:row r="84">
      <x:c r="A84" s="28" t="str">
        <x:v>Ward 7</x:v>
      </x:c>
      <x:c r="B84" s="37" t="n">
        <x:v>46163</x:v>
      </x:c>
      <x:c r="C84" s="26" t="str">
        <x:v>RAH01-2026-065</x:v>
      </x:c>
      <x:c r="D84" s="25" t="str">
        <x:v>65_work_stress_evidence.pdf</x:v>
      </x:c>
      <x:c r="E84" s="25" t="str">
        <x:v>application/pdf</x:v>
      </x:c>
      <x:c r="F84" s="35" t="n">
        <x:v>413649</x:v>
      </x:c>
      <x:c r="G84" s="38" t="n">
        <x:v>46164.10763888889</x:v>
      </x:c>
      <x:c r="H84" s="25" t="str">
        <x:v>https://drive.google.com/file/d/EXAMPLE-065-05/view</x:v>
      </x:c>
      <x:c r="I84" s="38" t="n">
        <x:v>46164.11597222222</x:v>
      </x:c>
      <x:c r="J84" s="27" t="str">
        <x:v>DRIVE-2026-065-05</x:v>
      </x:c>
      <x:c r="K84" s="27" t="str">
        <x:v>ASM-2026-065</x:v>
      </x:c>
      <x:c r="L84" s="27" t="str">
        <x:v>HZ-2026-065-05</x:v>
      </x:c>
      <x:c r="M84" s="27" t="str">
        <x:v>ATT-2026-065-05</x:v>
      </x:c>
    </x:row>
    <x:row r="85">
      <x:c r="A85" s="28" t="str">
        <x:v>Ward 8</x:v>
      </x:c>
      <x:c r="B85" s="37" t="n">
        <x:v>46197</x:v>
      </x:c>
      <x:c r="C85" s="26" t="str">
        <x:v>RAH01-2026-066</x:v>
      </x:c>
      <x:c r="D85" s="25" t="str">
        <x:v>66_electrical_equipment_evidence.pdf</x:v>
      </x:c>
      <x:c r="E85" s="25" t="str">
        <x:v>application/pdf</x:v>
      </x:c>
      <x:c r="F85" s="35" t="n">
        <x:v>441988</x:v>
      </x:c>
      <x:c r="G85" s="38" t="n">
        <x:v>46198.15416666667</x:v>
      </x:c>
      <x:c r="H85" s="25" t="str">
        <x:v>https://drive.google.com/file/d/EXAMPLE-066-07/view</x:v>
      </x:c>
      <x:c r="I85" s="38" t="n">
        <x:v>46198.1625</x:v>
      </x:c>
      <x:c r="J85" s="27" t="str">
        <x:v>DRIVE-2026-066-07</x:v>
      </x:c>
      <x:c r="K85" s="27" t="str">
        <x:v>ASM-2026-066</x:v>
      </x:c>
      <x:c r="L85" s="27" t="str">
        <x:v>HZ-2026-066-07</x:v>
      </x:c>
      <x:c r="M85" s="27" t="str">
        <x:v>ATT-2026-066-07</x:v>
      </x:c>
    </x:row>
    <x:row r="86">
      <x:c r="A86" s="28" t="str">
        <x:v>Ward 8</x:v>
      </x:c>
      <x:c r="B86" s="37" t="n">
        <x:v>46197</x:v>
      </x:c>
      <x:c r="C86" s="26" t="str">
        <x:v>RAH01-2026-066</x:v>
      </x:c>
      <x:c r="D86" s="25" t="str">
        <x:v>66_heavy_lifting_patient_transfer_evidence.pdf</x:v>
      </x:c>
      <x:c r="E86" s="25" t="str">
        <x:v>application/pdf</x:v>
      </x:c>
      <x:c r="F86" s="35" t="n">
        <x:v>405955</x:v>
      </x:c>
      <x:c r="G86" s="38" t="n">
        <x:v>46198.15416666667</x:v>
      </x:c>
      <x:c r="H86" s="25" t="str">
        <x:v>https://drive.google.com/file/d/EXAMPLE-066-04/view</x:v>
      </x:c>
      <x:c r="I86" s="38" t="n">
        <x:v>46198.1625</x:v>
      </x:c>
      <x:c r="J86" s="27" t="str">
        <x:v>DRIVE-2026-066-04</x:v>
      </x:c>
      <x:c r="K86" s="27" t="str">
        <x:v>ASM-2026-066</x:v>
      </x:c>
      <x:c r="L86" s="27" t="str">
        <x:v>HZ-2026-066-04</x:v>
      </x:c>
      <x:c r="M86" s="27" t="str">
        <x:v>ATT-2026-066-04</x:v>
      </x:c>
    </x:row>
    <x:row r="87">
      <x:c r="A87" s="28" t="str">
        <x:v>Ward 8</x:v>
      </x:c>
      <x:c r="B87" s="37" t="n">
        <x:v>46197</x:v>
      </x:c>
      <x:c r="C87" s="26" t="str">
        <x:v>RAH01-2026-066</x:v>
      </x:c>
      <x:c r="D87" s="25" t="str">
        <x:v>66_viruses_evidence.pdf</x:v>
      </x:c>
      <x:c r="E87" s="25" t="str">
        <x:v>application/pdf</x:v>
      </x:c>
      <x:c r="F87" s="35" t="n">
        <x:v>369922</x:v>
      </x:c>
      <x:c r="G87" s="38" t="n">
        <x:v>46198.15416666667</x:v>
      </x:c>
      <x:c r="H87" s="25" t="str">
        <x:v>https://drive.google.com/file/d/EXAMPLE-066-01/view</x:v>
      </x:c>
      <x:c r="I87" s="38" t="n">
        <x:v>46198.1625</x:v>
      </x:c>
      <x:c r="J87" s="27" t="str">
        <x:v>DRIVE-2026-066-01</x:v>
      </x:c>
      <x:c r="K87" s="27" t="str">
        <x:v>ASM-2026-066</x:v>
      </x:c>
      <x:c r="L87" s="27" t="str">
        <x:v>HZ-2026-066-01</x:v>
      </x:c>
      <x:c r="M87" s="27" t="str">
        <x:v>ATT-2026-066-01</x:v>
      </x:c>
    </x:row>
    <x:row r="88">
      <x:c r="A88" s="28" t="str">
        <x:v>Ward 9</x:v>
      </x:c>
      <x:c r="B88" s="37" t="n">
        <x:v>46024</x:v>
      </x:c>
      <x:c r="C88" s="26" t="str">
        <x:v>RAH01-2026-067</x:v>
      </x:c>
      <x:c r="D88" s="25" t="str">
        <x:v>67_sharps_evidence.pdf</x:v>
      </x:c>
      <x:c r="E88" s="25" t="str">
        <x:v>application/pdf</x:v>
      </x:c>
      <x:c r="F88" s="35" t="n">
        <x:v>398261</x:v>
      </x:c>
      <x:c r="G88" s="38" t="n">
        <x:v>46025.200694444444</x:v>
      </x:c>
      <x:c r="H88" s="25" t="str">
        <x:v>https://drive.google.com/file/d/EXAMPLE-067-03/view</x:v>
      </x:c>
      <x:c r="I88" s="38" t="n">
        <x:v>46025.209027777775</x:v>
      </x:c>
      <x:c r="J88" s="27" t="str">
        <x:v>DRIVE-2026-067-03</x:v>
      </x:c>
      <x:c r="K88" s="27" t="str">
        <x:v>ASM-2026-067</x:v>
      </x:c>
      <x:c r="L88" s="27" t="str">
        <x:v>HZ-2026-067-03</x:v>
      </x:c>
      <x:c r="M88" s="27" t="str">
        <x:v>ATT-2026-067-03</x:v>
      </x:c>
    </x:row>
    <x:row r="89">
      <x:c r="A89" s="28" t="str">
        <x:v>Ward 9</x:v>
      </x:c>
      <x:c r="B89" s="37" t="n">
        <x:v>46024</x:v>
      </x:c>
      <x:c r="C89" s="26" t="str">
        <x:v>RAH01-2026-067</x:v>
      </x:c>
      <x:c r="D89" s="25" t="str">
        <x:v>67_work_stress_evidence.pdf</x:v>
      </x:c>
      <x:c r="E89" s="25" t="str">
        <x:v>application/pdf</x:v>
      </x:c>
      <x:c r="F89" s="35" t="n">
        <x:v>434294</x:v>
      </x:c>
      <x:c r="G89" s="38" t="n">
        <x:v>46025.200694444444</x:v>
      </x:c>
      <x:c r="H89" s="25" t="str">
        <x:v>https://drive.google.com/file/d/EXAMPLE-067-06/view</x:v>
      </x:c>
      <x:c r="I89" s="38" t="n">
        <x:v>46025.209027777775</x:v>
      </x:c>
      <x:c r="J89" s="27" t="str">
        <x:v>DRIVE-2026-067-06</x:v>
      </x:c>
      <x:c r="K89" s="27" t="str">
        <x:v>ASM-2026-067</x:v>
      </x:c>
      <x:c r="L89" s="27" t="str">
        <x:v>HZ-2026-067-06</x:v>
      </x:c>
      <x:c r="M89" s="27" t="str">
        <x:v>ATT-2026-067-06</x:v>
      </x:c>
    </x:row>
  </x:sheetData>
  <x:mergeCells>
    <x:mergeCell ref="A1:M1"/>
    <x:mergeCell ref="A2:M2"/>
  </x:mergeCells>
  <x:dataValidations count="1">
    <x:dataValidation type="whole" operator="greaterThanOrEqual" sqref="F4:F1048576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c548a711154d5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2" hidden="0" customWidth="1"/>
    <x:col min="2" max="2" width="16" hidden="0" customWidth="1"/>
    <x:col min="3" max="3" width="19" hidden="0" customWidth="1"/>
    <x:col min="4" max="4" width="21" hidden="0" customWidth="1"/>
    <x:col min="5" max="5" width="20" hidden="0" customWidth="1"/>
    <x:col min="6" max="6" width="28" hidden="0" customWidth="1"/>
    <x:col min="7" max="7" width="54" hidden="0" customWidth="1"/>
    <x:col min="8" max="8" width="20" hidden="0" customWidth="1"/>
    <x:col min="9" max="9" width="20" hidden="0" customWidth="1"/>
  </x:cols>
  <x:sheetData>
    <x:row r="1" ht="28" customHeight="1">
      <x:c r="A1" s="3" t="str">
        <x:v>RAH.01 Administration log / ประวัติการดำเนินการ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Append-only workflow events for the synthetic hospital-wide dataset; history matches the supported status model.</x:v>
      </x:c>
      <x:c r="B2" s="7"/>
      <x:c r="C2" s="7"/>
      <x:c r="D2" s="7"/>
      <x:c r="E2" s="7"/>
      <x:c r="F2" s="7"/>
      <x:c r="G2" s="7"/>
      <x:c r="H2" s="7"/>
      <x:c r="I2" s="7"/>
    </x:row>
    <x:row r="3" ht="34" customHeight="1">
      <x:c r="A3" s="20" t="str">
        <x:v>department_name</x:v>
      </x:c>
      <x:c r="B3" s="21" t="str">
        <x:v>assessment_date</x:v>
      </x:c>
      <x:c r="C3" s="21" t="str">
        <x:v>report_number</x:v>
      </x:c>
      <x:c r="D3" s="21" t="str">
        <x:v>event_at</x:v>
      </x:c>
      <x:c r="E3" s="21" t="str">
        <x:v>event_type</x:v>
      </x:c>
      <x:c r="F3" s="21" t="str">
        <x:v>actor</x:v>
      </x:c>
      <x:c r="G3" s="21" t="str">
        <x:v>admin_note</x:v>
      </x:c>
      <x:c r="H3" s="21" t="str">
        <x:v>assessment_id</x:v>
      </x:c>
      <x:c r="I3" s="22" t="str">
        <x:v>log_id</x:v>
      </x:c>
    </x:row>
    <x:row r="4">
      <x:c r="A4" s="28" t="str">
        <x:v>Accident &amp; Emergency</x:v>
      </x:c>
      <x:c r="B4" s="37" t="n">
        <x:v>46026</x:v>
      </x:c>
      <x:c r="C4" s="26" t="str">
        <x:v>RAH01-2026-001</x:v>
      </x:c>
      <x:c r="D4" s="38" t="n">
        <x:v>46027.08819444444</x:v>
      </x:c>
      <x:c r="E4" s="25" t="str">
        <x:v>SUBMITTED</x:v>
      </x:c>
      <x:c r="F4" s="25" t="str">
        <x:v>Occupational-health evaluator — Accident &amp; Emergency</x:v>
      </x:c>
      <x:c r="G4" s="25" t="str">
        <x:v>Synthetic RAH.01 assessment submitted for workflow simulation.</x:v>
      </x:c>
      <x:c r="H4" s="27" t="str">
        <x:v>ASM-2026-001</x:v>
      </x:c>
      <x:c r="I4" s="27" t="str">
        <x:v>LOG-2026-001-01</x:v>
      </x:c>
    </x:row>
    <x:row r="5">
      <x:c r="A5" s="28" t="str">
        <x:v>Anaesthesia</x:v>
      </x:c>
      <x:c r="B5" s="37" t="n">
        <x:v>46060</x:v>
      </x:c>
      <x:c r="C5" s="26" t="str">
        <x:v>RAH01-2026-002</x:v>
      </x:c>
      <x:c r="D5" s="38" t="n">
        <x:v>46061.134722222225</x:v>
      </x:c>
      <x:c r="E5" s="25" t="str">
        <x:v>SUBMITTED</x:v>
      </x:c>
      <x:c r="F5" s="25" t="str">
        <x:v>Occupational-health evaluator — Anaesthesia</x:v>
      </x:c>
      <x:c r="G5" s="25" t="str">
        <x:v>Synthetic RAH.01 assessment submitted for workflow simulation.</x:v>
      </x:c>
      <x:c r="H5" s="27" t="str">
        <x:v>ASM-2026-002</x:v>
      </x:c>
      <x:c r="I5" s="27" t="str">
        <x:v>LOG-2026-002-01</x:v>
      </x:c>
    </x:row>
    <x:row r="6">
      <x:c r="A6" s="28" t="str">
        <x:v>Anaesthesia</x:v>
      </x:c>
      <x:c r="B6" s="37" t="n">
        <x:v>46060</x:v>
      </x:c>
      <x:c r="C6" s="26" t="str">
        <x:v>RAH01-2026-002</x:v>
      </x:c>
      <x:c r="D6" s="38" t="n">
        <x:v>46061.26111111111</x:v>
      </x:c>
      <x:c r="E6" s="25" t="str">
        <x:v>IN_REVIEW</x:v>
      </x:c>
      <x:c r="F6" s="25" t="str">
        <x:v>Occupational-health administrator</x:v>
      </x:c>
      <x:c r="G6" s="25" t="str">
        <x:v>Submission opened and checked against the department risk profile.</x:v>
      </x:c>
      <x:c r="H6" s="27" t="str">
        <x:v>ASM-2026-002</x:v>
      </x:c>
      <x:c r="I6" s="27" t="str">
        <x:v>LOG-2026-002-02</x:v>
      </x:c>
    </x:row>
    <x:row r="7">
      <x:c r="A7" s="28" t="str">
        <x:v>Cardiology</x:v>
      </x:c>
      <x:c r="B7" s="37" t="n">
        <x:v>46091</x:v>
      </x:c>
      <x:c r="C7" s="26" t="str">
        <x:v>RAH01-2026-003</x:v>
      </x:c>
      <x:c r="D7" s="38" t="n">
        <x:v>46092.18125</x:v>
      </x:c>
      <x:c r="E7" s="25" t="str">
        <x:v>SUBMITTED</x:v>
      </x:c>
      <x:c r="F7" s="25" t="str">
        <x:v>Occupational-health evaluator — Cardiology</x:v>
      </x:c>
      <x:c r="G7" s="25" t="str">
        <x:v>Synthetic RAH.01 assessment submitted for workflow simulation.</x:v>
      </x:c>
      <x:c r="H7" s="27" t="str">
        <x:v>ASM-2026-003</x:v>
      </x:c>
      <x:c r="I7" s="27" t="str">
        <x:v>LOG-2026-003-01</x:v>
      </x:c>
    </x:row>
    <x:row r="8">
      <x:c r="A8" s="28" t="str">
        <x:v>Cardiology</x:v>
      </x:c>
      <x:c r="B8" s="37" t="n">
        <x:v>46091</x:v>
      </x:c>
      <x:c r="C8" s="26" t="str">
        <x:v>RAH01-2026-003</x:v>
      </x:c>
      <x:c r="D8" s="38" t="n">
        <x:v>46092.308333333334</x:v>
      </x:c>
      <x:c r="E8" s="25" t="str">
        <x:v>IN_REVIEW</x:v>
      </x:c>
      <x:c r="F8" s="25" t="str">
        <x:v>Occupational-health administrator</x:v>
      </x:c>
      <x:c r="G8" s="25" t="str">
        <x:v>Submission opened and checked against the department risk profile.</x:v>
      </x:c>
      <x:c r="H8" s="27" t="str">
        <x:v>ASM-2026-003</x:v>
      </x:c>
      <x:c r="I8" s="27" t="str">
        <x:v>LOG-2026-003-02</x:v>
      </x:c>
    </x:row>
    <x:row r="9">
      <x:c r="A9" s="28" t="str">
        <x:v>Cardiology</x:v>
      </x:c>
      <x:c r="B9" s="37" t="n">
        <x:v>46091</x:v>
      </x:c>
      <x:c r="C9" s="26" t="str">
        <x:v>RAH01-2026-003</x:v>
      </x:c>
      <x:c r="D9" s="38" t="n">
        <x:v>46094.183333333334</x:v>
      </x:c>
      <x:c r="E9" s="25" t="str">
        <x:v>CLOSED</x:v>
      </x:c>
      <x:c r="F9" s="25" t="str">
        <x:v>Occupational-health administrator</x:v>
      </x:c>
      <x:c r="G9" s="25" t="str">
        <x:v>Review completed and follow-up ownership recorded; synthetic record only.</x:v>
      </x:c>
      <x:c r="H9" s="27" t="str">
        <x:v>ASM-2026-003</x:v>
      </x:c>
      <x:c r="I9" s="27" t="str">
        <x:v>LOG-2026-003-03</x:v>
      </x:c>
    </x:row>
    <x:row r="10">
      <x:c r="A10" s="28" t="str">
        <x:v>Cardiothoracic Surgery</x:v>
      </x:c>
      <x:c r="B10" s="37" t="n">
        <x:v>46125</x:v>
      </x:c>
      <x:c r="C10" s="26" t="str">
        <x:v>RAH01-2026-004</x:v>
      </x:c>
      <x:c r="D10" s="38" t="n">
        <x:v>46126.22777777778</x:v>
      </x:c>
      <x:c r="E10" s="25" t="str">
        <x:v>SUBMITTED</x:v>
      </x:c>
      <x:c r="F10" s="25" t="str">
        <x:v>Occupational-health evaluator — Cardiothoracic Surgery</x:v>
      </x:c>
      <x:c r="G10" s="25" t="str">
        <x:v>Synthetic RAH.01 assessment submitted for workflow simulation.</x:v>
      </x:c>
      <x:c r="H10" s="27" t="str">
        <x:v>ASM-2026-004</x:v>
      </x:c>
      <x:c r="I10" s="27" t="str">
        <x:v>LOG-2026-004-01</x:v>
      </x:c>
    </x:row>
    <x:row r="11">
      <x:c r="A11" s="28" t="str">
        <x:v>Cardiothoracic Surgery</x:v>
      </x:c>
      <x:c r="B11" s="37" t="n">
        <x:v>46125</x:v>
      </x:c>
      <x:c r="C11" s="26" t="str">
        <x:v>RAH01-2026-004</x:v>
      </x:c>
      <x:c r="D11" s="38" t="n">
        <x:v>46126.35555555556</x:v>
      </x:c>
      <x:c r="E11" s="25" t="str">
        <x:v>IN_REVIEW</x:v>
      </x:c>
      <x:c r="F11" s="25" t="str">
        <x:v>Occupational-health administrator</x:v>
      </x:c>
      <x:c r="G11" s="25" t="str">
        <x:v>Submission opened and checked against the department risk profile.</x:v>
      </x:c>
      <x:c r="H11" s="27" t="str">
        <x:v>ASM-2026-004</x:v>
      </x:c>
      <x:c r="I11" s="27" t="str">
        <x:v>LOG-2026-004-02</x:v>
      </x:c>
    </x:row>
    <x:row r="12">
      <x:c r="A12" s="28" t="str">
        <x:v>Cardiothoracic Surgery</x:v>
      </x:c>
      <x:c r="B12" s="37" t="n">
        <x:v>46125</x:v>
      </x:c>
      <x:c r="C12" s="26" t="str">
        <x:v>RAH01-2026-004</x:v>
      </x:c>
      <x:c r="D12" s="38" t="n">
        <x:v>46128.23055555556</x:v>
      </x:c>
      <x:c r="E12" s="25" t="str">
        <x:v>CLOSED</x:v>
      </x:c>
      <x:c r="F12" s="25" t="str">
        <x:v>Occupational-health administrator</x:v>
      </x:c>
      <x:c r="G12" s="25" t="str">
        <x:v>Review completed and follow-up ownership recorded; synthetic record only.</x:v>
      </x:c>
      <x:c r="H12" s="27" t="str">
        <x:v>ASM-2026-004</x:v>
      </x:c>
      <x:c r="I12" s="27" t="str">
        <x:v>LOG-2026-004-03</x:v>
      </x:c>
    </x:row>
    <x:row r="13">
      <x:c r="A13" s="28" t="str">
        <x:v>Central Sterile Supply</x:v>
      </x:c>
      <x:c r="B13" s="37" t="n">
        <x:v>46158</x:v>
      </x:c>
      <x:c r="C13" s="26" t="str">
        <x:v>RAH01-2026-005</x:v>
      </x:c>
      <x:c r="D13" s="38" t="n">
        <x:v>46159.274305555555</x:v>
      </x:c>
      <x:c r="E13" s="25" t="str">
        <x:v>SUBMITTED</x:v>
      </x:c>
      <x:c r="F13" s="25" t="str">
        <x:v>Occupational-health evaluator — Central Sterile Supply</x:v>
      </x:c>
      <x:c r="G13" s="25" t="str">
        <x:v>Synthetic RAH.01 assessment submitted for workflow simulation.</x:v>
      </x:c>
      <x:c r="H13" s="27" t="str">
        <x:v>ASM-2026-005</x:v>
      </x:c>
      <x:c r="I13" s="27" t="str">
        <x:v>LOG-2026-005-01</x:v>
      </x:c>
    </x:row>
    <x:row r="14">
      <x:c r="A14" s="28" t="str">
        <x:v>Central Sterile Supply</x:v>
      </x:c>
      <x:c r="B14" s="37" t="n">
        <x:v>46158</x:v>
      </x:c>
      <x:c r="C14" s="26" t="str">
        <x:v>RAH01-2026-005</x:v>
      </x:c>
      <x:c r="D14" s="38" t="n">
        <x:v>46159.40277777778</x:v>
      </x:c>
      <x:c r="E14" s="25" t="str">
        <x:v>IN_REVIEW</x:v>
      </x:c>
      <x:c r="F14" s="25" t="str">
        <x:v>Occupational-health administrator</x:v>
      </x:c>
      <x:c r="G14" s="25" t="str">
        <x:v>Submission opened and checked against the department risk profile.</x:v>
      </x:c>
      <x:c r="H14" s="27" t="str">
        <x:v>ASM-2026-005</x:v>
      </x:c>
      <x:c r="I14" s="27" t="str">
        <x:v>LOG-2026-005-02</x:v>
      </x:c>
    </x:row>
    <x:row r="15">
      <x:c r="A15" s="28" t="str">
        <x:v>Central Sterile Supply</x:v>
      </x:c>
      <x:c r="B15" s="37" t="n">
        <x:v>46158</x:v>
      </x:c>
      <x:c r="C15" s="26" t="str">
        <x:v>RAH01-2026-005</x:v>
      </x:c>
      <x:c r="D15" s="38" t="n">
        <x:v>46160.27777777778</x:v>
      </x:c>
      <x:c r="E15" s="25" t="str">
        <x:v>RETURNED</x:v>
      </x:c>
      <x:c r="F15" s="25" t="str">
        <x:v>Occupational-health administrator</x:v>
      </x:c>
      <x:c r="G15" s="25" t="str">
        <x:v>Returned for clearer evidence on one control measure; synthetic record only.</x:v>
      </x:c>
      <x:c r="H15" s="27" t="str">
        <x:v>ASM-2026-005</x:v>
      </x:c>
      <x:c r="I15" s="27" t="str">
        <x:v>LOG-2026-005-03</x:v>
      </x:c>
    </x:row>
    <x:row r="16">
      <x:c r="A16" s="28" t="str">
        <x:v>Child Development</x:v>
      </x:c>
      <x:c r="B16" s="37" t="n">
        <x:v>46192</x:v>
      </x:c>
      <x:c r="C16" s="26" t="str">
        <x:v>RAH01-2026-006</x:v>
      </x:c>
      <x:c r="D16" s="38" t="n">
        <x:v>46193.32083333333</x:v>
      </x:c>
      <x:c r="E16" s="25" t="str">
        <x:v>SUBMITTED</x:v>
      </x:c>
      <x:c r="F16" s="25" t="str">
        <x:v>Occupational-health evaluator — Child Development</x:v>
      </x:c>
      <x:c r="G16" s="25" t="str">
        <x:v>Synthetic RAH.01 assessment submitted for workflow simulation.</x:v>
      </x:c>
      <x:c r="H16" s="27" t="str">
        <x:v>ASM-2026-006</x:v>
      </x:c>
      <x:c r="I16" s="27" t="str">
        <x:v>LOG-2026-006-01</x:v>
      </x:c>
    </x:row>
    <x:row r="17">
      <x:c r="A17" s="28" t="str">
        <x:v>Clinical Nutrition</x:v>
      </x:c>
      <x:c r="B17" s="37" t="n">
        <x:v>46044</x:v>
      </x:c>
      <x:c r="C17" s="26" t="str">
        <x:v>RAH01-2026-007</x:v>
      </x:c>
      <x:c r="D17" s="38" t="n">
        <x:v>46045.36736111111</x:v>
      </x:c>
      <x:c r="E17" s="25" t="str">
        <x:v>SUBMITTED</x:v>
      </x:c>
      <x:c r="F17" s="25" t="str">
        <x:v>Occupational-health evaluator — Clinical Nutrition</x:v>
      </x:c>
      <x:c r="G17" s="25" t="str">
        <x:v>Synthetic RAH.01 assessment submitted for workflow simulation.</x:v>
      </x:c>
      <x:c r="H17" s="27" t="str">
        <x:v>ASM-2026-007</x:v>
      </x:c>
      <x:c r="I17" s="27" t="str">
        <x:v>LOG-2026-007-01</x:v>
      </x:c>
    </x:row>
    <x:row r="18">
      <x:c r="A18" s="28" t="str">
        <x:v>Clinical Nutrition</x:v>
      </x:c>
      <x:c r="B18" s="37" t="n">
        <x:v>46044</x:v>
      </x:c>
      <x:c r="C18" s="26" t="str">
        <x:v>RAH01-2026-007</x:v>
      </x:c>
      <x:c r="D18" s="38" t="n">
        <x:v>46045.49722222222</x:v>
      </x:c>
      <x:c r="E18" s="25" t="str">
        <x:v>IN_REVIEW</x:v>
      </x:c>
      <x:c r="F18" s="25" t="str">
        <x:v>Occupational-health administrator</x:v>
      </x:c>
      <x:c r="G18" s="25" t="str">
        <x:v>Submission opened and checked against the department risk profile.</x:v>
      </x:c>
      <x:c r="H18" s="27" t="str">
        <x:v>ASM-2026-007</x:v>
      </x:c>
      <x:c r="I18" s="27" t="str">
        <x:v>LOG-2026-007-02</x:v>
      </x:c>
    </x:row>
    <x:row r="19">
      <x:c r="A19" s="28" t="str">
        <x:v>Dental</x:v>
      </x:c>
      <x:c r="B19" s="37" t="n">
        <x:v>46078</x:v>
      </x:c>
      <x:c r="C19" s="26" t="str">
        <x:v>RAH01-2026-008</x:v>
      </x:c>
      <x:c r="D19" s="38" t="n">
        <x:v>46079.080555555556</x:v>
      </x:c>
      <x:c r="E19" s="25" t="str">
        <x:v>SUBMITTED</x:v>
      </x:c>
      <x:c r="F19" s="25" t="str">
        <x:v>Occupational-health evaluator — Dental</x:v>
      </x:c>
      <x:c r="G19" s="25" t="str">
        <x:v>Synthetic RAH.01 assessment submitted for workflow simulation.</x:v>
      </x:c>
      <x:c r="H19" s="27" t="str">
        <x:v>ASM-2026-008</x:v>
      </x:c>
      <x:c r="I19" s="27" t="str">
        <x:v>LOG-2026-008-01</x:v>
      </x:c>
    </x:row>
    <x:row r="20">
      <x:c r="A20" s="28" t="str">
        <x:v>Dental</x:v>
      </x:c>
      <x:c r="B20" s="37" t="n">
        <x:v>46078</x:v>
      </x:c>
      <x:c r="C20" s="26" t="str">
        <x:v>RAH01-2026-008</x:v>
      </x:c>
      <x:c r="D20" s="38" t="n">
        <x:v>46079.21111111111</x:v>
      </x:c>
      <x:c r="E20" s="25" t="str">
        <x:v>IN_REVIEW</x:v>
      </x:c>
      <x:c r="F20" s="25" t="str">
        <x:v>Occupational-health administrator</x:v>
      </x:c>
      <x:c r="G20" s="25" t="str">
        <x:v>Submission opened and checked against the department risk profile.</x:v>
      </x:c>
      <x:c r="H20" s="27" t="str">
        <x:v>ASM-2026-008</x:v>
      </x:c>
      <x:c r="I20" s="27" t="str">
        <x:v>LOG-2026-008-02</x:v>
      </x:c>
    </x:row>
    <x:row r="21">
      <x:c r="A21" s="28" t="str">
        <x:v>Dental</x:v>
      </x:c>
      <x:c r="B21" s="37" t="n">
        <x:v>46078</x:v>
      </x:c>
      <x:c r="C21" s="26" t="str">
        <x:v>RAH01-2026-008</x:v>
      </x:c>
      <x:c r="D21" s="38" t="n">
        <x:v>46081.08611111111</x:v>
      </x:c>
      <x:c r="E21" s="25" t="str">
        <x:v>CLOSED</x:v>
      </x:c>
      <x:c r="F21" s="25" t="str">
        <x:v>Occupational-health administrator</x:v>
      </x:c>
      <x:c r="G21" s="25" t="str">
        <x:v>Review completed and follow-up ownership recorded; synthetic record only.</x:v>
      </x:c>
      <x:c r="H21" s="27" t="str">
        <x:v>ASM-2026-008</x:v>
      </x:c>
      <x:c r="I21" s="27" t="str">
        <x:v>LOG-2026-008-03</x:v>
      </x:c>
    </x:row>
    <x:row r="22">
      <x:c r="A22" s="28" t="str">
        <x:v>Dermatology</x:v>
      </x:c>
      <x:c r="B22" s="37" t="n">
        <x:v>46084</x:v>
      </x:c>
      <x:c r="C22" s="26" t="str">
        <x:v>RAH01-2026-009</x:v>
      </x:c>
      <x:c r="D22" s="38" t="n">
        <x:v>46085.08541666667</x:v>
      </x:c>
      <x:c r="E22" s="25" t="str">
        <x:v>SUBMITTED</x:v>
      </x:c>
      <x:c r="F22" s="25" t="str">
        <x:v>Occupational-health evaluator — Dermatology</x:v>
      </x:c>
      <x:c r="G22" s="25" t="str">
        <x:v>Synthetic RAH.01 assessment submitted for workflow simulation.</x:v>
      </x:c>
      <x:c r="H22" s="27" t="str">
        <x:v>ASM-2026-009</x:v>
      </x:c>
      <x:c r="I22" s="27" t="str">
        <x:v>LOG-2026-009-01</x:v>
      </x:c>
    </x:row>
    <x:row r="23">
      <x:c r="A23" s="28" t="str">
        <x:v>Dermatology</x:v>
      </x:c>
      <x:c r="B23" s="37" t="n">
        <x:v>46084</x:v>
      </x:c>
      <x:c r="C23" s="26" t="str">
        <x:v>RAH01-2026-009</x:v>
      </x:c>
      <x:c r="D23" s="38" t="n">
        <x:v>46085.21666666667</x:v>
      </x:c>
      <x:c r="E23" s="25" t="str">
        <x:v>IN_REVIEW</x:v>
      </x:c>
      <x:c r="F23" s="25" t="str">
        <x:v>Occupational-health administrator</x:v>
      </x:c>
      <x:c r="G23" s="25" t="str">
        <x:v>Submission opened and checked against the department risk profile.</x:v>
      </x:c>
      <x:c r="H23" s="27" t="str">
        <x:v>ASM-2026-009</x:v>
      </x:c>
      <x:c r="I23" s="27" t="str">
        <x:v>LOG-2026-009-02</x:v>
      </x:c>
    </x:row>
    <x:row r="24">
      <x:c r="A24" s="28" t="str">
        <x:v>Dermatology</x:v>
      </x:c>
      <x:c r="B24" s="37" t="n">
        <x:v>46084</x:v>
      </x:c>
      <x:c r="C24" s="26" t="str">
        <x:v>RAH01-2026-009</x:v>
      </x:c>
      <x:c r="D24" s="38" t="n">
        <x:v>46087.09166666667</x:v>
      </x:c>
      <x:c r="E24" s="25" t="str">
        <x:v>CLOSED</x:v>
      </x:c>
      <x:c r="F24" s="25" t="str">
        <x:v>Occupational-health administrator</x:v>
      </x:c>
      <x:c r="G24" s="25" t="str">
        <x:v>Review completed and follow-up ownership recorded; synthetic record only.</x:v>
      </x:c>
      <x:c r="H24" s="27" t="str">
        <x:v>ASM-2026-009</x:v>
      </x:c>
      <x:c r="I24" s="27" t="str">
        <x:v>LOG-2026-009-03</x:v>
      </x:c>
    </x:row>
    <x:row r="25">
      <x:c r="A25" s="28" t="str">
        <x:v>Diagnostic Imaging</x:v>
      </x:c>
      <x:c r="B25" s="37" t="n">
        <x:v>46118</x:v>
      </x:c>
      <x:c r="C25" s="26" t="str">
        <x:v>RAH01-2026-010</x:v>
      </x:c>
      <x:c r="D25" s="38" t="n">
        <x:v>46119.131944444445</x:v>
      </x:c>
      <x:c r="E25" s="25" t="str">
        <x:v>SUBMITTED</x:v>
      </x:c>
      <x:c r="F25" s="25" t="str">
        <x:v>Occupational-health evaluator — Diagnostic Imaging</x:v>
      </x:c>
      <x:c r="G25" s="25" t="str">
        <x:v>Synthetic RAH.01 assessment submitted for workflow simulation.</x:v>
      </x:c>
      <x:c r="H25" s="27" t="str">
        <x:v>ASM-2026-010</x:v>
      </x:c>
      <x:c r="I25" s="27" t="str">
        <x:v>LOG-2026-010-01</x:v>
      </x:c>
    </x:row>
    <x:row r="26">
      <x:c r="A26" s="28" t="str">
        <x:v>Diagnostic Imaging</x:v>
      </x:c>
      <x:c r="B26" s="37" t="n">
        <x:v>46118</x:v>
      </x:c>
      <x:c r="C26" s="26" t="str">
        <x:v>RAH01-2026-010</x:v>
      </x:c>
      <x:c r="D26" s="38" t="n">
        <x:v>46119.26388888889</x:v>
      </x:c>
      <x:c r="E26" s="25" t="str">
        <x:v>IN_REVIEW</x:v>
      </x:c>
      <x:c r="F26" s="25" t="str">
        <x:v>Occupational-health administrator</x:v>
      </x:c>
      <x:c r="G26" s="25" t="str">
        <x:v>Submission opened and checked against the department risk profile.</x:v>
      </x:c>
      <x:c r="H26" s="27" t="str">
        <x:v>ASM-2026-010</x:v>
      </x:c>
      <x:c r="I26" s="27" t="str">
        <x:v>LOG-2026-010-02</x:v>
      </x:c>
    </x:row>
    <x:row r="27">
      <x:c r="A27" s="28" t="str">
        <x:v>Diagnostic Imaging</x:v>
      </x:c>
      <x:c r="B27" s="37" t="n">
        <x:v>46118</x:v>
      </x:c>
      <x:c r="C27" s="26" t="str">
        <x:v>RAH01-2026-010</x:v>
      </x:c>
      <x:c r="D27" s="38" t="n">
        <x:v>46120.13888888889</x:v>
      </x:c>
      <x:c r="E27" s="25" t="str">
        <x:v>RETURNED</x:v>
      </x:c>
      <x:c r="F27" s="25" t="str">
        <x:v>Occupational-health administrator</x:v>
      </x:c>
      <x:c r="G27" s="25" t="str">
        <x:v>Returned for clearer evidence on one control measure; synthetic record only.</x:v>
      </x:c>
      <x:c r="H27" s="27" t="str">
        <x:v>ASM-2026-010</x:v>
      </x:c>
      <x:c r="I27" s="27" t="str">
        <x:v>LOG-2026-010-03</x:v>
      </x:c>
    </x:row>
    <x:row r="28">
      <x:c r="A28" s="28" t="str">
        <x:v>Emergency Medical Service</x:v>
      </x:c>
      <x:c r="B28" s="37" t="n">
        <x:v>46151</x:v>
      </x:c>
      <x:c r="C28" s="26" t="str">
        <x:v>RAH01-2026-011</x:v>
      </x:c>
      <x:c r="D28" s="38" t="n">
        <x:v>46152.17847222222</x:v>
      </x:c>
      <x:c r="E28" s="25" t="str">
        <x:v>SUBMITTED</x:v>
      </x:c>
      <x:c r="F28" s="25" t="str">
        <x:v>Occupational-health evaluator — Emergency Medical Service</x:v>
      </x:c>
      <x:c r="G28" s="25" t="str">
        <x:v>Synthetic RAH.01 assessment submitted for workflow simulation.</x:v>
      </x:c>
      <x:c r="H28" s="27" t="str">
        <x:v>ASM-2026-011</x:v>
      </x:c>
      <x:c r="I28" s="27" t="str">
        <x:v>LOG-2026-011-01</x:v>
      </x:c>
    </x:row>
    <x:row r="29">
      <x:c r="A29" s="28" t="str">
        <x:v>Endocrinology</x:v>
      </x:c>
      <x:c r="B29" s="37" t="n">
        <x:v>46185</x:v>
      </x:c>
      <x:c r="C29" s="26" t="str">
        <x:v>RAH01-2026-012</x:v>
      </x:c>
      <x:c r="D29" s="38" t="n">
        <x:v>46186.225</x:v>
      </x:c>
      <x:c r="E29" s="25" t="str">
        <x:v>SUBMITTED</x:v>
      </x:c>
      <x:c r="F29" s="25" t="str">
        <x:v>Occupational-health evaluator — Endocrinology</x:v>
      </x:c>
      <x:c r="G29" s="25" t="str">
        <x:v>Synthetic RAH.01 assessment submitted for workflow simulation.</x:v>
      </x:c>
      <x:c r="H29" s="27" t="str">
        <x:v>ASM-2026-012</x:v>
      </x:c>
      <x:c r="I29" s="27" t="str">
        <x:v>LOG-2026-012-01</x:v>
      </x:c>
    </x:row>
    <x:row r="30">
      <x:c r="A30" s="28" t="str">
        <x:v>Endocrinology</x:v>
      </x:c>
      <x:c r="B30" s="37" t="n">
        <x:v>46185</x:v>
      </x:c>
      <x:c r="C30" s="26" t="str">
        <x:v>RAH01-2026-012</x:v>
      </x:c>
      <x:c r="D30" s="38" t="n">
        <x:v>46186.35833333333</x:v>
      </x:c>
      <x:c r="E30" s="25" t="str">
        <x:v>IN_REVIEW</x:v>
      </x:c>
      <x:c r="F30" s="25" t="str">
        <x:v>Occupational-health administrator</x:v>
      </x:c>
      <x:c r="G30" s="25" t="str">
        <x:v>Submission opened and checked against the department risk profile.</x:v>
      </x:c>
      <x:c r="H30" s="27" t="str">
        <x:v>ASM-2026-012</x:v>
      </x:c>
      <x:c r="I30" s="27" t="str">
        <x:v>LOG-2026-012-02</x:v>
      </x:c>
    </x:row>
    <x:row r="31">
      <x:c r="A31" s="28" t="str">
        <x:v>ENT</x:v>
      </x:c>
      <x:c r="B31" s="37" t="n">
        <x:v>46037</x:v>
      </x:c>
      <x:c r="C31" s="26" t="str">
        <x:v>RAH01-2026-013</x:v>
      </x:c>
      <x:c r="D31" s="38" t="n">
        <x:v>46038.271527777775</x:v>
      </x:c>
      <x:c r="E31" s="25" t="str">
        <x:v>SUBMITTED</x:v>
      </x:c>
      <x:c r="F31" s="25" t="str">
        <x:v>Occupational-health evaluator — ENT</x:v>
      </x:c>
      <x:c r="G31" s="25" t="str">
        <x:v>Synthetic RAH.01 assessment submitted for workflow simulation.</x:v>
      </x:c>
      <x:c r="H31" s="27" t="str">
        <x:v>ASM-2026-013</x:v>
      </x:c>
      <x:c r="I31" s="27" t="str">
        <x:v>LOG-2026-013-01</x:v>
      </x:c>
    </x:row>
    <x:row r="32">
      <x:c r="A32" s="28" t="str">
        <x:v>ENT</x:v>
      </x:c>
      <x:c r="B32" s="37" t="n">
        <x:v>46037</x:v>
      </x:c>
      <x:c r="C32" s="26" t="str">
        <x:v>RAH01-2026-013</x:v>
      </x:c>
      <x:c r="D32" s="38" t="n">
        <x:v>46038.40555555555</x:v>
      </x:c>
      <x:c r="E32" s="25" t="str">
        <x:v>IN_REVIEW</x:v>
      </x:c>
      <x:c r="F32" s="25" t="str">
        <x:v>Occupational-health administrator</x:v>
      </x:c>
      <x:c r="G32" s="25" t="str">
        <x:v>Submission opened and checked against the department risk profile.</x:v>
      </x:c>
      <x:c r="H32" s="27" t="str">
        <x:v>ASM-2026-013</x:v>
      </x:c>
      <x:c r="I32" s="27" t="str">
        <x:v>LOG-2026-013-02</x:v>
      </x:c>
    </x:row>
    <x:row r="33">
      <x:c r="A33" s="28" t="str">
        <x:v>ENT</x:v>
      </x:c>
      <x:c r="B33" s="37" t="n">
        <x:v>46037</x:v>
      </x:c>
      <x:c r="C33" s="26" t="str">
        <x:v>RAH01-2026-013</x:v>
      </x:c>
      <x:c r="D33" s="38" t="n">
        <x:v>46040.28055555555</x:v>
      </x:c>
      <x:c r="E33" s="25" t="str">
        <x:v>CLOSED</x:v>
      </x:c>
      <x:c r="F33" s="25" t="str">
        <x:v>Occupational-health administrator</x:v>
      </x:c>
      <x:c r="G33" s="25" t="str">
        <x:v>Review completed and follow-up ownership recorded; synthetic record only.</x:v>
      </x:c>
      <x:c r="H33" s="27" t="str">
        <x:v>ASM-2026-013</x:v>
      </x:c>
      <x:c r="I33" s="27" t="str">
        <x:v>LOG-2026-013-03</x:v>
      </x:c>
    </x:row>
    <x:row r="34">
      <x:c r="A34" s="28" t="str">
        <x:v>Environmental Health</x:v>
      </x:c>
      <x:c r="B34" s="37" t="n">
        <x:v>46071</x:v>
      </x:c>
      <x:c r="C34" s="26" t="str">
        <x:v>RAH01-2026-014</x:v>
      </x:c>
      <x:c r="D34" s="38" t="n">
        <x:v>46072.31805555556</x:v>
      </x:c>
      <x:c r="E34" s="25" t="str">
        <x:v>SUBMITTED</x:v>
      </x:c>
      <x:c r="F34" s="25" t="str">
        <x:v>Occupational-health evaluator — Environmental Health</x:v>
      </x:c>
      <x:c r="G34" s="25" t="str">
        <x:v>Synthetic RAH.01 assessment submitted for workflow simulation.</x:v>
      </x:c>
      <x:c r="H34" s="27" t="str">
        <x:v>ASM-2026-014</x:v>
      </x:c>
      <x:c r="I34" s="27" t="str">
        <x:v>LOG-2026-014-01</x:v>
      </x:c>
    </x:row>
    <x:row r="35">
      <x:c r="A35" s="28" t="str">
        <x:v>Environmental Health</x:v>
      </x:c>
      <x:c r="B35" s="37" t="n">
        <x:v>46071</x:v>
      </x:c>
      <x:c r="C35" s="26" t="str">
        <x:v>RAH01-2026-014</x:v>
      </x:c>
      <x:c r="D35" s="38" t="n">
        <x:v>46072.45277777778</x:v>
      </x:c>
      <x:c r="E35" s="25" t="str">
        <x:v>IN_REVIEW</x:v>
      </x:c>
      <x:c r="F35" s="25" t="str">
        <x:v>Occupational-health administrator</x:v>
      </x:c>
      <x:c r="G35" s="25" t="str">
        <x:v>Submission opened and checked against the department risk profile.</x:v>
      </x:c>
      <x:c r="H35" s="27" t="str">
        <x:v>ASM-2026-014</x:v>
      </x:c>
      <x:c r="I35" s="27" t="str">
        <x:v>LOG-2026-014-02</x:v>
      </x:c>
    </x:row>
    <x:row r="36">
      <x:c r="A36" s="28" t="str">
        <x:v>Environmental Health</x:v>
      </x:c>
      <x:c r="B36" s="37" t="n">
        <x:v>46071</x:v>
      </x:c>
      <x:c r="C36" s="26" t="str">
        <x:v>RAH01-2026-014</x:v>
      </x:c>
      <x:c r="D36" s="38" t="n">
        <x:v>46074.32777777778</x:v>
      </x:c>
      <x:c r="E36" s="25" t="str">
        <x:v>CLOSED</x:v>
      </x:c>
      <x:c r="F36" s="25" t="str">
        <x:v>Occupational-health administrator</x:v>
      </x:c>
      <x:c r="G36" s="25" t="str">
        <x:v>Review completed and follow-up ownership recorded; synthetic record only.</x:v>
      </x:c>
      <x:c r="H36" s="27" t="str">
        <x:v>ASM-2026-014</x:v>
      </x:c>
      <x:c r="I36" s="27" t="str">
        <x:v>LOG-2026-014-03</x:v>
      </x:c>
    </x:row>
    <x:row r="37">
      <x:c r="A37" s="28" t="str">
        <x:v>Eye Clinic</x:v>
      </x:c>
      <x:c r="B37" s="37" t="n">
        <x:v>46102</x:v>
      </x:c>
      <x:c r="C37" s="26" t="str">
        <x:v>RAH01-2026-015</x:v>
      </x:c>
      <x:c r="D37" s="38" t="n">
        <x:v>46103.364583333336</x:v>
      </x:c>
      <x:c r="E37" s="25" t="str">
        <x:v>SUBMITTED</x:v>
      </x:c>
      <x:c r="F37" s="25" t="str">
        <x:v>Occupational-health evaluator — Eye Clinic</x:v>
      </x:c>
      <x:c r="G37" s="25" t="str">
        <x:v>Synthetic RAH.01 assessment submitted for workflow simulation.</x:v>
      </x:c>
      <x:c r="H37" s="27" t="str">
        <x:v>ASM-2026-015</x:v>
      </x:c>
      <x:c r="I37" s="27" t="str">
        <x:v>LOG-2026-015-01</x:v>
      </x:c>
    </x:row>
    <x:row r="38">
      <x:c r="A38" s="28" t="str">
        <x:v>Eye Clinic</x:v>
      </x:c>
      <x:c r="B38" s="37" t="n">
        <x:v>46102</x:v>
      </x:c>
      <x:c r="C38" s="26" t="str">
        <x:v>RAH01-2026-015</x:v>
      </x:c>
      <x:c r="D38" s="38" t="n">
        <x:v>46103.5</x:v>
      </x:c>
      <x:c r="E38" s="25" t="str">
        <x:v>IN_REVIEW</x:v>
      </x:c>
      <x:c r="F38" s="25" t="str">
        <x:v>Occupational-health administrator</x:v>
      </x:c>
      <x:c r="G38" s="25" t="str">
        <x:v>Submission opened and checked against the department risk profile.</x:v>
      </x:c>
      <x:c r="H38" s="27" t="str">
        <x:v>ASM-2026-015</x:v>
      </x:c>
      <x:c r="I38" s="27" t="str">
        <x:v>LOG-2026-015-02</x:v>
      </x:c>
    </x:row>
    <x:row r="39">
      <x:c r="A39" s="28" t="str">
        <x:v>Eye Clinic</x:v>
      </x:c>
      <x:c r="B39" s="37" t="n">
        <x:v>46102</x:v>
      </x:c>
      <x:c r="C39" s="26" t="str">
        <x:v>RAH01-2026-015</x:v>
      </x:c>
      <x:c r="D39" s="38" t="n">
        <x:v>46104.375</x:v>
      </x:c>
      <x:c r="E39" s="25" t="str">
        <x:v>RETURNED</x:v>
      </x:c>
      <x:c r="F39" s="25" t="str">
        <x:v>Occupational-health administrator</x:v>
      </x:c>
      <x:c r="G39" s="25" t="str">
        <x:v>Returned for clearer evidence on one control measure; synthetic record only.</x:v>
      </x:c>
      <x:c r="H39" s="27" t="str">
        <x:v>ASM-2026-015</x:v>
      </x:c>
      <x:c r="I39" s="27" t="str">
        <x:v>LOG-2026-015-03</x:v>
      </x:c>
    </x:row>
    <x:row r="40">
      <x:c r="A40" s="28" t="str">
        <x:v>Family Medicine</x:v>
      </x:c>
      <x:c r="B40" s="37" t="n">
        <x:v>46136</x:v>
      </x:c>
      <x:c r="C40" s="26" t="str">
        <x:v>RAH01-2026-016</x:v>
      </x:c>
      <x:c r="D40" s="38" t="n">
        <x:v>46137.07777777778</x:v>
      </x:c>
      <x:c r="E40" s="25" t="str">
        <x:v>SUBMITTED</x:v>
      </x:c>
      <x:c r="F40" s="25" t="str">
        <x:v>Occupational-health evaluator — Family Medicine</x:v>
      </x:c>
      <x:c r="G40" s="25" t="str">
        <x:v>Synthetic RAH.01 assessment submitted for workflow simulation.</x:v>
      </x:c>
      <x:c r="H40" s="27" t="str">
        <x:v>ASM-2026-016</x:v>
      </x:c>
      <x:c r="I40" s="27" t="str">
        <x:v>LOG-2026-016-01</x:v>
      </x:c>
    </x:row>
    <x:row r="41">
      <x:c r="A41" s="28" t="str">
        <x:v>Gastroenterology</x:v>
      </x:c>
      <x:c r="B41" s="37" t="n">
        <x:v>46144</x:v>
      </x:c>
      <x:c r="C41" s="26" t="str">
        <x:v>RAH01-2026-017</x:v>
      </x:c>
      <x:c r="D41" s="38" t="n">
        <x:v>46145.12430555555</x:v>
      </x:c>
      <x:c r="E41" s="25" t="str">
        <x:v>SUBMITTED</x:v>
      </x:c>
      <x:c r="F41" s="25" t="str">
        <x:v>Occupational-health evaluator — Gastroenterology</x:v>
      </x:c>
      <x:c r="G41" s="25" t="str">
        <x:v>Synthetic RAH.01 assessment submitted for workflow simulation.</x:v>
      </x:c>
      <x:c r="H41" s="27" t="str">
        <x:v>ASM-2026-017</x:v>
      </x:c>
      <x:c r="I41" s="27" t="str">
        <x:v>LOG-2026-017-01</x:v>
      </x:c>
    </x:row>
    <x:row r="42">
      <x:c r="A42" s="28" t="str">
        <x:v>Gastroenterology</x:v>
      </x:c>
      <x:c r="B42" s="37" t="n">
        <x:v>46144</x:v>
      </x:c>
      <x:c r="C42" s="26" t="str">
        <x:v>RAH01-2026-017</x:v>
      </x:c>
      <x:c r="D42" s="38" t="n">
        <x:v>46145.26111111111</x:v>
      </x:c>
      <x:c r="E42" s="25" t="str">
        <x:v>IN_REVIEW</x:v>
      </x:c>
      <x:c r="F42" s="25" t="str">
        <x:v>Occupational-health administrator</x:v>
      </x:c>
      <x:c r="G42" s="25" t="str">
        <x:v>Submission opened and checked against the department risk profile.</x:v>
      </x:c>
      <x:c r="H42" s="27" t="str">
        <x:v>ASM-2026-017</x:v>
      </x:c>
      <x:c r="I42" s="27" t="str">
        <x:v>LOG-2026-017-02</x:v>
      </x:c>
    </x:row>
    <x:row r="43">
      <x:c r="A43" s="28" t="str">
        <x:v>General Surgery</x:v>
      </x:c>
      <x:c r="B43" s="37" t="n">
        <x:v>46178</x:v>
      </x:c>
      <x:c r="C43" s="26" t="str">
        <x:v>RAH01-2026-018</x:v>
      </x:c>
      <x:c r="D43" s="38" t="n">
        <x:v>46179.129166666666</x:v>
      </x:c>
      <x:c r="E43" s="25" t="str">
        <x:v>SUBMITTED</x:v>
      </x:c>
      <x:c r="F43" s="25" t="str">
        <x:v>Occupational-health evaluator — General Surgery</x:v>
      </x:c>
      <x:c r="G43" s="25" t="str">
        <x:v>Synthetic RAH.01 assessment submitted for workflow simulation.</x:v>
      </x:c>
      <x:c r="H43" s="27" t="str">
        <x:v>ASM-2026-018</x:v>
      </x:c>
      <x:c r="I43" s="27" t="str">
        <x:v>LOG-2026-018-01</x:v>
      </x:c>
    </x:row>
    <x:row r="44">
      <x:c r="A44" s="28" t="str">
        <x:v>General Surgery</x:v>
      </x:c>
      <x:c r="B44" s="37" t="n">
        <x:v>46178</x:v>
      </x:c>
      <x:c r="C44" s="26" t="str">
        <x:v>RAH01-2026-018</x:v>
      </x:c>
      <x:c r="D44" s="38" t="n">
        <x:v>46179.26666666667</x:v>
      </x:c>
      <x:c r="E44" s="25" t="str">
        <x:v>IN_REVIEW</x:v>
      </x:c>
      <x:c r="F44" s="25" t="str">
        <x:v>Occupational-health administrator</x:v>
      </x:c>
      <x:c r="G44" s="25" t="str">
        <x:v>Submission opened and checked against the department risk profile.</x:v>
      </x:c>
      <x:c r="H44" s="27" t="str">
        <x:v>ASM-2026-018</x:v>
      </x:c>
      <x:c r="I44" s="27" t="str">
        <x:v>LOG-2026-018-02</x:v>
      </x:c>
    </x:row>
    <x:row r="45">
      <x:c r="A45" s="28" t="str">
        <x:v>General Surgery</x:v>
      </x:c>
      <x:c r="B45" s="37" t="n">
        <x:v>46178</x:v>
      </x:c>
      <x:c r="C45" s="26" t="str">
        <x:v>RAH01-2026-018</x:v>
      </x:c>
      <x:c r="D45" s="38" t="n">
        <x:v>46181.14166666667</x:v>
      </x:c>
      <x:c r="E45" s="25" t="str">
        <x:v>CLOSED</x:v>
      </x:c>
      <x:c r="F45" s="25" t="str">
        <x:v>Occupational-health administrator</x:v>
      </x:c>
      <x:c r="G45" s="25" t="str">
        <x:v>Review completed and follow-up ownership recorded; synthetic record only.</x:v>
      </x:c>
      <x:c r="H45" s="27" t="str">
        <x:v>ASM-2026-018</x:v>
      </x:c>
      <x:c r="I45" s="27" t="str">
        <x:v>LOG-2026-018-03</x:v>
      </x:c>
    </x:row>
    <x:row r="46">
      <x:c r="A46" s="28" t="str">
        <x:v>Haemodialysis</x:v>
      </x:c>
      <x:c r="B46" s="37" t="n">
        <x:v>46030</x:v>
      </x:c>
      <x:c r="C46" s="26" t="str">
        <x:v>RAH01-2026-019</x:v>
      </x:c>
      <x:c r="D46" s="38" t="n">
        <x:v>46031.17569444444</x:v>
      </x:c>
      <x:c r="E46" s="25" t="str">
        <x:v>SUBMITTED</x:v>
      </x:c>
      <x:c r="F46" s="25" t="str">
        <x:v>Occupational-health evaluator — Haemodialysis</x:v>
      </x:c>
      <x:c r="G46" s="25" t="str">
        <x:v>Synthetic RAH.01 assessment submitted for workflow simulation.</x:v>
      </x:c>
      <x:c r="H46" s="27" t="str">
        <x:v>ASM-2026-019</x:v>
      </x:c>
      <x:c r="I46" s="27" t="str">
        <x:v>LOG-2026-019-01</x:v>
      </x:c>
    </x:row>
    <x:row r="47">
      <x:c r="A47" s="28" t="str">
        <x:v>Haemodialysis</x:v>
      </x:c>
      <x:c r="B47" s="37" t="n">
        <x:v>46030</x:v>
      </x:c>
      <x:c r="C47" s="26" t="str">
        <x:v>RAH01-2026-019</x:v>
      </x:c>
      <x:c r="D47" s="38" t="n">
        <x:v>46031.313888888886</x:v>
      </x:c>
      <x:c r="E47" s="25" t="str">
        <x:v>IN_REVIEW</x:v>
      </x:c>
      <x:c r="F47" s="25" t="str">
        <x:v>Occupational-health administrator</x:v>
      </x:c>
      <x:c r="G47" s="25" t="str">
        <x:v>Submission opened and checked against the department risk profile.</x:v>
      </x:c>
      <x:c r="H47" s="27" t="str">
        <x:v>ASM-2026-019</x:v>
      </x:c>
      <x:c r="I47" s="27" t="str">
        <x:v>LOG-2026-019-02</x:v>
      </x:c>
    </x:row>
    <x:row r="48">
      <x:c r="A48" s="28" t="str">
        <x:v>Haemodialysis</x:v>
      </x:c>
      <x:c r="B48" s="37" t="n">
        <x:v>46030</x:v>
      </x:c>
      <x:c r="C48" s="26" t="str">
        <x:v>RAH01-2026-019</x:v>
      </x:c>
      <x:c r="D48" s="38" t="n">
        <x:v>46033.188888888886</x:v>
      </x:c>
      <x:c r="E48" s="25" t="str">
        <x:v>CLOSED</x:v>
      </x:c>
      <x:c r="F48" s="25" t="str">
        <x:v>Occupational-health administrator</x:v>
      </x:c>
      <x:c r="G48" s="25" t="str">
        <x:v>Review completed and follow-up ownership recorded; synthetic record only.</x:v>
      </x:c>
      <x:c r="H48" s="27" t="str">
        <x:v>ASM-2026-019</x:v>
      </x:c>
      <x:c r="I48" s="27" t="str">
        <x:v>LOG-2026-019-03</x:v>
      </x:c>
    </x:row>
    <x:row r="49">
      <x:c r="A49" s="28" t="str">
        <x:v>Health Promotion</x:v>
      </x:c>
      <x:c r="B49" s="37" t="n">
        <x:v>46064</x:v>
      </x:c>
      <x:c r="C49" s="26" t="str">
        <x:v>RAH01-2026-020</x:v>
      </x:c>
      <x:c r="D49" s="38" t="n">
        <x:v>46065.22222222222</x:v>
      </x:c>
      <x:c r="E49" s="25" t="str">
        <x:v>SUBMITTED</x:v>
      </x:c>
      <x:c r="F49" s="25" t="str">
        <x:v>Occupational-health evaluator — Health Promotion</x:v>
      </x:c>
      <x:c r="G49" s="25" t="str">
        <x:v>Synthetic RAH.01 assessment submitted for workflow simulation.</x:v>
      </x:c>
      <x:c r="H49" s="27" t="str">
        <x:v>ASM-2026-020</x:v>
      </x:c>
      <x:c r="I49" s="27" t="str">
        <x:v>LOG-2026-020-01</x:v>
      </x:c>
    </x:row>
    <x:row r="50">
      <x:c r="A50" s="28" t="str">
        <x:v>Health Promotion</x:v>
      </x:c>
      <x:c r="B50" s="37" t="n">
        <x:v>46064</x:v>
      </x:c>
      <x:c r="C50" s="26" t="str">
        <x:v>RAH01-2026-020</x:v>
      </x:c>
      <x:c r="D50" s="38" t="n">
        <x:v>46065.36111111111</x:v>
      </x:c>
      <x:c r="E50" s="25" t="str">
        <x:v>IN_REVIEW</x:v>
      </x:c>
      <x:c r="F50" s="25" t="str">
        <x:v>Occupational-health administrator</x:v>
      </x:c>
      <x:c r="G50" s="25" t="str">
        <x:v>Submission opened and checked against the department risk profile.</x:v>
      </x:c>
      <x:c r="H50" s="27" t="str">
        <x:v>ASM-2026-020</x:v>
      </x:c>
      <x:c r="I50" s="27" t="str">
        <x:v>LOG-2026-020-02</x:v>
      </x:c>
    </x:row>
    <x:row r="51">
      <x:c r="A51" s="28" t="str">
        <x:v>Health Promotion</x:v>
      </x:c>
      <x:c r="B51" s="37" t="n">
        <x:v>46064</x:v>
      </x:c>
      <x:c r="C51" s="26" t="str">
        <x:v>RAH01-2026-020</x:v>
      </x:c>
      <x:c r="D51" s="38" t="n">
        <x:v>46066.23611111111</x:v>
      </x:c>
      <x:c r="E51" s="25" t="str">
        <x:v>RETURNED</x:v>
      </x:c>
      <x:c r="F51" s="25" t="str">
        <x:v>Occupational-health administrator</x:v>
      </x:c>
      <x:c r="G51" s="25" t="str">
        <x:v>Returned for clearer evidence on one control measure; synthetic record only.</x:v>
      </x:c>
      <x:c r="H51" s="27" t="str">
        <x:v>ASM-2026-020</x:v>
      </x:c>
      <x:c r="I51" s="27" t="str">
        <x:v>LOG-2026-020-03</x:v>
      </x:c>
    </x:row>
    <x:row r="52">
      <x:c r="A52" s="28" t="str">
        <x:v>Hematology</x:v>
      </x:c>
      <x:c r="B52" s="37" t="n">
        <x:v>46095</x:v>
      </x:c>
      <x:c r="C52" s="26" t="str">
        <x:v>RAH01-2026-021</x:v>
      </x:c>
      <x:c r="D52" s="38" t="n">
        <x:v>46096.26875</x:v>
      </x:c>
      <x:c r="E52" s="25" t="str">
        <x:v>SUBMITTED</x:v>
      </x:c>
      <x:c r="F52" s="25" t="str">
        <x:v>Occupational-health evaluator — Hematology</x:v>
      </x:c>
      <x:c r="G52" s="25" t="str">
        <x:v>Synthetic RAH.01 assessment submitted for workflow simulation.</x:v>
      </x:c>
      <x:c r="H52" s="27" t="str">
        <x:v>ASM-2026-021</x:v>
      </x:c>
      <x:c r="I52" s="27" t="str">
        <x:v>LOG-2026-021-01</x:v>
      </x:c>
    </x:row>
    <x:row r="53">
      <x:c r="A53" s="28" t="str">
        <x:v>ICU 1</x:v>
      </x:c>
      <x:c r="B53" s="37" t="n">
        <x:v>46129</x:v>
      </x:c>
      <x:c r="C53" s="26" t="str">
        <x:v>RAH01-2026-022</x:v>
      </x:c>
      <x:c r="D53" s="38" t="n">
        <x:v>46130.31527777778</x:v>
      </x:c>
      <x:c r="E53" s="25" t="str">
        <x:v>SUBMITTED</x:v>
      </x:c>
      <x:c r="F53" s="25" t="str">
        <x:v>Occupational-health evaluator — ICU 1</x:v>
      </x:c>
      <x:c r="G53" s="25" t="str">
        <x:v>Synthetic RAH.01 assessment submitted for workflow simulation.</x:v>
      </x:c>
      <x:c r="H53" s="27" t="str">
        <x:v>ASM-2026-022</x:v>
      </x:c>
      <x:c r="I53" s="27" t="str">
        <x:v>LOG-2026-022-01</x:v>
      </x:c>
    </x:row>
    <x:row r="54">
      <x:c r="A54" s="28" t="str">
        <x:v>ICU 1</x:v>
      </x:c>
      <x:c r="B54" s="37" t="n">
        <x:v>46129</x:v>
      </x:c>
      <x:c r="C54" s="26" t="str">
        <x:v>RAH01-2026-022</x:v>
      </x:c>
      <x:c r="D54" s="38" t="n">
        <x:v>46130.455555555556</x:v>
      </x:c>
      <x:c r="E54" s="25" t="str">
        <x:v>IN_REVIEW</x:v>
      </x:c>
      <x:c r="F54" s="25" t="str">
        <x:v>Occupational-health administrator</x:v>
      </x:c>
      <x:c r="G54" s="25" t="str">
        <x:v>Submission opened and checked against the department risk profile.</x:v>
      </x:c>
      <x:c r="H54" s="27" t="str">
        <x:v>ASM-2026-022</x:v>
      </x:c>
      <x:c r="I54" s="27" t="str">
        <x:v>LOG-2026-022-02</x:v>
      </x:c>
    </x:row>
    <x:row r="55">
      <x:c r="A55" s="28" t="str">
        <x:v>ICU 2</x:v>
      </x:c>
      <x:c r="B55" s="37" t="n">
        <x:v>46162</x:v>
      </x:c>
      <x:c r="C55" s="26" t="str">
        <x:v>RAH01-2026-023</x:v>
      </x:c>
      <x:c r="D55" s="38" t="n">
        <x:v>46163.361805555556</x:v>
      </x:c>
      <x:c r="E55" s="25" t="str">
        <x:v>SUBMITTED</x:v>
      </x:c>
      <x:c r="F55" s="25" t="str">
        <x:v>Occupational-health evaluator — ICU 2</x:v>
      </x:c>
      <x:c r="G55" s="25" t="str">
        <x:v>Synthetic RAH.01 assessment submitted for workflow simulation.</x:v>
      </x:c>
      <x:c r="H55" s="27" t="str">
        <x:v>ASM-2026-023</x:v>
      </x:c>
      <x:c r="I55" s="27" t="str">
        <x:v>LOG-2026-023-01</x:v>
      </x:c>
    </x:row>
    <x:row r="56">
      <x:c r="A56" s="28" t="str">
        <x:v>ICU 2</x:v>
      </x:c>
      <x:c r="B56" s="37" t="n">
        <x:v>46162</x:v>
      </x:c>
      <x:c r="C56" s="26" t="str">
        <x:v>RAH01-2026-023</x:v>
      </x:c>
      <x:c r="D56" s="38" t="n">
        <x:v>46163.50277777778</x:v>
      </x:c>
      <x:c r="E56" s="25" t="str">
        <x:v>IN_REVIEW</x:v>
      </x:c>
      <x:c r="F56" s="25" t="str">
        <x:v>Occupational-health administrator</x:v>
      </x:c>
      <x:c r="G56" s="25" t="str">
        <x:v>Submission opened and checked against the department risk profile.</x:v>
      </x:c>
      <x:c r="H56" s="27" t="str">
        <x:v>ASM-2026-023</x:v>
      </x:c>
      <x:c r="I56" s="27" t="str">
        <x:v>LOG-2026-023-02</x:v>
      </x:c>
    </x:row>
    <x:row r="57">
      <x:c r="A57" s="28" t="str">
        <x:v>ICU 2</x:v>
      </x:c>
      <x:c r="B57" s="37" t="n">
        <x:v>46162</x:v>
      </x:c>
      <x:c r="C57" s="26" t="str">
        <x:v>RAH01-2026-023</x:v>
      </x:c>
      <x:c r="D57" s="38" t="n">
        <x:v>46165.37777777778</x:v>
      </x:c>
      <x:c r="E57" s="25" t="str">
        <x:v>CLOSED</x:v>
      </x:c>
      <x:c r="F57" s="25" t="str">
        <x:v>Occupational-health administrator</x:v>
      </x:c>
      <x:c r="G57" s="25" t="str">
        <x:v>Review completed and follow-up ownership recorded; synthetic record only.</x:v>
      </x:c>
      <x:c r="H57" s="27" t="str">
        <x:v>ASM-2026-023</x:v>
      </x:c>
      <x:c r="I57" s="27" t="str">
        <x:v>LOG-2026-023-03</x:v>
      </x:c>
    </x:row>
    <x:row r="58">
      <x:c r="A58" s="28" t="str">
        <x:v>Infectious Diseases</x:v>
      </x:c>
      <x:c r="B58" s="37" t="n">
        <x:v>46196</x:v>
      </x:c>
      <x:c r="C58" s="26" t="str">
        <x:v>RAH01-2026-024</x:v>
      </x:c>
      <x:c r="D58" s="38" t="n">
        <x:v>46197.075</x:v>
      </x:c>
      <x:c r="E58" s="25" t="str">
        <x:v>SUBMITTED</x:v>
      </x:c>
      <x:c r="F58" s="25" t="str">
        <x:v>Occupational-health evaluator — Infectious Diseases</x:v>
      </x:c>
      <x:c r="G58" s="25" t="str">
        <x:v>Synthetic RAH.01 assessment submitted for workflow simulation.</x:v>
      </x:c>
      <x:c r="H58" s="27" t="str">
        <x:v>ASM-2026-024</x:v>
      </x:c>
      <x:c r="I58" s="27" t="str">
        <x:v>LOG-2026-024-01</x:v>
      </x:c>
    </x:row>
    <x:row r="59">
      <x:c r="A59" s="28" t="str">
        <x:v>Infectious Diseases</x:v>
      </x:c>
      <x:c r="B59" s="37" t="n">
        <x:v>46196</x:v>
      </x:c>
      <x:c r="C59" s="26" t="str">
        <x:v>RAH01-2026-024</x:v>
      </x:c>
      <x:c r="D59" s="38" t="n">
        <x:v>46197.21666666667</x:v>
      </x:c>
      <x:c r="E59" s="25" t="str">
        <x:v>IN_REVIEW</x:v>
      </x:c>
      <x:c r="F59" s="25" t="str">
        <x:v>Occupational-health administrator</x:v>
      </x:c>
      <x:c r="G59" s="25" t="str">
        <x:v>Submission opened and checked against the department risk profile.</x:v>
      </x:c>
      <x:c r="H59" s="27" t="str">
        <x:v>ASM-2026-024</x:v>
      </x:c>
      <x:c r="I59" s="27" t="str">
        <x:v>LOG-2026-024-02</x:v>
      </x:c>
    </x:row>
    <x:row r="60">
      <x:c r="A60" s="28" t="str">
        <x:v>Infectious Diseases</x:v>
      </x:c>
      <x:c r="B60" s="37" t="n">
        <x:v>46196</x:v>
      </x:c>
      <x:c r="C60" s="26" t="str">
        <x:v>RAH01-2026-024</x:v>
      </x:c>
      <x:c r="D60" s="38" t="n">
        <x:v>46199.09166666667</x:v>
      </x:c>
      <x:c r="E60" s="25" t="str">
        <x:v>CLOSED</x:v>
      </x:c>
      <x:c r="F60" s="25" t="str">
        <x:v>Occupational-health administrator</x:v>
      </x:c>
      <x:c r="G60" s="25" t="str">
        <x:v>Review completed and follow-up ownership recorded; synthetic record only.</x:v>
      </x:c>
      <x:c r="H60" s="27" t="str">
        <x:v>ASM-2026-024</x:v>
      </x:c>
      <x:c r="I60" s="27" t="str">
        <x:v>LOG-2026-024-03</x:v>
      </x:c>
    </x:row>
    <x:row r="61">
      <x:c r="A61" s="28" t="str">
        <x:v>Internal Medicine</x:v>
      </x:c>
      <x:c r="B61" s="37" t="n">
        <x:v>46023</x:v>
      </x:c>
      <x:c r="C61" s="26" t="str">
        <x:v>RAH01-2026-025</x:v>
      </x:c>
      <x:c r="D61" s="38" t="n">
        <x:v>46024.12152777778</x:v>
      </x:c>
      <x:c r="E61" s="25" t="str">
        <x:v>SUBMITTED</x:v>
      </x:c>
      <x:c r="F61" s="25" t="str">
        <x:v>Occupational-health evaluator — Internal Medicine</x:v>
      </x:c>
      <x:c r="G61" s="25" t="str">
        <x:v>Synthetic RAH.01 assessment submitted for workflow simulation.</x:v>
      </x:c>
      <x:c r="H61" s="27" t="str">
        <x:v>ASM-2026-025</x:v>
      </x:c>
      <x:c r="I61" s="27" t="str">
        <x:v>LOG-2026-025-01</x:v>
      </x:c>
    </x:row>
    <x:row r="62">
      <x:c r="A62" s="28" t="str">
        <x:v>Internal Medicine</x:v>
      </x:c>
      <x:c r="B62" s="37" t="n">
        <x:v>46023</x:v>
      </x:c>
      <x:c r="C62" s="26" t="str">
        <x:v>RAH01-2026-025</x:v>
      </x:c>
      <x:c r="D62" s="38" t="n">
        <x:v>46024.26388888889</x:v>
      </x:c>
      <x:c r="E62" s="25" t="str">
        <x:v>IN_REVIEW</x:v>
      </x:c>
      <x:c r="F62" s="25" t="str">
        <x:v>Occupational-health administrator</x:v>
      </x:c>
      <x:c r="G62" s="25" t="str">
        <x:v>Submission opened and checked against the department risk profile.</x:v>
      </x:c>
      <x:c r="H62" s="27" t="str">
        <x:v>ASM-2026-025</x:v>
      </x:c>
      <x:c r="I62" s="27" t="str">
        <x:v>LOG-2026-025-02</x:v>
      </x:c>
    </x:row>
    <x:row r="63">
      <x:c r="A63" s="28" t="str">
        <x:v>Internal Medicine</x:v>
      </x:c>
      <x:c r="B63" s="37" t="n">
        <x:v>46023</x:v>
      </x:c>
      <x:c r="C63" s="26" t="str">
        <x:v>RAH01-2026-025</x:v>
      </x:c>
      <x:c r="D63" s="38" t="n">
        <x:v>46025.13888888889</x:v>
      </x:c>
      <x:c r="E63" s="25" t="str">
        <x:v>RETURNED</x:v>
      </x:c>
      <x:c r="F63" s="25" t="str">
        <x:v>Occupational-health administrator</x:v>
      </x:c>
      <x:c r="G63" s="25" t="str">
        <x:v>Returned for clearer evidence on one control measure; synthetic record only.</x:v>
      </x:c>
      <x:c r="H63" s="27" t="str">
        <x:v>ASM-2026-025</x:v>
      </x:c>
      <x:c r="I63" s="27" t="str">
        <x:v>LOG-2026-025-03</x:v>
      </x:c>
    </x:row>
    <x:row r="64">
      <x:c r="A64" s="28" t="str">
        <x:v>Laboratory</x:v>
      </x:c>
      <x:c r="B64" s="37" t="n">
        <x:v>46057</x:v>
      </x:c>
      <x:c r="C64" s="26" t="str">
        <x:v>RAH01-2026-026</x:v>
      </x:c>
      <x:c r="D64" s="38" t="n">
        <x:v>46058.126388888886</x:v>
      </x:c>
      <x:c r="E64" s="25" t="str">
        <x:v>SUBMITTED</x:v>
      </x:c>
      <x:c r="F64" s="25" t="str">
        <x:v>Occupational-health evaluator — Laboratory</x:v>
      </x:c>
      <x:c r="G64" s="25" t="str">
        <x:v>Synthetic RAH.01 assessment submitted for workflow simulation.</x:v>
      </x:c>
      <x:c r="H64" s="27" t="str">
        <x:v>ASM-2026-026</x:v>
      </x:c>
      <x:c r="I64" s="27" t="str">
        <x:v>LOG-2026-026-01</x:v>
      </x:c>
    </x:row>
    <x:row r="65">
      <x:c r="A65" s="28" t="str">
        <x:v>Laundry</x:v>
      </x:c>
      <x:c r="B65" s="37" t="n">
        <x:v>46088</x:v>
      </x:c>
      <x:c r="C65" s="26" t="str">
        <x:v>RAH01-2026-027</x:v>
      </x:c>
      <x:c r="D65" s="38" t="n">
        <x:v>46089.17291666667</x:v>
      </x:c>
      <x:c r="E65" s="25" t="str">
        <x:v>SUBMITTED</x:v>
      </x:c>
      <x:c r="F65" s="25" t="str">
        <x:v>Occupational-health evaluator — Laundry</x:v>
      </x:c>
      <x:c r="G65" s="25" t="str">
        <x:v>Synthetic RAH.01 assessment submitted for workflow simulation.</x:v>
      </x:c>
      <x:c r="H65" s="27" t="str">
        <x:v>ASM-2026-027</x:v>
      </x:c>
      <x:c r="I65" s="27" t="str">
        <x:v>LOG-2026-027-01</x:v>
      </x:c>
    </x:row>
    <x:row r="66">
      <x:c r="A66" s="28" t="str">
        <x:v>Laundry</x:v>
      </x:c>
      <x:c r="B66" s="37" t="n">
        <x:v>46088</x:v>
      </x:c>
      <x:c r="C66" s="26" t="str">
        <x:v>RAH01-2026-027</x:v>
      </x:c>
      <x:c r="D66" s="38" t="n">
        <x:v>46089.316666666666</x:v>
      </x:c>
      <x:c r="E66" s="25" t="str">
        <x:v>IN_REVIEW</x:v>
      </x:c>
      <x:c r="F66" s="25" t="str">
        <x:v>Occupational-health administrator</x:v>
      </x:c>
      <x:c r="G66" s="25" t="str">
        <x:v>Submission opened and checked against the department risk profile.</x:v>
      </x:c>
      <x:c r="H66" s="27" t="str">
        <x:v>ASM-2026-027</x:v>
      </x:c>
      <x:c r="I66" s="27" t="str">
        <x:v>LOG-2026-027-02</x:v>
      </x:c>
    </x:row>
    <x:row r="67">
      <x:c r="A67" s="28" t="str">
        <x:v>Medical Records</x:v>
      </x:c>
      <x:c r="B67" s="37" t="n">
        <x:v>46122</x:v>
      </x:c>
      <x:c r="C67" s="26" t="str">
        <x:v>RAH01-2026-028</x:v>
      </x:c>
      <x:c r="D67" s="38" t="n">
        <x:v>46123.21944444445</x:v>
      </x:c>
      <x:c r="E67" s="25" t="str">
        <x:v>SUBMITTED</x:v>
      </x:c>
      <x:c r="F67" s="25" t="str">
        <x:v>Occupational-health evaluator — Medical Records</x:v>
      </x:c>
      <x:c r="G67" s="25" t="str">
        <x:v>Synthetic RAH.01 assessment submitted for workflow simulation.</x:v>
      </x:c>
      <x:c r="H67" s="27" t="str">
        <x:v>ASM-2026-028</x:v>
      </x:c>
      <x:c r="I67" s="27" t="str">
        <x:v>LOG-2026-028-01</x:v>
      </x:c>
    </x:row>
    <x:row r="68">
      <x:c r="A68" s="28" t="str">
        <x:v>Medical Records</x:v>
      </x:c>
      <x:c r="B68" s="37" t="n">
        <x:v>46122</x:v>
      </x:c>
      <x:c r="C68" s="26" t="str">
        <x:v>RAH01-2026-028</x:v>
      </x:c>
      <x:c r="D68" s="38" t="n">
        <x:v>46123.36388888889</x:v>
      </x:c>
      <x:c r="E68" s="25" t="str">
        <x:v>IN_REVIEW</x:v>
      </x:c>
      <x:c r="F68" s="25" t="str">
        <x:v>Occupational-health administrator</x:v>
      </x:c>
      <x:c r="G68" s="25" t="str">
        <x:v>Submission opened and checked against the department risk profile.</x:v>
      </x:c>
      <x:c r="H68" s="27" t="str">
        <x:v>ASM-2026-028</x:v>
      </x:c>
      <x:c r="I68" s="27" t="str">
        <x:v>LOG-2026-028-02</x:v>
      </x:c>
    </x:row>
    <x:row r="69">
      <x:c r="A69" s="28" t="str">
        <x:v>Medical Records</x:v>
      </x:c>
      <x:c r="B69" s="37" t="n">
        <x:v>46122</x:v>
      </x:c>
      <x:c r="C69" s="26" t="str">
        <x:v>RAH01-2026-028</x:v>
      </x:c>
      <x:c r="D69" s="38" t="n">
        <x:v>46125.23888888889</x:v>
      </x:c>
      <x:c r="E69" s="25" t="str">
        <x:v>CLOSED</x:v>
      </x:c>
      <x:c r="F69" s="25" t="str">
        <x:v>Occupational-health administrator</x:v>
      </x:c>
      <x:c r="G69" s="25" t="str">
        <x:v>Review completed and follow-up ownership recorded; synthetic record only.</x:v>
      </x:c>
      <x:c r="H69" s="27" t="str">
        <x:v>ASM-2026-028</x:v>
      </x:c>
      <x:c r="I69" s="27" t="str">
        <x:v>LOG-2026-028-03</x:v>
      </x:c>
    </x:row>
    <x:row r="70">
      <x:c r="A70" s="28" t="str">
        <x:v>Neonatal ICU</x:v>
      </x:c>
      <x:c r="B70" s="37" t="n">
        <x:v>46155</x:v>
      </x:c>
      <x:c r="C70" s="26" t="str">
        <x:v>RAH01-2026-029</x:v>
      </x:c>
      <x:c r="D70" s="38" t="n">
        <x:v>46156.26597222222</x:v>
      </x:c>
      <x:c r="E70" s="25" t="str">
        <x:v>SUBMITTED</x:v>
      </x:c>
      <x:c r="F70" s="25" t="str">
        <x:v>Occupational-health evaluator — Neonatal ICU</x:v>
      </x:c>
      <x:c r="G70" s="25" t="str">
        <x:v>Synthetic RAH.01 assessment submitted for workflow simulation.</x:v>
      </x:c>
      <x:c r="H70" s="27" t="str">
        <x:v>ASM-2026-029</x:v>
      </x:c>
      <x:c r="I70" s="27" t="str">
        <x:v>LOG-2026-029-01</x:v>
      </x:c>
    </x:row>
    <x:row r="71">
      <x:c r="A71" s="28" t="str">
        <x:v>Neonatal ICU</x:v>
      </x:c>
      <x:c r="B71" s="37" t="n">
        <x:v>46155</x:v>
      </x:c>
      <x:c r="C71" s="26" t="str">
        <x:v>RAH01-2026-029</x:v>
      </x:c>
      <x:c r="D71" s="38" t="n">
        <x:v>46156.41111111111</x:v>
      </x:c>
      <x:c r="E71" s="25" t="str">
        <x:v>IN_REVIEW</x:v>
      </x:c>
      <x:c r="F71" s="25" t="str">
        <x:v>Occupational-health administrator</x:v>
      </x:c>
      <x:c r="G71" s="25" t="str">
        <x:v>Submission opened and checked against the department risk profile.</x:v>
      </x:c>
      <x:c r="H71" s="27" t="str">
        <x:v>ASM-2026-029</x:v>
      </x:c>
      <x:c r="I71" s="27" t="str">
        <x:v>LOG-2026-029-02</x:v>
      </x:c>
    </x:row>
    <x:row r="72">
      <x:c r="A72" s="28" t="str">
        <x:v>Neonatal ICU</x:v>
      </x:c>
      <x:c r="B72" s="37" t="n">
        <x:v>46155</x:v>
      </x:c>
      <x:c r="C72" s="26" t="str">
        <x:v>RAH01-2026-029</x:v>
      </x:c>
      <x:c r="D72" s="38" t="n">
        <x:v>46158.28611111111</x:v>
      </x:c>
      <x:c r="E72" s="25" t="str">
        <x:v>CLOSED</x:v>
      </x:c>
      <x:c r="F72" s="25" t="str">
        <x:v>Occupational-health administrator</x:v>
      </x:c>
      <x:c r="G72" s="25" t="str">
        <x:v>Review completed and follow-up ownership recorded; synthetic record only.</x:v>
      </x:c>
      <x:c r="H72" s="27" t="str">
        <x:v>ASM-2026-029</x:v>
      </x:c>
      <x:c r="I72" s="27" t="str">
        <x:v>LOG-2026-029-03</x:v>
      </x:c>
    </x:row>
    <x:row r="73">
      <x:c r="A73" s="28" t="str">
        <x:v>Neurology</x:v>
      </x:c>
      <x:c r="B73" s="37" t="n">
        <x:v>46189</x:v>
      </x:c>
      <x:c r="C73" s="26" t="str">
        <x:v>RAH01-2026-030</x:v>
      </x:c>
      <x:c r="D73" s="38" t="n">
        <x:v>46190.3125</x:v>
      </x:c>
      <x:c r="E73" s="25" t="str">
        <x:v>SUBMITTED</x:v>
      </x:c>
      <x:c r="F73" s="25" t="str">
        <x:v>Occupational-health evaluator — Neurology</x:v>
      </x:c>
      <x:c r="G73" s="25" t="str">
        <x:v>Synthetic RAH.01 assessment submitted for workflow simulation.</x:v>
      </x:c>
      <x:c r="H73" s="27" t="str">
        <x:v>ASM-2026-030</x:v>
      </x:c>
      <x:c r="I73" s="27" t="str">
        <x:v>LOG-2026-030-01</x:v>
      </x:c>
    </x:row>
    <x:row r="74">
      <x:c r="A74" s="28" t="str">
        <x:v>Neurology</x:v>
      </x:c>
      <x:c r="B74" s="37" t="n">
        <x:v>46189</x:v>
      </x:c>
      <x:c r="C74" s="26" t="str">
        <x:v>RAH01-2026-030</x:v>
      </x:c>
      <x:c r="D74" s="38" t="n">
        <x:v>46190.458333333336</x:v>
      </x:c>
      <x:c r="E74" s="25" t="str">
        <x:v>IN_REVIEW</x:v>
      </x:c>
      <x:c r="F74" s="25" t="str">
        <x:v>Occupational-health administrator</x:v>
      </x:c>
      <x:c r="G74" s="25" t="str">
        <x:v>Submission opened and checked against the department risk profile.</x:v>
      </x:c>
      <x:c r="H74" s="27" t="str">
        <x:v>ASM-2026-030</x:v>
      </x:c>
      <x:c r="I74" s="27" t="str">
        <x:v>LOG-2026-030-02</x:v>
      </x:c>
    </x:row>
    <x:row r="75">
      <x:c r="A75" s="28" t="str">
        <x:v>Neurology</x:v>
      </x:c>
      <x:c r="B75" s="37" t="n">
        <x:v>46189</x:v>
      </x:c>
      <x:c r="C75" s="26" t="str">
        <x:v>RAH01-2026-030</x:v>
      </x:c>
      <x:c r="D75" s="38" t="n">
        <x:v>46191.333333333336</x:v>
      </x:c>
      <x:c r="E75" s="25" t="str">
        <x:v>RETURNED</x:v>
      </x:c>
      <x:c r="F75" s="25" t="str">
        <x:v>Occupational-health administrator</x:v>
      </x:c>
      <x:c r="G75" s="25" t="str">
        <x:v>Returned for clearer evidence on one control measure; synthetic record only.</x:v>
      </x:c>
      <x:c r="H75" s="27" t="str">
        <x:v>ASM-2026-030</x:v>
      </x:c>
      <x:c r="I75" s="27" t="str">
        <x:v>LOG-2026-030-03</x:v>
      </x:c>
    </x:row>
    <x:row r="76">
      <x:c r="A76" s="28" t="str">
        <x:v>Neurosurgery</x:v>
      </x:c>
      <x:c r="B76" s="37" t="n">
        <x:v>46041</x:v>
      </x:c>
      <x:c r="C76" s="26" t="str">
        <x:v>RAH01-2026-031</x:v>
      </x:c>
      <x:c r="D76" s="38" t="n">
        <x:v>46042.35902777778</x:v>
      </x:c>
      <x:c r="E76" s="25" t="str">
        <x:v>SUBMITTED</x:v>
      </x:c>
      <x:c r="F76" s="25" t="str">
        <x:v>Occupational-health evaluator — Neurosurgery</x:v>
      </x:c>
      <x:c r="G76" s="25" t="str">
        <x:v>Synthetic RAH.01 assessment submitted for workflow simulation.</x:v>
      </x:c>
      <x:c r="H76" s="27" t="str">
        <x:v>ASM-2026-031</x:v>
      </x:c>
      <x:c r="I76" s="27" t="str">
        <x:v>LOG-2026-031-01</x:v>
      </x:c>
    </x:row>
    <x:row r="77">
      <x:c r="A77" s="28" t="str">
        <x:v>Nuclear Medicine</x:v>
      </x:c>
      <x:c r="B77" s="37" t="n">
        <x:v>46075</x:v>
      </x:c>
      <x:c r="C77" s="26" t="str">
        <x:v>RAH01-2026-032</x:v>
      </x:c>
      <x:c r="D77" s="38" t="n">
        <x:v>46076.072222222225</x:v>
      </x:c>
      <x:c r="E77" s="25" t="str">
        <x:v>SUBMITTED</x:v>
      </x:c>
      <x:c r="F77" s="25" t="str">
        <x:v>Occupational-health evaluator — Nuclear Medicine</x:v>
      </x:c>
      <x:c r="G77" s="25" t="str">
        <x:v>Synthetic RAH.01 assessment submitted for workflow simulation.</x:v>
      </x:c>
      <x:c r="H77" s="27" t="str">
        <x:v>ASM-2026-032</x:v>
      </x:c>
      <x:c r="I77" s="27" t="str">
        <x:v>LOG-2026-032-01</x:v>
      </x:c>
    </x:row>
    <x:row r="78">
      <x:c r="A78" s="28" t="str">
        <x:v>Nuclear Medicine</x:v>
      </x:c>
      <x:c r="B78" s="37" t="n">
        <x:v>46075</x:v>
      </x:c>
      <x:c r="C78" s="26" t="str">
        <x:v>RAH01-2026-032</x:v>
      </x:c>
      <x:c r="D78" s="38" t="n">
        <x:v>46076.21944444445</x:v>
      </x:c>
      <x:c r="E78" s="25" t="str">
        <x:v>IN_REVIEW</x:v>
      </x:c>
      <x:c r="F78" s="25" t="str">
        <x:v>Occupational-health administrator</x:v>
      </x:c>
      <x:c r="G78" s="25" t="str">
        <x:v>Submission opened and checked against the department risk profile.</x:v>
      </x:c>
      <x:c r="H78" s="27" t="str">
        <x:v>ASM-2026-032</x:v>
      </x:c>
      <x:c r="I78" s="27" t="str">
        <x:v>LOG-2026-032-02</x:v>
      </x:c>
    </x:row>
    <x:row r="79">
      <x:c r="A79" s="28" t="str">
        <x:v>Obstetrics</x:v>
      </x:c>
      <x:c r="B79" s="37" t="n">
        <x:v>46106</x:v>
      </x:c>
      <x:c r="C79" s="26" t="str">
        <x:v>RAH01-2026-033</x:v>
      </x:c>
      <x:c r="D79" s="38" t="n">
        <x:v>46107.11875</x:v>
      </x:c>
      <x:c r="E79" s="25" t="str">
        <x:v>SUBMITTED</x:v>
      </x:c>
      <x:c r="F79" s="25" t="str">
        <x:v>Occupational-health evaluator — Obstetrics</x:v>
      </x:c>
      <x:c r="G79" s="25" t="str">
        <x:v>Synthetic RAH.01 assessment submitted for workflow simulation.</x:v>
      </x:c>
      <x:c r="H79" s="27" t="str">
        <x:v>ASM-2026-033</x:v>
      </x:c>
      <x:c r="I79" s="27" t="str">
        <x:v>LOG-2026-033-01</x:v>
      </x:c>
    </x:row>
    <x:row r="80">
      <x:c r="A80" s="28" t="str">
        <x:v>Obstetrics</x:v>
      </x:c>
      <x:c r="B80" s="37" t="n">
        <x:v>46106</x:v>
      </x:c>
      <x:c r="C80" s="26" t="str">
        <x:v>RAH01-2026-033</x:v>
      </x:c>
      <x:c r="D80" s="38" t="n">
        <x:v>46107.26666666667</x:v>
      </x:c>
      <x:c r="E80" s="25" t="str">
        <x:v>IN_REVIEW</x:v>
      </x:c>
      <x:c r="F80" s="25" t="str">
        <x:v>Occupational-health administrator</x:v>
      </x:c>
      <x:c r="G80" s="25" t="str">
        <x:v>Submission opened and checked against the department risk profile.</x:v>
      </x:c>
      <x:c r="H80" s="27" t="str">
        <x:v>ASM-2026-033</x:v>
      </x:c>
      <x:c r="I80" s="27" t="str">
        <x:v>LOG-2026-033-02</x:v>
      </x:c>
    </x:row>
    <x:row r="81">
      <x:c r="A81" s="28" t="str">
        <x:v>Obstetrics</x:v>
      </x:c>
      <x:c r="B81" s="37" t="n">
        <x:v>46106</x:v>
      </x:c>
      <x:c r="C81" s="26" t="str">
        <x:v>RAH01-2026-033</x:v>
      </x:c>
      <x:c r="D81" s="38" t="n">
        <x:v>46109.14166666667</x:v>
      </x:c>
      <x:c r="E81" s="25" t="str">
        <x:v>CLOSED</x:v>
      </x:c>
      <x:c r="F81" s="25" t="str">
        <x:v>Occupational-health administrator</x:v>
      </x:c>
      <x:c r="G81" s="25" t="str">
        <x:v>Review completed and follow-up ownership recorded; synthetic record only.</x:v>
      </x:c>
      <x:c r="H81" s="27" t="str">
        <x:v>ASM-2026-033</x:v>
      </x:c>
      <x:c r="I81" s="27" t="str">
        <x:v>LOG-2026-033-03</x:v>
      </x:c>
    </x:row>
    <x:row r="82">
      <x:c r="A82" s="28" t="str">
        <x:v>Occupational Health</x:v>
      </x:c>
      <x:c r="B82" s="37" t="n">
        <x:v>46115</x:v>
      </x:c>
      <x:c r="C82" s="26" t="str">
        <x:v>RAH01-2026-034</x:v>
      </x:c>
      <x:c r="D82" s="38" t="n">
        <x:v>46116.16527777778</x:v>
      </x:c>
      <x:c r="E82" s="25" t="str">
        <x:v>SUBMITTED</x:v>
      </x:c>
      <x:c r="F82" s="25" t="str">
        <x:v>Occupational-health evaluator — Occupational Health</x:v>
      </x:c>
      <x:c r="G82" s="25" t="str">
        <x:v>Synthetic RAH.01 assessment submitted for workflow simulation.</x:v>
      </x:c>
      <x:c r="H82" s="27" t="str">
        <x:v>ASM-2026-034</x:v>
      </x:c>
      <x:c r="I82" s="27" t="str">
        <x:v>LOG-2026-034-01</x:v>
      </x:c>
    </x:row>
    <x:row r="83">
      <x:c r="A83" s="28" t="str">
        <x:v>Occupational Health</x:v>
      </x:c>
      <x:c r="B83" s="37" t="n">
        <x:v>46115</x:v>
      </x:c>
      <x:c r="C83" s="26" t="str">
        <x:v>RAH01-2026-034</x:v>
      </x:c>
      <x:c r="D83" s="38" t="n">
        <x:v>46116.313888888886</x:v>
      </x:c>
      <x:c r="E83" s="25" t="str">
        <x:v>IN_REVIEW</x:v>
      </x:c>
      <x:c r="F83" s="25" t="str">
        <x:v>Occupational-health administrator</x:v>
      </x:c>
      <x:c r="G83" s="25" t="str">
        <x:v>Submission opened and checked against the department risk profile.</x:v>
      </x:c>
      <x:c r="H83" s="27" t="str">
        <x:v>ASM-2026-034</x:v>
      </x:c>
      <x:c r="I83" s="27" t="str">
        <x:v>LOG-2026-034-02</x:v>
      </x:c>
    </x:row>
    <x:row r="84">
      <x:c r="A84" s="28" t="str">
        <x:v>Occupational Health</x:v>
      </x:c>
      <x:c r="B84" s="37" t="n">
        <x:v>46115</x:v>
      </x:c>
      <x:c r="C84" s="26" t="str">
        <x:v>RAH01-2026-034</x:v>
      </x:c>
      <x:c r="D84" s="38" t="n">
        <x:v>46118.188888888886</x:v>
      </x:c>
      <x:c r="E84" s="25" t="str">
        <x:v>CLOSED</x:v>
      </x:c>
      <x:c r="F84" s="25" t="str">
        <x:v>Occupational-health administrator</x:v>
      </x:c>
      <x:c r="G84" s="25" t="str">
        <x:v>Review completed and follow-up ownership recorded; synthetic record only.</x:v>
      </x:c>
      <x:c r="H84" s="27" t="str">
        <x:v>ASM-2026-034</x:v>
      </x:c>
      <x:c r="I84" s="27" t="str">
        <x:v>LOG-2026-034-03</x:v>
      </x:c>
    </x:row>
    <x:row r="85">
      <x:c r="A85" s="28" t="str">
        <x:v>Oncology</x:v>
      </x:c>
      <x:c r="B85" s="37" t="n">
        <x:v>46148</x:v>
      </x:c>
      <x:c r="C85" s="26" t="str">
        <x:v>RAH01-2026-035</x:v>
      </x:c>
      <x:c r="D85" s="38" t="n">
        <x:v>46149.17013888889</x:v>
      </x:c>
      <x:c r="E85" s="25" t="str">
        <x:v>SUBMITTED</x:v>
      </x:c>
      <x:c r="F85" s="25" t="str">
        <x:v>Occupational-health evaluator — Oncology</x:v>
      </x:c>
      <x:c r="G85" s="25" t="str">
        <x:v>Synthetic RAH.01 assessment submitted for workflow simulation.</x:v>
      </x:c>
      <x:c r="H85" s="27" t="str">
        <x:v>ASM-2026-035</x:v>
      </x:c>
      <x:c r="I85" s="27" t="str">
        <x:v>LOG-2026-035-01</x:v>
      </x:c>
    </x:row>
    <x:row r="86">
      <x:c r="A86" s="28" t="str">
        <x:v>Oncology</x:v>
      </x:c>
      <x:c r="B86" s="37" t="n">
        <x:v>46148</x:v>
      </x:c>
      <x:c r="C86" s="26" t="str">
        <x:v>RAH01-2026-035</x:v>
      </x:c>
      <x:c r="D86" s="38" t="n">
        <x:v>46149.319444444445</x:v>
      </x:c>
      <x:c r="E86" s="25" t="str">
        <x:v>IN_REVIEW</x:v>
      </x:c>
      <x:c r="F86" s="25" t="str">
        <x:v>Occupational-health administrator</x:v>
      </x:c>
      <x:c r="G86" s="25" t="str">
        <x:v>Submission opened and checked against the department risk profile.</x:v>
      </x:c>
      <x:c r="H86" s="27" t="str">
        <x:v>ASM-2026-035</x:v>
      </x:c>
      <x:c r="I86" s="27" t="str">
        <x:v>LOG-2026-035-02</x:v>
      </x:c>
    </x:row>
    <x:row r="87">
      <x:c r="A87" s="28" t="str">
        <x:v>Oncology</x:v>
      </x:c>
      <x:c r="B87" s="37" t="n">
        <x:v>46148</x:v>
      </x:c>
      <x:c r="C87" s="26" t="str">
        <x:v>RAH01-2026-035</x:v>
      </x:c>
      <x:c r="D87" s="38" t="n">
        <x:v>46150.194444444445</x:v>
      </x:c>
      <x:c r="E87" s="25" t="str">
        <x:v>RETURNED</x:v>
      </x:c>
      <x:c r="F87" s="25" t="str">
        <x:v>Occupational-health administrator</x:v>
      </x:c>
      <x:c r="G87" s="25" t="str">
        <x:v>Returned for clearer evidence on one control measure; synthetic record only.</x:v>
      </x:c>
      <x:c r="H87" s="27" t="str">
        <x:v>ASM-2026-035</x:v>
      </x:c>
      <x:c r="I87" s="27" t="str">
        <x:v>LOG-2026-035-03</x:v>
      </x:c>
    </x:row>
    <x:row r="88">
      <x:c r="A88" s="28" t="str">
        <x:v>Operating Theatre</x:v>
      </x:c>
      <x:c r="B88" s="37" t="n">
        <x:v>46182</x:v>
      </x:c>
      <x:c r="C88" s="26" t="str">
        <x:v>RAH01-2026-036</x:v>
      </x:c>
      <x:c r="D88" s="38" t="n">
        <x:v>46183.21666666667</x:v>
      </x:c>
      <x:c r="E88" s="25" t="str">
        <x:v>SUBMITTED</x:v>
      </x:c>
      <x:c r="F88" s="25" t="str">
        <x:v>Occupational-health evaluator — Operating Theatre</x:v>
      </x:c>
      <x:c r="G88" s="25" t="str">
        <x:v>Synthetic RAH.01 assessment submitted for workflow simulation.</x:v>
      </x:c>
      <x:c r="H88" s="27" t="str">
        <x:v>ASM-2026-036</x:v>
      </x:c>
      <x:c r="I88" s="27" t="str">
        <x:v>LOG-2026-036-01</x:v>
      </x:c>
    </x:row>
    <x:row r="89">
      <x:c r="A89" s="28" t="str">
        <x:v>Orthopaedics</x:v>
      </x:c>
      <x:c r="B89" s="37" t="n">
        <x:v>46034</x:v>
      </x:c>
      <x:c r="C89" s="26" t="str">
        <x:v>RAH01-2026-037</x:v>
      </x:c>
      <x:c r="D89" s="38" t="n">
        <x:v>46035.263194444444</x:v>
      </x:c>
      <x:c r="E89" s="25" t="str">
        <x:v>SUBMITTED</x:v>
      </x:c>
      <x:c r="F89" s="25" t="str">
        <x:v>Occupational-health evaluator — Orthopaedics</x:v>
      </x:c>
      <x:c r="G89" s="25" t="str">
        <x:v>Synthetic RAH.01 assessment submitted for workflow simulation.</x:v>
      </x:c>
      <x:c r="H89" s="27" t="str">
        <x:v>ASM-2026-037</x:v>
      </x:c>
      <x:c r="I89" s="27" t="str">
        <x:v>LOG-2026-037-01</x:v>
      </x:c>
    </x:row>
    <x:row r="90">
      <x:c r="A90" s="28" t="str">
        <x:v>Orthopaedics</x:v>
      </x:c>
      <x:c r="B90" s="37" t="n">
        <x:v>46034</x:v>
      </x:c>
      <x:c r="C90" s="26" t="str">
        <x:v>RAH01-2026-037</x:v>
      </x:c>
      <x:c r="D90" s="38" t="n">
        <x:v>46035.41388888889</x:v>
      </x:c>
      <x:c r="E90" s="25" t="str">
        <x:v>IN_REVIEW</x:v>
      </x:c>
      <x:c r="F90" s="25" t="str">
        <x:v>Occupational-health administrator</x:v>
      </x:c>
      <x:c r="G90" s="25" t="str">
        <x:v>Submission opened and checked against the department risk profile.</x:v>
      </x:c>
      <x:c r="H90" s="27" t="str">
        <x:v>ASM-2026-037</x:v>
      </x:c>
      <x:c r="I90" s="27" t="str">
        <x:v>LOG-2026-037-02</x:v>
      </x:c>
    </x:row>
    <x:row r="91">
      <x:c r="A91" s="28" t="str">
        <x:v>Outpatient Department</x:v>
      </x:c>
      <x:c r="B91" s="37" t="n">
        <x:v>46068</x:v>
      </x:c>
      <x:c r="C91" s="26" t="str">
        <x:v>RAH01-2026-038</x:v>
      </x:c>
      <x:c r="D91" s="38" t="n">
        <x:v>46069.30972222222</x:v>
      </x:c>
      <x:c r="E91" s="25" t="str">
        <x:v>SUBMITTED</x:v>
      </x:c>
      <x:c r="F91" s="25" t="str">
        <x:v>Occupational-health evaluator — Outpatient Department</x:v>
      </x:c>
      <x:c r="G91" s="25" t="str">
        <x:v>Synthetic RAH.01 assessment submitted for workflow simulation.</x:v>
      </x:c>
      <x:c r="H91" s="27" t="str">
        <x:v>ASM-2026-038</x:v>
      </x:c>
      <x:c r="I91" s="27" t="str">
        <x:v>LOG-2026-038-01</x:v>
      </x:c>
    </x:row>
    <x:row r="92">
      <x:c r="A92" s="28" t="str">
        <x:v>Outpatient Department</x:v>
      </x:c>
      <x:c r="B92" s="37" t="n">
        <x:v>46068</x:v>
      </x:c>
      <x:c r="C92" s="26" t="str">
        <x:v>RAH01-2026-038</x:v>
      </x:c>
      <x:c r="D92" s="38" t="n">
        <x:v>46069.46111111111</x:v>
      </x:c>
      <x:c r="E92" s="25" t="str">
        <x:v>IN_REVIEW</x:v>
      </x:c>
      <x:c r="F92" s="25" t="str">
        <x:v>Occupational-health administrator</x:v>
      </x:c>
      <x:c r="G92" s="25" t="str">
        <x:v>Submission opened and checked against the department risk profile.</x:v>
      </x:c>
      <x:c r="H92" s="27" t="str">
        <x:v>ASM-2026-038</x:v>
      </x:c>
      <x:c r="I92" s="27" t="str">
        <x:v>LOG-2026-038-02</x:v>
      </x:c>
    </x:row>
    <x:row r="93">
      <x:c r="A93" s="28" t="str">
        <x:v>Outpatient Department</x:v>
      </x:c>
      <x:c r="B93" s="37" t="n">
        <x:v>46068</x:v>
      </x:c>
      <x:c r="C93" s="26" t="str">
        <x:v>RAH01-2026-038</x:v>
      </x:c>
      <x:c r="D93" s="38" t="n">
        <x:v>46071.33611111111</x:v>
      </x:c>
      <x:c r="E93" s="25" t="str">
        <x:v>CLOSED</x:v>
      </x:c>
      <x:c r="F93" s="25" t="str">
        <x:v>Occupational-health administrator</x:v>
      </x:c>
      <x:c r="G93" s="25" t="str">
        <x:v>Review completed and follow-up ownership recorded; synthetic record only.</x:v>
      </x:c>
      <x:c r="H93" s="27" t="str">
        <x:v>ASM-2026-038</x:v>
      </x:c>
      <x:c r="I93" s="27" t="str">
        <x:v>LOG-2026-038-03</x:v>
      </x:c>
    </x:row>
    <x:row r="94">
      <x:c r="A94" s="28" t="str">
        <x:v>Paediatrics</x:v>
      </x:c>
      <x:c r="B94" s="37" t="n">
        <x:v>46099</x:v>
      </x:c>
      <x:c r="C94" s="26" t="str">
        <x:v>RAH01-2026-039</x:v>
      </x:c>
      <x:c r="D94" s="38" t="n">
        <x:v>46100.35625</x:v>
      </x:c>
      <x:c r="E94" s="25" t="str">
        <x:v>SUBMITTED</x:v>
      </x:c>
      <x:c r="F94" s="25" t="str">
        <x:v>Occupational-health evaluator — Paediatrics</x:v>
      </x:c>
      <x:c r="G94" s="25" t="str">
        <x:v>Synthetic RAH.01 assessment submitted for workflow simulation.</x:v>
      </x:c>
      <x:c r="H94" s="27" t="str">
        <x:v>ASM-2026-039</x:v>
      </x:c>
      <x:c r="I94" s="27" t="str">
        <x:v>LOG-2026-039-01</x:v>
      </x:c>
    </x:row>
    <x:row r="95">
      <x:c r="A95" s="28" t="str">
        <x:v>Paediatrics</x:v>
      </x:c>
      <x:c r="B95" s="37" t="n">
        <x:v>46099</x:v>
      </x:c>
      <x:c r="C95" s="26" t="str">
        <x:v>RAH01-2026-039</x:v>
      </x:c>
      <x:c r="D95" s="38" t="n">
        <x:v>46100.50833333333</x:v>
      </x:c>
      <x:c r="E95" s="25" t="str">
        <x:v>IN_REVIEW</x:v>
      </x:c>
      <x:c r="F95" s="25" t="str">
        <x:v>Occupational-health administrator</x:v>
      </x:c>
      <x:c r="G95" s="25" t="str">
        <x:v>Submission opened and checked against the department risk profile.</x:v>
      </x:c>
      <x:c r="H95" s="27" t="str">
        <x:v>ASM-2026-039</x:v>
      </x:c>
      <x:c r="I95" s="27" t="str">
        <x:v>LOG-2026-039-02</x:v>
      </x:c>
    </x:row>
    <x:row r="96">
      <x:c r="A96" s="28" t="str">
        <x:v>Paediatrics</x:v>
      </x:c>
      <x:c r="B96" s="37" t="n">
        <x:v>46099</x:v>
      </x:c>
      <x:c r="C96" s="26" t="str">
        <x:v>RAH01-2026-039</x:v>
      </x:c>
      <x:c r="D96" s="38" t="n">
        <x:v>46102.38333333333</x:v>
      </x:c>
      <x:c r="E96" s="25" t="str">
        <x:v>CLOSED</x:v>
      </x:c>
      <x:c r="F96" s="25" t="str">
        <x:v>Occupational-health administrator</x:v>
      </x:c>
      <x:c r="G96" s="25" t="str">
        <x:v>Review completed and follow-up ownership recorded; synthetic record only.</x:v>
      </x:c>
      <x:c r="H96" s="27" t="str">
        <x:v>ASM-2026-039</x:v>
      </x:c>
      <x:c r="I96" s="27" t="str">
        <x:v>LOG-2026-039-03</x:v>
      </x:c>
    </x:row>
    <x:row r="97">
      <x:c r="A97" s="28" t="str">
        <x:v>Pathology</x:v>
      </x:c>
      <x:c r="B97" s="37" t="n">
        <x:v>46133</x:v>
      </x:c>
      <x:c r="C97" s="26" t="str">
        <x:v>RAH01-2026-040</x:v>
      </x:c>
      <x:c r="D97" s="38" t="n">
        <x:v>46134.069444444445</x:v>
      </x:c>
      <x:c r="E97" s="25" t="str">
        <x:v>SUBMITTED</x:v>
      </x:c>
      <x:c r="F97" s="25" t="str">
        <x:v>Occupational-health evaluator — Pathology</x:v>
      </x:c>
      <x:c r="G97" s="25" t="str">
        <x:v>Synthetic RAH.01 assessment submitted for workflow simulation.</x:v>
      </x:c>
      <x:c r="H97" s="27" t="str">
        <x:v>ASM-2026-040</x:v>
      </x:c>
      <x:c r="I97" s="27" t="str">
        <x:v>LOG-2026-040-01</x:v>
      </x:c>
    </x:row>
    <x:row r="98">
      <x:c r="A98" s="28" t="str">
        <x:v>Pathology</x:v>
      </x:c>
      <x:c r="B98" s="37" t="n">
        <x:v>46133</x:v>
      </x:c>
      <x:c r="C98" s="26" t="str">
        <x:v>RAH01-2026-040</x:v>
      </x:c>
      <x:c r="D98" s="38" t="n">
        <x:v>46134.22222222222</x:v>
      </x:c>
      <x:c r="E98" s="25" t="str">
        <x:v>IN_REVIEW</x:v>
      </x:c>
      <x:c r="F98" s="25" t="str">
        <x:v>Occupational-health administrator</x:v>
      </x:c>
      <x:c r="G98" s="25" t="str">
        <x:v>Submission opened and checked against the department risk profile.</x:v>
      </x:c>
      <x:c r="H98" s="27" t="str">
        <x:v>ASM-2026-040</x:v>
      </x:c>
      <x:c r="I98" s="27" t="str">
        <x:v>LOG-2026-040-02</x:v>
      </x:c>
    </x:row>
    <x:row r="99">
      <x:c r="A99" s="28" t="str">
        <x:v>Pathology</x:v>
      </x:c>
      <x:c r="B99" s="37" t="n">
        <x:v>46133</x:v>
      </x:c>
      <x:c r="C99" s="26" t="str">
        <x:v>RAH01-2026-040</x:v>
      </x:c>
      <x:c r="D99" s="38" t="n">
        <x:v>46135.09722222222</x:v>
      </x:c>
      <x:c r="E99" s="25" t="str">
        <x:v>RETURNED</x:v>
      </x:c>
      <x:c r="F99" s="25" t="str">
        <x:v>Occupational-health administrator</x:v>
      </x:c>
      <x:c r="G99" s="25" t="str">
        <x:v>Returned for clearer evidence on one control measure; synthetic record only.</x:v>
      </x:c>
      <x:c r="H99" s="27" t="str">
        <x:v>ASM-2026-040</x:v>
      </x:c>
      <x:c r="I99" s="27" t="str">
        <x:v>LOG-2026-040-03</x:v>
      </x:c>
    </x:row>
    <x:row r="100">
      <x:c r="A100" s="28" t="str">
        <x:v>Pharmacy</x:v>
      </x:c>
      <x:c r="B100" s="37" t="n">
        <x:v>46166</x:v>
      </x:c>
      <x:c r="C100" s="26" t="str">
        <x:v>RAH01-2026-041</x:v>
      </x:c>
      <x:c r="D100" s="38" t="n">
        <x:v>46167.11597222222</x:v>
      </x:c>
      <x:c r="E100" s="25" t="str">
        <x:v>SUBMITTED</x:v>
      </x:c>
      <x:c r="F100" s="25" t="str">
        <x:v>Occupational-health evaluator — Pharmacy</x:v>
      </x:c>
      <x:c r="G100" s="25" t="str">
        <x:v>Synthetic RAH.01 assessment submitted for workflow simulation.</x:v>
      </x:c>
      <x:c r="H100" s="27" t="str">
        <x:v>ASM-2026-041</x:v>
      </x:c>
      <x:c r="I100" s="27" t="str">
        <x:v>LOG-2026-041-01</x:v>
      </x:c>
    </x:row>
    <x:row r="101">
      <x:c r="A101" s="28" t="str">
        <x:v>Physical Therapy</x:v>
      </x:c>
      <x:c r="B101" s="37" t="n">
        <x:v>46175</x:v>
      </x:c>
      <x:c r="C101" s="26" t="str">
        <x:v>RAH01-2026-042</x:v>
      </x:c>
      <x:c r="D101" s="38" t="n">
        <x:v>46176.1625</x:v>
      </x:c>
      <x:c r="E101" s="25" t="str">
        <x:v>SUBMITTED</x:v>
      </x:c>
      <x:c r="F101" s="25" t="str">
        <x:v>Occupational-health evaluator — Physical Therapy</x:v>
      </x:c>
      <x:c r="G101" s="25" t="str">
        <x:v>Synthetic RAH.01 assessment submitted for workflow simulation.</x:v>
      </x:c>
      <x:c r="H101" s="27" t="str">
        <x:v>ASM-2026-042</x:v>
      </x:c>
      <x:c r="I101" s="27" t="str">
        <x:v>LOG-2026-042-01</x:v>
      </x:c>
    </x:row>
    <x:row r="102">
      <x:c r="A102" s="28" t="str">
        <x:v>Physical Therapy</x:v>
      </x:c>
      <x:c r="B102" s="37" t="n">
        <x:v>46175</x:v>
      </x:c>
      <x:c r="C102" s="26" t="str">
        <x:v>RAH01-2026-042</x:v>
      </x:c>
      <x:c r="D102" s="38" t="n">
        <x:v>46176.316666666666</x:v>
      </x:c>
      <x:c r="E102" s="25" t="str">
        <x:v>IN_REVIEW</x:v>
      </x:c>
      <x:c r="F102" s="25" t="str">
        <x:v>Occupational-health administrator</x:v>
      </x:c>
      <x:c r="G102" s="25" t="str">
        <x:v>Submission opened and checked against the department risk profile.</x:v>
      </x:c>
      <x:c r="H102" s="27" t="str">
        <x:v>ASM-2026-042</x:v>
      </x:c>
      <x:c r="I102" s="27" t="str">
        <x:v>LOG-2026-042-02</x:v>
      </x:c>
    </x:row>
    <x:row r="103">
      <x:c r="A103" s="28" t="str">
        <x:v>Plastic Surgery</x:v>
      </x:c>
      <x:c r="B103" s="37" t="n">
        <x:v>46027</x:v>
      </x:c>
      <x:c r="C103" s="26" t="str">
        <x:v>RAH01-2026-043</x:v>
      </x:c>
      <x:c r="D103" s="38" t="n">
        <x:v>46028.16736111111</x:v>
      </x:c>
      <x:c r="E103" s="25" t="str">
        <x:v>SUBMITTED</x:v>
      </x:c>
      <x:c r="F103" s="25" t="str">
        <x:v>Occupational-health evaluator — Plastic Surgery</x:v>
      </x:c>
      <x:c r="G103" s="25" t="str">
        <x:v>Synthetic RAH.01 assessment submitted for workflow simulation.</x:v>
      </x:c>
      <x:c r="H103" s="27" t="str">
        <x:v>ASM-2026-043</x:v>
      </x:c>
      <x:c r="I103" s="27" t="str">
        <x:v>LOG-2026-043-01</x:v>
      </x:c>
    </x:row>
    <x:row r="104">
      <x:c r="A104" s="28" t="str">
        <x:v>Plastic Surgery</x:v>
      </x:c>
      <x:c r="B104" s="37" t="n">
        <x:v>46027</x:v>
      </x:c>
      <x:c r="C104" s="26" t="str">
        <x:v>RAH01-2026-043</x:v>
      </x:c>
      <x:c r="D104" s="38" t="n">
        <x:v>46028.322222222225</x:v>
      </x:c>
      <x:c r="E104" s="25" t="str">
        <x:v>IN_REVIEW</x:v>
      </x:c>
      <x:c r="F104" s="25" t="str">
        <x:v>Occupational-health administrator</x:v>
      </x:c>
      <x:c r="G104" s="25" t="str">
        <x:v>Submission opened and checked against the department risk profile.</x:v>
      </x:c>
      <x:c r="H104" s="27" t="str">
        <x:v>ASM-2026-043</x:v>
      </x:c>
      <x:c r="I104" s="27" t="str">
        <x:v>LOG-2026-043-02</x:v>
      </x:c>
    </x:row>
    <x:row r="105">
      <x:c r="A105" s="28" t="str">
        <x:v>Plastic Surgery</x:v>
      </x:c>
      <x:c r="B105" s="37" t="n">
        <x:v>46027</x:v>
      </x:c>
      <x:c r="C105" s="26" t="str">
        <x:v>RAH01-2026-043</x:v>
      </x:c>
      <x:c r="D105" s="38" t="n">
        <x:v>46030.197222222225</x:v>
      </x:c>
      <x:c r="E105" s="25" t="str">
        <x:v>CLOSED</x:v>
      </x:c>
      <x:c r="F105" s="25" t="str">
        <x:v>Occupational-health administrator</x:v>
      </x:c>
      <x:c r="G105" s="25" t="str">
        <x:v>Review completed and follow-up ownership recorded; synthetic record only.</x:v>
      </x:c>
      <x:c r="H105" s="27" t="str">
        <x:v>ASM-2026-043</x:v>
      </x:c>
      <x:c r="I105" s="27" t="str">
        <x:v>LOG-2026-043-03</x:v>
      </x:c>
    </x:row>
    <x:row r="106">
      <x:c r="A106" s="28" t="str">
        <x:v>Psychiatry</x:v>
      </x:c>
      <x:c r="B106" s="37" t="n">
        <x:v>46061</x:v>
      </x:c>
      <x:c r="C106" s="26" t="str">
        <x:v>RAH01-2026-044</x:v>
      </x:c>
      <x:c r="D106" s="38" t="n">
        <x:v>46062.21388888889</x:v>
      </x:c>
      <x:c r="E106" s="25" t="str">
        <x:v>SUBMITTED</x:v>
      </x:c>
      <x:c r="F106" s="25" t="str">
        <x:v>Occupational-health evaluator — Psychiatry</x:v>
      </x:c>
      <x:c r="G106" s="25" t="str">
        <x:v>Synthetic RAH.01 assessment submitted for workflow simulation.</x:v>
      </x:c>
      <x:c r="H106" s="27" t="str">
        <x:v>ASM-2026-044</x:v>
      </x:c>
      <x:c r="I106" s="27" t="str">
        <x:v>LOG-2026-044-01</x:v>
      </x:c>
    </x:row>
    <x:row r="107">
      <x:c r="A107" s="28" t="str">
        <x:v>Psychiatry</x:v>
      </x:c>
      <x:c r="B107" s="37" t="n">
        <x:v>46061</x:v>
      </x:c>
      <x:c r="C107" s="26" t="str">
        <x:v>RAH01-2026-044</x:v>
      </x:c>
      <x:c r="D107" s="38" t="n">
        <x:v>46062.36944444444</x:v>
      </x:c>
      <x:c r="E107" s="25" t="str">
        <x:v>IN_REVIEW</x:v>
      </x:c>
      <x:c r="F107" s="25" t="str">
        <x:v>Occupational-health administrator</x:v>
      </x:c>
      <x:c r="G107" s="25" t="str">
        <x:v>Submission opened and checked against the department risk profile.</x:v>
      </x:c>
      <x:c r="H107" s="27" t="str">
        <x:v>ASM-2026-044</x:v>
      </x:c>
      <x:c r="I107" s="27" t="str">
        <x:v>LOG-2026-044-02</x:v>
      </x:c>
    </x:row>
    <x:row r="108">
      <x:c r="A108" s="28" t="str">
        <x:v>Psychiatry</x:v>
      </x:c>
      <x:c r="B108" s="37" t="n">
        <x:v>46061</x:v>
      </x:c>
      <x:c r="C108" s="26" t="str">
        <x:v>RAH01-2026-044</x:v>
      </x:c>
      <x:c r="D108" s="38" t="n">
        <x:v>46064.24444444444</x:v>
      </x:c>
      <x:c r="E108" s="25" t="str">
        <x:v>CLOSED</x:v>
      </x:c>
      <x:c r="F108" s="25" t="str">
        <x:v>Occupational-health administrator</x:v>
      </x:c>
      <x:c r="G108" s="25" t="str">
        <x:v>Review completed and follow-up ownership recorded; synthetic record only.</x:v>
      </x:c>
      <x:c r="H108" s="27" t="str">
        <x:v>ASM-2026-044</x:v>
      </x:c>
      <x:c r="I108" s="27" t="str">
        <x:v>LOG-2026-044-03</x:v>
      </x:c>
    </x:row>
    <x:row r="109">
      <x:c r="A109" s="28" t="str">
        <x:v>Quality Improvement</x:v>
      </x:c>
      <x:c r="B109" s="37" t="n">
        <x:v>46092</x:v>
      </x:c>
      <x:c r="C109" s="26" t="str">
        <x:v>RAH01-2026-045</x:v>
      </x:c>
      <x:c r="D109" s="38" t="n">
        <x:v>46093.260416666664</x:v>
      </x:c>
      <x:c r="E109" s="25" t="str">
        <x:v>SUBMITTED</x:v>
      </x:c>
      <x:c r="F109" s="25" t="str">
        <x:v>Occupational-health evaluator — Quality Improvement</x:v>
      </x:c>
      <x:c r="G109" s="25" t="str">
        <x:v>Synthetic RAH.01 assessment submitted for workflow simulation.</x:v>
      </x:c>
      <x:c r="H109" s="27" t="str">
        <x:v>ASM-2026-045</x:v>
      </x:c>
      <x:c r="I109" s="27" t="str">
        <x:v>LOG-2026-045-01</x:v>
      </x:c>
    </x:row>
    <x:row r="110">
      <x:c r="A110" s="28" t="str">
        <x:v>Quality Improvement</x:v>
      </x:c>
      <x:c r="B110" s="37" t="n">
        <x:v>46092</x:v>
      </x:c>
      <x:c r="C110" s="26" t="str">
        <x:v>RAH01-2026-045</x:v>
      </x:c>
      <x:c r="D110" s="38" t="n">
        <x:v>46093.416666666664</x:v>
      </x:c>
      <x:c r="E110" s="25" t="str">
        <x:v>IN_REVIEW</x:v>
      </x:c>
      <x:c r="F110" s="25" t="str">
        <x:v>Occupational-health administrator</x:v>
      </x:c>
      <x:c r="G110" s="25" t="str">
        <x:v>Submission opened and checked against the department risk profile.</x:v>
      </x:c>
      <x:c r="H110" s="27" t="str">
        <x:v>ASM-2026-045</x:v>
      </x:c>
      <x:c r="I110" s="27" t="str">
        <x:v>LOG-2026-045-02</x:v>
      </x:c>
    </x:row>
    <x:row r="111">
      <x:c r="A111" s="28" t="str">
        <x:v>Quality Improvement</x:v>
      </x:c>
      <x:c r="B111" s="37" t="n">
        <x:v>46092</x:v>
      </x:c>
      <x:c r="C111" s="26" t="str">
        <x:v>RAH01-2026-045</x:v>
      </x:c>
      <x:c r="D111" s="38" t="n">
        <x:v>46094.291666666664</x:v>
      </x:c>
      <x:c r="E111" s="25" t="str">
        <x:v>RETURNED</x:v>
      </x:c>
      <x:c r="F111" s="25" t="str">
        <x:v>Occupational-health administrator</x:v>
      </x:c>
      <x:c r="G111" s="25" t="str">
        <x:v>Returned for clearer evidence on one control measure; synthetic record only.</x:v>
      </x:c>
      <x:c r="H111" s="27" t="str">
        <x:v>ASM-2026-045</x:v>
      </x:c>
      <x:c r="I111" s="27" t="str">
        <x:v>LOG-2026-045-03</x:v>
      </x:c>
    </x:row>
    <x:row r="112">
      <x:c r="A112" s="28" t="str">
        <x:v>Radiotherapy</x:v>
      </x:c>
      <x:c r="B112" s="37" t="n">
        <x:v>46126</x:v>
      </x:c>
      <x:c r="C112" s="26" t="str">
        <x:v>RAH01-2026-046</x:v>
      </x:c>
      <x:c r="D112" s="38" t="n">
        <x:v>46127.30694444444</x:v>
      </x:c>
      <x:c r="E112" s="25" t="str">
        <x:v>SUBMITTED</x:v>
      </x:c>
      <x:c r="F112" s="25" t="str">
        <x:v>Occupational-health evaluator — Radiotherapy</x:v>
      </x:c>
      <x:c r="G112" s="25" t="str">
        <x:v>Synthetic RAH.01 assessment submitted for workflow simulation.</x:v>
      </x:c>
      <x:c r="H112" s="27" t="str">
        <x:v>ASM-2026-046</x:v>
      </x:c>
      <x:c r="I112" s="27" t="str">
        <x:v>LOG-2026-046-01</x:v>
      </x:c>
    </x:row>
    <x:row r="113">
      <x:c r="A113" s="28" t="str">
        <x:v>Rehabilitation</x:v>
      </x:c>
      <x:c r="B113" s="37" t="n">
        <x:v>46159</x:v>
      </x:c>
      <x:c r="C113" s="26" t="str">
        <x:v>RAH01-2026-047</x:v>
      </x:c>
      <x:c r="D113" s="38" t="n">
        <x:v>46160.353472222225</x:v>
      </x:c>
      <x:c r="E113" s="25" t="str">
        <x:v>SUBMITTED</x:v>
      </x:c>
      <x:c r="F113" s="25" t="str">
        <x:v>Occupational-health evaluator — Rehabilitation</x:v>
      </x:c>
      <x:c r="G113" s="25" t="str">
        <x:v>Synthetic RAH.01 assessment submitted for workflow simulation.</x:v>
      </x:c>
      <x:c r="H113" s="27" t="str">
        <x:v>ASM-2026-047</x:v>
      </x:c>
      <x:c r="I113" s="27" t="str">
        <x:v>LOG-2026-047-01</x:v>
      </x:c>
    </x:row>
    <x:row r="114">
      <x:c r="A114" s="28" t="str">
        <x:v>Rehabilitation</x:v>
      </x:c>
      <x:c r="B114" s="37" t="n">
        <x:v>46159</x:v>
      </x:c>
      <x:c r="C114" s="26" t="str">
        <x:v>RAH01-2026-047</x:v>
      </x:c>
      <x:c r="D114" s="38" t="n">
        <x:v>46160.51111111111</x:v>
      </x:c>
      <x:c r="E114" s="25" t="str">
        <x:v>IN_REVIEW</x:v>
      </x:c>
      <x:c r="F114" s="25" t="str">
        <x:v>Occupational-health administrator</x:v>
      </x:c>
      <x:c r="G114" s="25" t="str">
        <x:v>Submission opened and checked against the department risk profile.</x:v>
      </x:c>
      <x:c r="H114" s="27" t="str">
        <x:v>ASM-2026-047</x:v>
      </x:c>
      <x:c r="I114" s="27" t="str">
        <x:v>LOG-2026-047-02</x:v>
      </x:c>
    </x:row>
    <x:row r="115">
      <x:c r="A115" s="28" t="str">
        <x:v>Renal Unit</x:v>
      </x:c>
      <x:c r="B115" s="37" t="n">
        <x:v>46193</x:v>
      </x:c>
      <x:c r="C115" s="26" t="str">
        <x:v>RAH01-2026-048</x:v>
      </x:c>
      <x:c r="D115" s="38" t="n">
        <x:v>46194.066666666666</x:v>
      </x:c>
      <x:c r="E115" s="25" t="str">
        <x:v>SUBMITTED</x:v>
      </x:c>
      <x:c r="F115" s="25" t="str">
        <x:v>Occupational-health evaluator — Renal Unit</x:v>
      </x:c>
      <x:c r="G115" s="25" t="str">
        <x:v>Synthetic RAH.01 assessment submitted for workflow simulation.</x:v>
      </x:c>
      <x:c r="H115" s="27" t="str">
        <x:v>ASM-2026-048</x:v>
      </x:c>
      <x:c r="I115" s="27" t="str">
        <x:v>LOG-2026-048-01</x:v>
      </x:c>
    </x:row>
    <x:row r="116">
      <x:c r="A116" s="28" t="str">
        <x:v>Renal Unit</x:v>
      </x:c>
      <x:c r="B116" s="37" t="n">
        <x:v>46193</x:v>
      </x:c>
      <x:c r="C116" s="26" t="str">
        <x:v>RAH01-2026-048</x:v>
      </x:c>
      <x:c r="D116" s="38" t="n">
        <x:v>46194.225</x:v>
      </x:c>
      <x:c r="E116" s="25" t="str">
        <x:v>IN_REVIEW</x:v>
      </x:c>
      <x:c r="F116" s="25" t="str">
        <x:v>Occupational-health administrator</x:v>
      </x:c>
      <x:c r="G116" s="25" t="str">
        <x:v>Submission opened and checked against the department risk profile.</x:v>
      </x:c>
      <x:c r="H116" s="27" t="str">
        <x:v>ASM-2026-048</x:v>
      </x:c>
      <x:c r="I116" s="27" t="str">
        <x:v>LOG-2026-048-02</x:v>
      </x:c>
    </x:row>
    <x:row r="117">
      <x:c r="A117" s="28" t="str">
        <x:v>Renal Unit</x:v>
      </x:c>
      <x:c r="B117" s="37" t="n">
        <x:v>46193</x:v>
      </x:c>
      <x:c r="C117" s="26" t="str">
        <x:v>RAH01-2026-048</x:v>
      </x:c>
      <x:c r="D117" s="38" t="n">
        <x:v>46196.1</x:v>
      </x:c>
      <x:c r="E117" s="25" t="str">
        <x:v>CLOSED</x:v>
      </x:c>
      <x:c r="F117" s="25" t="str">
        <x:v>Occupational-health administrator</x:v>
      </x:c>
      <x:c r="G117" s="25" t="str">
        <x:v>Review completed and follow-up ownership recorded; synthetic record only.</x:v>
      </x:c>
      <x:c r="H117" s="27" t="str">
        <x:v>ASM-2026-048</x:v>
      </x:c>
      <x:c r="I117" s="27" t="str">
        <x:v>LOG-2026-048-03</x:v>
      </x:c>
    </x:row>
    <x:row r="118">
      <x:c r="A118" s="28" t="str">
        <x:v>Respiratory Medicine</x:v>
      </x:c>
      <x:c r="B118" s="37" t="n">
        <x:v>46045</x:v>
      </x:c>
      <x:c r="C118" s="26" t="str">
        <x:v>RAH01-2026-049</x:v>
      </x:c>
      <x:c r="D118" s="38" t="n">
        <x:v>46046.11319444444</x:v>
      </x:c>
      <x:c r="E118" s="25" t="str">
        <x:v>SUBMITTED</x:v>
      </x:c>
      <x:c r="F118" s="25" t="str">
        <x:v>Occupational-health evaluator — Respiratory Medicine</x:v>
      </x:c>
      <x:c r="G118" s="25" t="str">
        <x:v>Synthetic RAH.01 assessment submitted for workflow simulation.</x:v>
      </x:c>
      <x:c r="H118" s="27" t="str">
        <x:v>ASM-2026-049</x:v>
      </x:c>
      <x:c r="I118" s="27" t="str">
        <x:v>LOG-2026-049-01</x:v>
      </x:c>
    </x:row>
    <x:row r="119">
      <x:c r="A119" s="28" t="str">
        <x:v>Respiratory Medicine</x:v>
      </x:c>
      <x:c r="B119" s="37" t="n">
        <x:v>46045</x:v>
      </x:c>
      <x:c r="C119" s="26" t="str">
        <x:v>RAH01-2026-049</x:v>
      </x:c>
      <x:c r="D119" s="38" t="n">
        <x:v>46046.27222222222</x:v>
      </x:c>
      <x:c r="E119" s="25" t="str">
        <x:v>IN_REVIEW</x:v>
      </x:c>
      <x:c r="F119" s="25" t="str">
        <x:v>Occupational-health administrator</x:v>
      </x:c>
      <x:c r="G119" s="25" t="str">
        <x:v>Submission opened and checked against the department risk profile.</x:v>
      </x:c>
      <x:c r="H119" s="27" t="str">
        <x:v>ASM-2026-049</x:v>
      </x:c>
      <x:c r="I119" s="27" t="str">
        <x:v>LOG-2026-049-02</x:v>
      </x:c>
    </x:row>
    <x:row r="120">
      <x:c r="A120" s="28" t="str">
        <x:v>Respiratory Medicine</x:v>
      </x:c>
      <x:c r="B120" s="37" t="n">
        <x:v>46045</x:v>
      </x:c>
      <x:c r="C120" s="26" t="str">
        <x:v>RAH01-2026-049</x:v>
      </x:c>
      <x:c r="D120" s="38" t="n">
        <x:v>46048.14722222222</x:v>
      </x:c>
      <x:c r="E120" s="25" t="str">
        <x:v>CLOSED</x:v>
      </x:c>
      <x:c r="F120" s="25" t="str">
        <x:v>Occupational-health administrator</x:v>
      </x:c>
      <x:c r="G120" s="25" t="str">
        <x:v>Review completed and follow-up ownership recorded; synthetic record only.</x:v>
      </x:c>
      <x:c r="H120" s="27" t="str">
        <x:v>ASM-2026-049</x:v>
      </x:c>
      <x:c r="I120" s="27" t="str">
        <x:v>LOG-2026-049-03</x:v>
      </x:c>
    </x:row>
    <x:row r="121">
      <x:c r="A121" s="28" t="str">
        <x:v>Social Work</x:v>
      </x:c>
      <x:c r="B121" s="37" t="n">
        <x:v>46054</x:v>
      </x:c>
      <x:c r="C121" s="26" t="str">
        <x:v>RAH01-2026-050</x:v>
      </x:c>
      <x:c r="D121" s="38" t="n">
        <x:v>46055.15972222222</x:v>
      </x:c>
      <x:c r="E121" s="25" t="str">
        <x:v>SUBMITTED</x:v>
      </x:c>
      <x:c r="F121" s="25" t="str">
        <x:v>Occupational-health evaluator — Social Work</x:v>
      </x:c>
      <x:c r="G121" s="25" t="str">
        <x:v>Synthetic RAH.01 assessment submitted for workflow simulation.</x:v>
      </x:c>
      <x:c r="H121" s="27" t="str">
        <x:v>ASM-2026-050</x:v>
      </x:c>
      <x:c r="I121" s="27" t="str">
        <x:v>LOG-2026-050-01</x:v>
      </x:c>
    </x:row>
    <x:row r="122">
      <x:c r="A122" s="28" t="str">
        <x:v>Social Work</x:v>
      </x:c>
      <x:c r="B122" s="37" t="n">
        <x:v>46054</x:v>
      </x:c>
      <x:c r="C122" s="26" t="str">
        <x:v>RAH01-2026-050</x:v>
      </x:c>
      <x:c r="D122" s="38" t="n">
        <x:v>46055.319444444445</x:v>
      </x:c>
      <x:c r="E122" s="25" t="str">
        <x:v>IN_REVIEW</x:v>
      </x:c>
      <x:c r="F122" s="25" t="str">
        <x:v>Occupational-health administrator</x:v>
      </x:c>
      <x:c r="G122" s="25" t="str">
        <x:v>Submission opened and checked against the department risk profile.</x:v>
      </x:c>
      <x:c r="H122" s="27" t="str">
        <x:v>ASM-2026-050</x:v>
      </x:c>
      <x:c r="I122" s="27" t="str">
        <x:v>LOG-2026-050-02</x:v>
      </x:c>
    </x:row>
    <x:row r="123">
      <x:c r="A123" s="28" t="str">
        <x:v>Social Work</x:v>
      </x:c>
      <x:c r="B123" s="37" t="n">
        <x:v>46054</x:v>
      </x:c>
      <x:c r="C123" s="26" t="str">
        <x:v>RAH01-2026-050</x:v>
      </x:c>
      <x:c r="D123" s="38" t="n">
        <x:v>46056.194444444445</x:v>
      </x:c>
      <x:c r="E123" s="25" t="str">
        <x:v>RETURNED</x:v>
      </x:c>
      <x:c r="F123" s="25" t="str">
        <x:v>Occupational-health administrator</x:v>
      </x:c>
      <x:c r="G123" s="25" t="str">
        <x:v>Returned for clearer evidence on one control measure; synthetic record only.</x:v>
      </x:c>
      <x:c r="H123" s="27" t="str">
        <x:v>ASM-2026-050</x:v>
      </x:c>
      <x:c r="I123" s="27" t="str">
        <x:v>LOG-2026-050-03</x:v>
      </x:c>
    </x:row>
    <x:row r="124">
      <x:c r="A124" s="28" t="str">
        <x:v>Speech Therapy</x:v>
      </x:c>
      <x:c r="B124" s="37" t="n">
        <x:v>46085</x:v>
      </x:c>
      <x:c r="C124" s="26" t="str">
        <x:v>RAH01-2026-051</x:v>
      </x:c>
      <x:c r="D124" s="38" t="n">
        <x:v>46086.20625</x:v>
      </x:c>
      <x:c r="E124" s="25" t="str">
        <x:v>SUBMITTED</x:v>
      </x:c>
      <x:c r="F124" s="25" t="str">
        <x:v>Occupational-health evaluator — Speech Therapy</x:v>
      </x:c>
      <x:c r="G124" s="25" t="str">
        <x:v>Synthetic RAH.01 assessment submitted for workflow simulation.</x:v>
      </x:c>
      <x:c r="H124" s="27" t="str">
        <x:v>ASM-2026-051</x:v>
      </x:c>
      <x:c r="I124" s="27" t="str">
        <x:v>LOG-2026-051-01</x:v>
      </x:c>
    </x:row>
    <x:row r="125">
      <x:c r="A125" s="28" t="str">
        <x:v>Surgical ICU</x:v>
      </x:c>
      <x:c r="B125" s="37" t="n">
        <x:v>46119</x:v>
      </x:c>
      <x:c r="C125" s="26" t="str">
        <x:v>RAH01-2026-052</x:v>
      </x:c>
      <x:c r="D125" s="38" t="n">
        <x:v>46120.21111111111</x:v>
      </x:c>
      <x:c r="E125" s="25" t="str">
        <x:v>SUBMITTED</x:v>
      </x:c>
      <x:c r="F125" s="25" t="str">
        <x:v>Occupational-health evaluator — Surgical ICU</x:v>
      </x:c>
      <x:c r="G125" s="25" t="str">
        <x:v>Synthetic RAH.01 assessment submitted for workflow simulation.</x:v>
      </x:c>
      <x:c r="H125" s="27" t="str">
        <x:v>ASM-2026-052</x:v>
      </x:c>
      <x:c r="I125" s="27" t="str">
        <x:v>LOG-2026-052-01</x:v>
      </x:c>
    </x:row>
    <x:row r="126">
      <x:c r="A126" s="28" t="str">
        <x:v>Surgical ICU</x:v>
      </x:c>
      <x:c r="B126" s="37" t="n">
        <x:v>46119</x:v>
      </x:c>
      <x:c r="C126" s="26" t="str">
        <x:v>RAH01-2026-052</x:v>
      </x:c>
      <x:c r="D126" s="38" t="n">
        <x:v>46120.37222222222</x:v>
      </x:c>
      <x:c r="E126" s="25" t="str">
        <x:v>IN_REVIEW</x:v>
      </x:c>
      <x:c r="F126" s="25" t="str">
        <x:v>Occupational-health administrator</x:v>
      </x:c>
      <x:c r="G126" s="25" t="str">
        <x:v>Submission opened and checked against the department risk profile.</x:v>
      </x:c>
      <x:c r="H126" s="27" t="str">
        <x:v>ASM-2026-052</x:v>
      </x:c>
      <x:c r="I126" s="27" t="str">
        <x:v>LOG-2026-052-02</x:v>
      </x:c>
    </x:row>
    <x:row r="127">
      <x:c r="A127" s="28" t="str">
        <x:v>Thai Traditional Medicine</x:v>
      </x:c>
      <x:c r="B127" s="37" t="n">
        <x:v>46152</x:v>
      </x:c>
      <x:c r="C127" s="26" t="str">
        <x:v>RAH01-2026-053</x:v>
      </x:c>
      <x:c r="D127" s="38" t="n">
        <x:v>46153.25763888889</x:v>
      </x:c>
      <x:c r="E127" s="25" t="str">
        <x:v>SUBMITTED</x:v>
      </x:c>
      <x:c r="F127" s="25" t="str">
        <x:v>Occupational-health evaluator — Thai Traditional Medicine</x:v>
      </x:c>
      <x:c r="G127" s="25" t="str">
        <x:v>Synthetic RAH.01 assessment submitted for workflow simulation.</x:v>
      </x:c>
      <x:c r="H127" s="27" t="str">
        <x:v>ASM-2026-053</x:v>
      </x:c>
      <x:c r="I127" s="27" t="str">
        <x:v>LOG-2026-053-01</x:v>
      </x:c>
    </x:row>
    <x:row r="128">
      <x:c r="A128" s="28" t="str">
        <x:v>Thai Traditional Medicine</x:v>
      </x:c>
      <x:c r="B128" s="37" t="n">
        <x:v>46152</x:v>
      </x:c>
      <x:c r="C128" s="26" t="str">
        <x:v>RAH01-2026-053</x:v>
      </x:c>
      <x:c r="D128" s="38" t="n">
        <x:v>46153.419444444444</x:v>
      </x:c>
      <x:c r="E128" s="25" t="str">
        <x:v>IN_REVIEW</x:v>
      </x:c>
      <x:c r="F128" s="25" t="str">
        <x:v>Occupational-health administrator</x:v>
      </x:c>
      <x:c r="G128" s="25" t="str">
        <x:v>Submission opened and checked against the department risk profile.</x:v>
      </x:c>
      <x:c r="H128" s="27" t="str">
        <x:v>ASM-2026-053</x:v>
      </x:c>
      <x:c r="I128" s="27" t="str">
        <x:v>LOG-2026-053-02</x:v>
      </x:c>
    </x:row>
    <x:row r="129">
      <x:c r="A129" s="28" t="str">
        <x:v>Thai Traditional Medicine</x:v>
      </x:c>
      <x:c r="B129" s="37" t="n">
        <x:v>46152</x:v>
      </x:c>
      <x:c r="C129" s="26" t="str">
        <x:v>RAH01-2026-053</x:v>
      </x:c>
      <x:c r="D129" s="38" t="n">
        <x:v>46155.294444444444</x:v>
      </x:c>
      <x:c r="E129" s="25" t="str">
        <x:v>CLOSED</x:v>
      </x:c>
      <x:c r="F129" s="25" t="str">
        <x:v>Occupational-health administrator</x:v>
      </x:c>
      <x:c r="G129" s="25" t="str">
        <x:v>Review completed and follow-up ownership recorded; synthetic record only.</x:v>
      </x:c>
      <x:c r="H129" s="27" t="str">
        <x:v>ASM-2026-053</x:v>
      </x:c>
      <x:c r="I129" s="27" t="str">
        <x:v>LOG-2026-053-03</x:v>
      </x:c>
    </x:row>
    <x:row r="130">
      <x:c r="A130" s="28" t="str">
        <x:v>Thoracic Medicine</x:v>
      </x:c>
      <x:c r="B130" s="37" t="n">
        <x:v>46186</x:v>
      </x:c>
      <x:c r="C130" s="26" t="str">
        <x:v>RAH01-2026-054</x:v>
      </x:c>
      <x:c r="D130" s="38" t="n">
        <x:v>46187.30416666667</x:v>
      </x:c>
      <x:c r="E130" s="25" t="str">
        <x:v>SUBMITTED</x:v>
      </x:c>
      <x:c r="F130" s="25" t="str">
        <x:v>Occupational-health evaluator — Thoracic Medicine</x:v>
      </x:c>
      <x:c r="G130" s="25" t="str">
        <x:v>Synthetic RAH.01 assessment submitted for workflow simulation.</x:v>
      </x:c>
      <x:c r="H130" s="27" t="str">
        <x:v>ASM-2026-054</x:v>
      </x:c>
      <x:c r="I130" s="27" t="str">
        <x:v>LOG-2026-054-01</x:v>
      </x:c>
    </x:row>
    <x:row r="131">
      <x:c r="A131" s="28" t="str">
        <x:v>Thoracic Medicine</x:v>
      </x:c>
      <x:c r="B131" s="37" t="n">
        <x:v>46186</x:v>
      </x:c>
      <x:c r="C131" s="26" t="str">
        <x:v>RAH01-2026-054</x:v>
      </x:c>
      <x:c r="D131" s="38" t="n">
        <x:v>46187.46666666667</x:v>
      </x:c>
      <x:c r="E131" s="25" t="str">
        <x:v>IN_REVIEW</x:v>
      </x:c>
      <x:c r="F131" s="25" t="str">
        <x:v>Occupational-health administrator</x:v>
      </x:c>
      <x:c r="G131" s="25" t="str">
        <x:v>Submission opened and checked against the department risk profile.</x:v>
      </x:c>
      <x:c r="H131" s="27" t="str">
        <x:v>ASM-2026-054</x:v>
      </x:c>
      <x:c r="I131" s="27" t="str">
        <x:v>LOG-2026-054-02</x:v>
      </x:c>
    </x:row>
    <x:row r="132">
      <x:c r="A132" s="28" t="str">
        <x:v>Thoracic Medicine</x:v>
      </x:c>
      <x:c r="B132" s="37" t="n">
        <x:v>46186</x:v>
      </x:c>
      <x:c r="C132" s="26" t="str">
        <x:v>RAH01-2026-054</x:v>
      </x:c>
      <x:c r="D132" s="38" t="n">
        <x:v>46189.34166666667</x:v>
      </x:c>
      <x:c r="E132" s="25" t="str">
        <x:v>CLOSED</x:v>
      </x:c>
      <x:c r="F132" s="25" t="str">
        <x:v>Occupational-health administrator</x:v>
      </x:c>
      <x:c r="G132" s="25" t="str">
        <x:v>Review completed and follow-up ownership recorded; synthetic record only.</x:v>
      </x:c>
      <x:c r="H132" s="27" t="str">
        <x:v>ASM-2026-054</x:v>
      </x:c>
      <x:c r="I132" s="27" t="str">
        <x:v>LOG-2026-054-03</x:v>
      </x:c>
    </x:row>
    <x:row r="133">
      <x:c r="A133" s="28" t="str">
        <x:v>Transfusion Medicine</x:v>
      </x:c>
      <x:c r="B133" s="37" t="n">
        <x:v>46038</x:v>
      </x:c>
      <x:c r="C133" s="26" t="str">
        <x:v>RAH01-2026-055</x:v>
      </x:c>
      <x:c r="D133" s="38" t="n">
        <x:v>46039.350694444445</x:v>
      </x:c>
      <x:c r="E133" s="25" t="str">
        <x:v>SUBMITTED</x:v>
      </x:c>
      <x:c r="F133" s="25" t="str">
        <x:v>Occupational-health evaluator — Transfusion Medicine</x:v>
      </x:c>
      <x:c r="G133" s="25" t="str">
        <x:v>Synthetic RAH.01 assessment submitted for workflow simulation.</x:v>
      </x:c>
      <x:c r="H133" s="27" t="str">
        <x:v>ASM-2026-055</x:v>
      </x:c>
      <x:c r="I133" s="27" t="str">
        <x:v>LOG-2026-055-01</x:v>
      </x:c>
    </x:row>
    <x:row r="134">
      <x:c r="A134" s="28" t="str">
        <x:v>Transfusion Medicine</x:v>
      </x:c>
      <x:c r="B134" s="37" t="n">
        <x:v>46038</x:v>
      </x:c>
      <x:c r="C134" s="26" t="str">
        <x:v>RAH01-2026-055</x:v>
      </x:c>
      <x:c r="D134" s="38" t="n">
        <x:v>46039.51388888889</x:v>
      </x:c>
      <x:c r="E134" s="25" t="str">
        <x:v>IN_REVIEW</x:v>
      </x:c>
      <x:c r="F134" s="25" t="str">
        <x:v>Occupational-health administrator</x:v>
      </x:c>
      <x:c r="G134" s="25" t="str">
        <x:v>Submission opened and checked against the department risk profile.</x:v>
      </x:c>
      <x:c r="H134" s="27" t="str">
        <x:v>ASM-2026-055</x:v>
      </x:c>
      <x:c r="I134" s="27" t="str">
        <x:v>LOG-2026-055-02</x:v>
      </x:c>
    </x:row>
    <x:row r="135">
      <x:c r="A135" s="28" t="str">
        <x:v>Transfusion Medicine</x:v>
      </x:c>
      <x:c r="B135" s="37" t="n">
        <x:v>46038</x:v>
      </x:c>
      <x:c r="C135" s="26" t="str">
        <x:v>RAH01-2026-055</x:v>
      </x:c>
      <x:c r="D135" s="38" t="n">
        <x:v>46040.38888888889</x:v>
      </x:c>
      <x:c r="E135" s="25" t="str">
        <x:v>RETURNED</x:v>
      </x:c>
      <x:c r="F135" s="25" t="str">
        <x:v>Occupational-health administrator</x:v>
      </x:c>
      <x:c r="G135" s="25" t="str">
        <x:v>Returned for clearer evidence on one control measure; synthetic record only.</x:v>
      </x:c>
      <x:c r="H135" s="27" t="str">
        <x:v>ASM-2026-055</x:v>
      </x:c>
      <x:c r="I135" s="27" t="str">
        <x:v>LOG-2026-055-03</x:v>
      </x:c>
    </x:row>
    <x:row r="136">
      <x:c r="A136" s="28" t="str">
        <x:v>Trauma Centre</x:v>
      </x:c>
      <x:c r="B136" s="37" t="n">
        <x:v>46072</x:v>
      </x:c>
      <x:c r="C136" s="26" t="str">
        <x:v>RAH01-2026-056</x:v>
      </x:c>
      <x:c r="D136" s="38" t="n">
        <x:v>46073.063888888886</x:v>
      </x:c>
      <x:c r="E136" s="25" t="str">
        <x:v>SUBMITTED</x:v>
      </x:c>
      <x:c r="F136" s="25" t="str">
        <x:v>Occupational-health evaluator — Trauma Centre</x:v>
      </x:c>
      <x:c r="G136" s="25" t="str">
        <x:v>Synthetic RAH.01 assessment submitted for workflow simulation.</x:v>
      </x:c>
      <x:c r="H136" s="27" t="str">
        <x:v>ASM-2026-056</x:v>
      </x:c>
      <x:c r="I136" s="27" t="str">
        <x:v>LOG-2026-056-01</x:v>
      </x:c>
    </x:row>
    <x:row r="137">
      <x:c r="A137" s="28" t="str">
        <x:v>Urology</x:v>
      </x:c>
      <x:c r="B137" s="37" t="n">
        <x:v>46103</x:v>
      </x:c>
      <x:c r="C137" s="26" t="str">
        <x:v>RAH01-2026-057</x:v>
      </x:c>
      <x:c r="D137" s="38" t="n">
        <x:v>46104.11041666667</x:v>
      </x:c>
      <x:c r="E137" s="25" t="str">
        <x:v>SUBMITTED</x:v>
      </x:c>
      <x:c r="F137" s="25" t="str">
        <x:v>Occupational-health evaluator — Urology</x:v>
      </x:c>
      <x:c r="G137" s="25" t="str">
        <x:v>Synthetic RAH.01 assessment submitted for workflow simulation.</x:v>
      </x:c>
      <x:c r="H137" s="27" t="str">
        <x:v>ASM-2026-057</x:v>
      </x:c>
      <x:c r="I137" s="27" t="str">
        <x:v>LOG-2026-057-01</x:v>
      </x:c>
    </x:row>
    <x:row r="138">
      <x:c r="A138" s="28" t="str">
        <x:v>Urology</x:v>
      </x:c>
      <x:c r="B138" s="37" t="n">
        <x:v>46103</x:v>
      </x:c>
      <x:c r="C138" s="26" t="str">
        <x:v>RAH01-2026-057</x:v>
      </x:c>
      <x:c r="D138" s="38" t="n">
        <x:v>46104.275</x:v>
      </x:c>
      <x:c r="E138" s="25" t="str">
        <x:v>IN_REVIEW</x:v>
      </x:c>
      <x:c r="F138" s="25" t="str">
        <x:v>Occupational-health administrator</x:v>
      </x:c>
      <x:c r="G138" s="25" t="str">
        <x:v>Submission opened and checked against the department risk profile.</x:v>
      </x:c>
      <x:c r="H138" s="27" t="str">
        <x:v>ASM-2026-057</x:v>
      </x:c>
      <x:c r="I138" s="27" t="str">
        <x:v>LOG-2026-057-02</x:v>
      </x:c>
    </x:row>
    <x:row r="139">
      <x:c r="A139" s="28" t="str">
        <x:v>Vaccination Clinic</x:v>
      </x:c>
      <x:c r="B139" s="37" t="n">
        <x:v>46137</x:v>
      </x:c>
      <x:c r="C139" s="26" t="str">
        <x:v>RAH01-2026-058</x:v>
      </x:c>
      <x:c r="D139" s="38" t="n">
        <x:v>46138.15694444445</x:v>
      </x:c>
      <x:c r="E139" s="25" t="str">
        <x:v>SUBMITTED</x:v>
      </x:c>
      <x:c r="F139" s="25" t="str">
        <x:v>Occupational-health evaluator — Vaccination Clinic</x:v>
      </x:c>
      <x:c r="G139" s="25" t="str">
        <x:v>Synthetic RAH.01 assessment submitted for workflow simulation.</x:v>
      </x:c>
      <x:c r="H139" s="27" t="str">
        <x:v>ASM-2026-058</x:v>
      </x:c>
      <x:c r="I139" s="27" t="str">
        <x:v>LOG-2026-058-01</x:v>
      </x:c>
    </x:row>
    <x:row r="140">
      <x:c r="A140" s="28" t="str">
        <x:v>Vaccination Clinic</x:v>
      </x:c>
      <x:c r="B140" s="37" t="n">
        <x:v>46137</x:v>
      </x:c>
      <x:c r="C140" s="26" t="str">
        <x:v>RAH01-2026-058</x:v>
      </x:c>
      <x:c r="D140" s="38" t="n">
        <x:v>46138.322222222225</x:v>
      </x:c>
      <x:c r="E140" s="25" t="str">
        <x:v>IN_REVIEW</x:v>
      </x:c>
      <x:c r="F140" s="25" t="str">
        <x:v>Occupational-health administrator</x:v>
      </x:c>
      <x:c r="G140" s="25" t="str">
        <x:v>Submission opened and checked against the department risk profile.</x:v>
      </x:c>
      <x:c r="H140" s="27" t="str">
        <x:v>ASM-2026-058</x:v>
      </x:c>
      <x:c r="I140" s="27" t="str">
        <x:v>LOG-2026-058-02</x:v>
      </x:c>
    </x:row>
    <x:row r="141">
      <x:c r="A141" s="28" t="str">
        <x:v>Vaccination Clinic</x:v>
      </x:c>
      <x:c r="B141" s="37" t="n">
        <x:v>46137</x:v>
      </x:c>
      <x:c r="C141" s="26" t="str">
        <x:v>RAH01-2026-058</x:v>
      </x:c>
      <x:c r="D141" s="38" t="n">
        <x:v>46140.197222222225</x:v>
      </x:c>
      <x:c r="E141" s="25" t="str">
        <x:v>CLOSED</x:v>
      </x:c>
      <x:c r="F141" s="25" t="str">
        <x:v>Occupational-health administrator</x:v>
      </x:c>
      <x:c r="G141" s="25" t="str">
        <x:v>Review completed and follow-up ownership recorded; synthetic record only.</x:v>
      </x:c>
      <x:c r="H141" s="27" t="str">
        <x:v>ASM-2026-058</x:v>
      </x:c>
      <x:c r="I141" s="27" t="str">
        <x:v>LOG-2026-058-03</x:v>
      </x:c>
    </x:row>
    <x:row r="142">
      <x:c r="A142" s="28" t="str">
        <x:v>Ward 1</x:v>
      </x:c>
      <x:c r="B142" s="37" t="n">
        <x:v>46145</x:v>
      </x:c>
      <x:c r="C142" s="26" t="str">
        <x:v>RAH01-2026-059</x:v>
      </x:c>
      <x:c r="D142" s="38" t="n">
        <x:v>46146.20347222222</x:v>
      </x:c>
      <x:c r="E142" s="25" t="str">
        <x:v>SUBMITTED</x:v>
      </x:c>
      <x:c r="F142" s="25" t="str">
        <x:v>Occupational-health evaluator — Ward 1</x:v>
      </x:c>
      <x:c r="G142" s="25" t="str">
        <x:v>Synthetic RAH.01 assessment submitted for workflow simulation.</x:v>
      </x:c>
      <x:c r="H142" s="27" t="str">
        <x:v>ASM-2026-059</x:v>
      </x:c>
      <x:c r="I142" s="27" t="str">
        <x:v>LOG-2026-059-01</x:v>
      </x:c>
    </x:row>
    <x:row r="143">
      <x:c r="A143" s="28" t="str">
        <x:v>Ward 1</x:v>
      </x:c>
      <x:c r="B143" s="37" t="n">
        <x:v>46145</x:v>
      </x:c>
      <x:c r="C143" s="26" t="str">
        <x:v>RAH01-2026-059</x:v>
      </x:c>
      <x:c r="D143" s="38" t="n">
        <x:v>46146.36944444444</x:v>
      </x:c>
      <x:c r="E143" s="25" t="str">
        <x:v>IN_REVIEW</x:v>
      </x:c>
      <x:c r="F143" s="25" t="str">
        <x:v>Occupational-health administrator</x:v>
      </x:c>
      <x:c r="G143" s="25" t="str">
        <x:v>Submission opened and checked against the department risk profile.</x:v>
      </x:c>
      <x:c r="H143" s="27" t="str">
        <x:v>ASM-2026-059</x:v>
      </x:c>
      <x:c r="I143" s="27" t="str">
        <x:v>LOG-2026-059-02</x:v>
      </x:c>
    </x:row>
    <x:row r="144">
      <x:c r="A144" s="28" t="str">
        <x:v>Ward 1</x:v>
      </x:c>
      <x:c r="B144" s="37" t="n">
        <x:v>46145</x:v>
      </x:c>
      <x:c r="C144" s="26" t="str">
        <x:v>RAH01-2026-059</x:v>
      </x:c>
      <x:c r="D144" s="38" t="n">
        <x:v>46148.24444444444</x:v>
      </x:c>
      <x:c r="E144" s="25" t="str">
        <x:v>CLOSED</x:v>
      </x:c>
      <x:c r="F144" s="25" t="str">
        <x:v>Occupational-health administrator</x:v>
      </x:c>
      <x:c r="G144" s="25" t="str">
        <x:v>Review completed and follow-up ownership recorded; synthetic record only.</x:v>
      </x:c>
      <x:c r="H144" s="27" t="str">
        <x:v>ASM-2026-059</x:v>
      </x:c>
      <x:c r="I144" s="27" t="str">
        <x:v>LOG-2026-059-03</x:v>
      </x:c>
    </x:row>
    <x:row r="145">
      <x:c r="A145" s="28" t="str">
        <x:v>Ward 10</x:v>
      </x:c>
      <x:c r="B145" s="37" t="n">
        <x:v>46058</x:v>
      </x:c>
      <x:c r="C145" s="26" t="str">
        <x:v>RAH01-2026-068</x:v>
      </x:c>
      <x:c r="D145" s="38" t="n">
        <x:v>46059.24722222222</x:v>
      </x:c>
      <x:c r="E145" s="25" t="str">
        <x:v>SUBMITTED</x:v>
      </x:c>
      <x:c r="F145" s="25" t="str">
        <x:v>Occupational-health evaluator — Ward 10</x:v>
      </x:c>
      <x:c r="G145" s="25" t="str">
        <x:v>Synthetic RAH.01 assessment submitted for workflow simulation.</x:v>
      </x:c>
      <x:c r="H145" s="27" t="str">
        <x:v>ASM-2026-068</x:v>
      </x:c>
      <x:c r="I145" s="27" t="str">
        <x:v>LOG-2026-068-01</x:v>
      </x:c>
    </x:row>
    <x:row r="146">
      <x:c r="A146" s="28" t="str">
        <x:v>Ward 10</x:v>
      </x:c>
      <x:c r="B146" s="37" t="n">
        <x:v>46058</x:v>
      </x:c>
      <x:c r="C146" s="26" t="str">
        <x:v>RAH01-2026-068</x:v>
      </x:c>
      <x:c r="D146" s="38" t="n">
        <x:v>46059.419444444444</x:v>
      </x:c>
      <x:c r="E146" s="25" t="str">
        <x:v>IN_REVIEW</x:v>
      </x:c>
      <x:c r="F146" s="25" t="str">
        <x:v>Occupational-health administrator</x:v>
      </x:c>
      <x:c r="G146" s="25" t="str">
        <x:v>Submission opened and checked against the department risk profile.</x:v>
      </x:c>
      <x:c r="H146" s="27" t="str">
        <x:v>ASM-2026-068</x:v>
      </x:c>
      <x:c r="I146" s="27" t="str">
        <x:v>LOG-2026-068-02</x:v>
      </x:c>
    </x:row>
    <x:row r="147">
      <x:c r="A147" s="28" t="str">
        <x:v>Ward 10</x:v>
      </x:c>
      <x:c r="B147" s="37" t="n">
        <x:v>46058</x:v>
      </x:c>
      <x:c r="C147" s="26" t="str">
        <x:v>RAH01-2026-068</x:v>
      </x:c>
      <x:c r="D147" s="38" t="n">
        <x:v>46061.294444444444</x:v>
      </x:c>
      <x:c r="E147" s="25" t="str">
        <x:v>CLOSED</x:v>
      </x:c>
      <x:c r="F147" s="25" t="str">
        <x:v>Occupational-health administrator</x:v>
      </x:c>
      <x:c r="G147" s="25" t="str">
        <x:v>Review completed and follow-up ownership recorded; synthetic record only.</x:v>
      </x:c>
      <x:c r="H147" s="27" t="str">
        <x:v>ASM-2026-068</x:v>
      </x:c>
      <x:c r="I147" s="27" t="str">
        <x:v>LOG-2026-068-03</x:v>
      </x:c>
    </x:row>
    <x:row r="148">
      <x:c r="A148" s="28" t="str">
        <x:v>Ward 2</x:v>
      </x:c>
      <x:c r="B148" s="37" t="n">
        <x:v>46179</x:v>
      </x:c>
      <x:c r="C148" s="26" t="str">
        <x:v>RAH01-2026-060</x:v>
      </x:c>
      <x:c r="D148" s="38" t="n">
        <x:v>46180.208333333336</x:v>
      </x:c>
      <x:c r="E148" s="25" t="str">
        <x:v>SUBMITTED</x:v>
      </x:c>
      <x:c r="F148" s="25" t="str">
        <x:v>Occupational-health evaluator — Ward 2</x:v>
      </x:c>
      <x:c r="G148" s="25" t="str">
        <x:v>Synthetic RAH.01 assessment submitted for workflow simulation.</x:v>
      </x:c>
      <x:c r="H148" s="27" t="str">
        <x:v>ASM-2026-060</x:v>
      </x:c>
      <x:c r="I148" s="27" t="str">
        <x:v>LOG-2026-060-01</x:v>
      </x:c>
    </x:row>
    <x:row r="149">
      <x:c r="A149" s="28" t="str">
        <x:v>Ward 2</x:v>
      </x:c>
      <x:c r="B149" s="37" t="n">
        <x:v>46179</x:v>
      </x:c>
      <x:c r="C149" s="26" t="str">
        <x:v>RAH01-2026-060</x:v>
      </x:c>
      <x:c r="D149" s="38" t="n">
        <x:v>46180.375</x:v>
      </x:c>
      <x:c r="E149" s="25" t="str">
        <x:v>IN_REVIEW</x:v>
      </x:c>
      <x:c r="F149" s="25" t="str">
        <x:v>Occupational-health administrator</x:v>
      </x:c>
      <x:c r="G149" s="25" t="str">
        <x:v>Submission opened and checked against the department risk profile.</x:v>
      </x:c>
      <x:c r="H149" s="27" t="str">
        <x:v>ASM-2026-060</x:v>
      </x:c>
      <x:c r="I149" s="27" t="str">
        <x:v>LOG-2026-060-02</x:v>
      </x:c>
    </x:row>
    <x:row r="150">
      <x:c r="A150" s="28" t="str">
        <x:v>Ward 2</x:v>
      </x:c>
      <x:c r="B150" s="37" t="n">
        <x:v>46179</x:v>
      </x:c>
      <x:c r="C150" s="26" t="str">
        <x:v>RAH01-2026-060</x:v>
      </x:c>
      <x:c r="D150" s="38" t="n">
        <x:v>46181.25</x:v>
      </x:c>
      <x:c r="E150" s="25" t="str">
        <x:v>RETURNED</x:v>
      </x:c>
      <x:c r="F150" s="25" t="str">
        <x:v>Occupational-health administrator</x:v>
      </x:c>
      <x:c r="G150" s="25" t="str">
        <x:v>Returned for clearer evidence on one control measure; synthetic record only.</x:v>
      </x:c>
      <x:c r="H150" s="27" t="str">
        <x:v>ASM-2026-060</x:v>
      </x:c>
      <x:c r="I150" s="27" t="str">
        <x:v>LOG-2026-060-03</x:v>
      </x:c>
    </x:row>
    <x:row r="151">
      <x:c r="A151" s="28" t="str">
        <x:v>Ward 3</x:v>
      </x:c>
      <x:c r="B151" s="37" t="n">
        <x:v>46031</x:v>
      </x:c>
      <x:c r="C151" s="26" t="str">
        <x:v>RAH01-2026-061</x:v>
      </x:c>
      <x:c r="D151" s="38" t="n">
        <x:v>46032.25486111111</x:v>
      </x:c>
      <x:c r="E151" s="25" t="str">
        <x:v>SUBMITTED</x:v>
      </x:c>
      <x:c r="F151" s="25" t="str">
        <x:v>Occupational-health evaluator — Ward 3</x:v>
      </x:c>
      <x:c r="G151" s="25" t="str">
        <x:v>Synthetic RAH.01 assessment submitted for workflow simulation.</x:v>
      </x:c>
      <x:c r="H151" s="27" t="str">
        <x:v>ASM-2026-061</x:v>
      </x:c>
      <x:c r="I151" s="27" t="str">
        <x:v>LOG-2026-061-01</x:v>
      </x:c>
    </x:row>
    <x:row r="152">
      <x:c r="A152" s="28" t="str">
        <x:v>Ward 4</x:v>
      </x:c>
      <x:c r="B152" s="37" t="n">
        <x:v>46065</x:v>
      </x:c>
      <x:c r="C152" s="26" t="str">
        <x:v>RAH01-2026-062</x:v>
      </x:c>
      <x:c r="D152" s="38" t="n">
        <x:v>46066.30138888889</x:v>
      </x:c>
      <x:c r="E152" s="25" t="str">
        <x:v>SUBMITTED</x:v>
      </x:c>
      <x:c r="F152" s="25" t="str">
        <x:v>Occupational-health evaluator — Ward 4</x:v>
      </x:c>
      <x:c r="G152" s="25" t="str">
        <x:v>Synthetic RAH.01 assessment submitted for workflow simulation.</x:v>
      </x:c>
      <x:c r="H152" s="27" t="str">
        <x:v>ASM-2026-062</x:v>
      </x:c>
      <x:c r="I152" s="27" t="str">
        <x:v>LOG-2026-062-01</x:v>
      </x:c>
    </x:row>
    <x:row r="153">
      <x:c r="A153" s="28" t="str">
        <x:v>Ward 4</x:v>
      </x:c>
      <x:c r="B153" s="37" t="n">
        <x:v>46065</x:v>
      </x:c>
      <x:c r="C153" s="26" t="str">
        <x:v>RAH01-2026-062</x:v>
      </x:c>
      <x:c r="D153" s="38" t="n">
        <x:v>46066.46944444445</x:v>
      </x:c>
      <x:c r="E153" s="25" t="str">
        <x:v>IN_REVIEW</x:v>
      </x:c>
      <x:c r="F153" s="25" t="str">
        <x:v>Occupational-health administrator</x:v>
      </x:c>
      <x:c r="G153" s="25" t="str">
        <x:v>Submission opened and checked against the department risk profile.</x:v>
      </x:c>
      <x:c r="H153" s="27" t="str">
        <x:v>ASM-2026-062</x:v>
      </x:c>
      <x:c r="I153" s="27" t="str">
        <x:v>LOG-2026-062-02</x:v>
      </x:c>
    </x:row>
    <x:row r="154">
      <x:c r="A154" s="28" t="str">
        <x:v>Ward 5</x:v>
      </x:c>
      <x:c r="B154" s="37" t="n">
        <x:v>46096</x:v>
      </x:c>
      <x:c r="C154" s="26" t="str">
        <x:v>RAH01-2026-063</x:v>
      </x:c>
      <x:c r="D154" s="38" t="n">
        <x:v>46097.347916666666</x:v>
      </x:c>
      <x:c r="E154" s="25" t="str">
        <x:v>SUBMITTED</x:v>
      </x:c>
      <x:c r="F154" s="25" t="str">
        <x:v>Occupational-health evaluator — Ward 5</x:v>
      </x:c>
      <x:c r="G154" s="25" t="str">
        <x:v>Synthetic RAH.01 assessment submitted for workflow simulation.</x:v>
      </x:c>
      <x:c r="H154" s="27" t="str">
        <x:v>ASM-2026-063</x:v>
      </x:c>
      <x:c r="I154" s="27" t="str">
        <x:v>LOG-2026-063-01</x:v>
      </x:c>
    </x:row>
    <x:row r="155">
      <x:c r="A155" s="28" t="str">
        <x:v>Ward 5</x:v>
      </x:c>
      <x:c r="B155" s="37" t="n">
        <x:v>46096</x:v>
      </x:c>
      <x:c r="C155" s="26" t="str">
        <x:v>RAH01-2026-063</x:v>
      </x:c>
      <x:c r="D155" s="38" t="n">
        <x:v>46097.51666666667</x:v>
      </x:c>
      <x:c r="E155" s="25" t="str">
        <x:v>IN_REVIEW</x:v>
      </x:c>
      <x:c r="F155" s="25" t="str">
        <x:v>Occupational-health administrator</x:v>
      </x:c>
      <x:c r="G155" s="25" t="str">
        <x:v>Submission opened and checked against the department risk profile.</x:v>
      </x:c>
      <x:c r="H155" s="27" t="str">
        <x:v>ASM-2026-063</x:v>
      </x:c>
      <x:c r="I155" s="27" t="str">
        <x:v>LOG-2026-063-02</x:v>
      </x:c>
    </x:row>
    <x:row r="156">
      <x:c r="A156" s="28" t="str">
        <x:v>Ward 5</x:v>
      </x:c>
      <x:c r="B156" s="37" t="n">
        <x:v>46096</x:v>
      </x:c>
      <x:c r="C156" s="26" t="str">
        <x:v>RAH01-2026-063</x:v>
      </x:c>
      <x:c r="D156" s="38" t="n">
        <x:v>46099.39166666667</x:v>
      </x:c>
      <x:c r="E156" s="25" t="str">
        <x:v>CLOSED</x:v>
      </x:c>
      <x:c r="F156" s="25" t="str">
        <x:v>Occupational-health administrator</x:v>
      </x:c>
      <x:c r="G156" s="25" t="str">
        <x:v>Review completed and follow-up ownership recorded; synthetic record only.</x:v>
      </x:c>
      <x:c r="H156" s="27" t="str">
        <x:v>ASM-2026-063</x:v>
      </x:c>
      <x:c r="I156" s="27" t="str">
        <x:v>LOG-2026-063-03</x:v>
      </x:c>
    </x:row>
    <x:row r="157">
      <x:c r="A157" s="28" t="str">
        <x:v>Ward 6</x:v>
      </x:c>
      <x:c r="B157" s="37" t="n">
        <x:v>46130</x:v>
      </x:c>
      <x:c r="C157" s="26" t="str">
        <x:v>RAH01-2026-064</x:v>
      </x:c>
      <x:c r="D157" s="38" t="n">
        <x:v>46131.061111111114</x:v>
      </x:c>
      <x:c r="E157" s="25" t="str">
        <x:v>SUBMITTED</x:v>
      </x:c>
      <x:c r="F157" s="25" t="str">
        <x:v>Occupational-health evaluator — Ward 6</x:v>
      </x:c>
      <x:c r="G157" s="25" t="str">
        <x:v>Synthetic RAH.01 assessment submitted for workflow simulation.</x:v>
      </x:c>
      <x:c r="H157" s="27" t="str">
        <x:v>ASM-2026-064</x:v>
      </x:c>
      <x:c r="I157" s="27" t="str">
        <x:v>LOG-2026-064-01</x:v>
      </x:c>
    </x:row>
    <x:row r="158">
      <x:c r="A158" s="28" t="str">
        <x:v>Ward 6</x:v>
      </x:c>
      <x:c r="B158" s="37" t="n">
        <x:v>46130</x:v>
      </x:c>
      <x:c r="C158" s="26" t="str">
        <x:v>RAH01-2026-064</x:v>
      </x:c>
      <x:c r="D158" s="38" t="n">
        <x:v>46131.23055555556</x:v>
      </x:c>
      <x:c r="E158" s="25" t="str">
        <x:v>IN_REVIEW</x:v>
      </x:c>
      <x:c r="F158" s="25" t="str">
        <x:v>Occupational-health administrator</x:v>
      </x:c>
      <x:c r="G158" s="25" t="str">
        <x:v>Submission opened and checked against the department risk profile.</x:v>
      </x:c>
      <x:c r="H158" s="27" t="str">
        <x:v>ASM-2026-064</x:v>
      </x:c>
      <x:c r="I158" s="27" t="str">
        <x:v>LOG-2026-064-02</x:v>
      </x:c>
    </x:row>
    <x:row r="159">
      <x:c r="A159" s="28" t="str">
        <x:v>Ward 6</x:v>
      </x:c>
      <x:c r="B159" s="37" t="n">
        <x:v>46130</x:v>
      </x:c>
      <x:c r="C159" s="26" t="str">
        <x:v>RAH01-2026-064</x:v>
      </x:c>
      <x:c r="D159" s="38" t="n">
        <x:v>46133.10555555556</x:v>
      </x:c>
      <x:c r="E159" s="25" t="str">
        <x:v>CLOSED</x:v>
      </x:c>
      <x:c r="F159" s="25" t="str">
        <x:v>Occupational-health administrator</x:v>
      </x:c>
      <x:c r="G159" s="25" t="str">
        <x:v>Review completed and follow-up ownership recorded; synthetic record only.</x:v>
      </x:c>
      <x:c r="H159" s="27" t="str">
        <x:v>ASM-2026-064</x:v>
      </x:c>
      <x:c r="I159" s="27" t="str">
        <x:v>LOG-2026-064-03</x:v>
      </x:c>
    </x:row>
    <x:row r="160">
      <x:c r="A160" s="28" t="str">
        <x:v>Ward 7</x:v>
      </x:c>
      <x:c r="B160" s="37" t="n">
        <x:v>46163</x:v>
      </x:c>
      <x:c r="C160" s="26" t="str">
        <x:v>RAH01-2026-065</x:v>
      </x:c>
      <x:c r="D160" s="38" t="n">
        <x:v>46164.10763888889</x:v>
      </x:c>
      <x:c r="E160" s="25" t="str">
        <x:v>SUBMITTED</x:v>
      </x:c>
      <x:c r="F160" s="25" t="str">
        <x:v>Occupational-health evaluator — Ward 7</x:v>
      </x:c>
      <x:c r="G160" s="25" t="str">
        <x:v>Synthetic RAH.01 assessment submitted for workflow simulation.</x:v>
      </x:c>
      <x:c r="H160" s="27" t="str">
        <x:v>ASM-2026-065</x:v>
      </x:c>
      <x:c r="I160" s="27" t="str">
        <x:v>LOG-2026-065-01</x:v>
      </x:c>
    </x:row>
    <x:row r="161">
      <x:c r="A161" s="28" t="str">
        <x:v>Ward 7</x:v>
      </x:c>
      <x:c r="B161" s="37" t="n">
        <x:v>46163</x:v>
      </x:c>
      <x:c r="C161" s="26" t="str">
        <x:v>RAH01-2026-065</x:v>
      </x:c>
      <x:c r="D161" s="38" t="n">
        <x:v>46164.27777777778</x:v>
      </x:c>
      <x:c r="E161" s="25" t="str">
        <x:v>IN_REVIEW</x:v>
      </x:c>
      <x:c r="F161" s="25" t="str">
        <x:v>Occupational-health administrator</x:v>
      </x:c>
      <x:c r="G161" s="25" t="str">
        <x:v>Submission opened and checked against the department risk profile.</x:v>
      </x:c>
      <x:c r="H161" s="27" t="str">
        <x:v>ASM-2026-065</x:v>
      </x:c>
      <x:c r="I161" s="27" t="str">
        <x:v>LOG-2026-065-02</x:v>
      </x:c>
    </x:row>
    <x:row r="162">
      <x:c r="A162" s="28" t="str">
        <x:v>Ward 7</x:v>
      </x:c>
      <x:c r="B162" s="37" t="n">
        <x:v>46163</x:v>
      </x:c>
      <x:c r="C162" s="26" t="str">
        <x:v>RAH01-2026-065</x:v>
      </x:c>
      <x:c r="D162" s="38" t="n">
        <x:v>46165.15277777778</x:v>
      </x:c>
      <x:c r="E162" s="25" t="str">
        <x:v>RETURNED</x:v>
      </x:c>
      <x:c r="F162" s="25" t="str">
        <x:v>Occupational-health administrator</x:v>
      </x:c>
      <x:c r="G162" s="25" t="str">
        <x:v>Returned for clearer evidence on one control measure; synthetic record only.</x:v>
      </x:c>
      <x:c r="H162" s="27" t="str">
        <x:v>ASM-2026-065</x:v>
      </x:c>
      <x:c r="I162" s="27" t="str">
        <x:v>LOG-2026-065-03</x:v>
      </x:c>
    </x:row>
    <x:row r="163">
      <x:c r="A163" s="28" t="str">
        <x:v>Ward 8</x:v>
      </x:c>
      <x:c r="B163" s="37" t="n">
        <x:v>46197</x:v>
      </x:c>
      <x:c r="C163" s="26" t="str">
        <x:v>RAH01-2026-066</x:v>
      </x:c>
      <x:c r="D163" s="38" t="n">
        <x:v>46198.15416666667</x:v>
      </x:c>
      <x:c r="E163" s="25" t="str">
        <x:v>SUBMITTED</x:v>
      </x:c>
      <x:c r="F163" s="25" t="str">
        <x:v>Occupational-health evaluator — Ward 8</x:v>
      </x:c>
      <x:c r="G163" s="25" t="str">
        <x:v>Synthetic RAH.01 assessment submitted for workflow simulation.</x:v>
      </x:c>
      <x:c r="H163" s="27" t="str">
        <x:v>ASM-2026-066</x:v>
      </x:c>
      <x:c r="I163" s="27" t="str">
        <x:v>LOG-2026-066-01</x:v>
      </x:c>
    </x:row>
    <x:row r="164">
      <x:c r="A164" s="28" t="str">
        <x:v>Ward 9</x:v>
      </x:c>
      <x:c r="B164" s="37" t="n">
        <x:v>46024</x:v>
      </x:c>
      <x:c r="C164" s="26" t="str">
        <x:v>RAH01-2026-067</x:v>
      </x:c>
      <x:c r="D164" s="38" t="n">
        <x:v>46025.200694444444</x:v>
      </x:c>
      <x:c r="E164" s="25" t="str">
        <x:v>SUBMITTED</x:v>
      </x:c>
      <x:c r="F164" s="25" t="str">
        <x:v>Occupational-health evaluator — Ward 9</x:v>
      </x:c>
      <x:c r="G164" s="25" t="str">
        <x:v>Synthetic RAH.01 assessment submitted for workflow simulation.</x:v>
      </x:c>
      <x:c r="H164" s="27" t="str">
        <x:v>ASM-2026-067</x:v>
      </x:c>
      <x:c r="I164" s="27" t="str">
        <x:v>LOG-2026-067-01</x:v>
      </x:c>
    </x:row>
    <x:row r="165">
      <x:c r="A165" s="28" t="str">
        <x:v>Ward 9</x:v>
      </x:c>
      <x:c r="B165" s="37" t="n">
        <x:v>46024</x:v>
      </x:c>
      <x:c r="C165" s="26" t="str">
        <x:v>RAH01-2026-067</x:v>
      </x:c>
      <x:c r="D165" s="38" t="n">
        <x:v>46025.37222222222</x:v>
      </x:c>
      <x:c r="E165" s="25" t="str">
        <x:v>IN_REVIEW</x:v>
      </x:c>
      <x:c r="F165" s="25" t="str">
        <x:v>Occupational-health administrator</x:v>
      </x:c>
      <x:c r="G165" s="25" t="str">
        <x:v>Submission opened and checked against the department risk profile.</x:v>
      </x:c>
      <x:c r="H165" s="27" t="str">
        <x:v>ASM-2026-067</x:v>
      </x:c>
      <x:c r="I165" s="27" t="str">
        <x:v>LOG-2026-067-02</x:v>
      </x:c>
    </x:row>
    <x:row r="166">
      <x:c r="A166" s="28" t="str">
        <x:v>Women’s Health</x:v>
      </x:c>
      <x:c r="B166" s="37" t="n">
        <x:v>46089</x:v>
      </x:c>
      <x:c r="C166" s="26" t="str">
        <x:v>RAH01-2026-069</x:v>
      </x:c>
      <x:c r="D166" s="38" t="n">
        <x:v>46090.25208333333</x:v>
      </x:c>
      <x:c r="E166" s="25" t="str">
        <x:v>SUBMITTED</x:v>
      </x:c>
      <x:c r="F166" s="25" t="str">
        <x:v>Occupational-health evaluator — Women’s Health</x:v>
      </x:c>
      <x:c r="G166" s="25" t="str">
        <x:v>Synthetic RAH.01 assessment submitted for workflow simulation.</x:v>
      </x:c>
      <x:c r="H166" s="27" t="str">
        <x:v>ASM-2026-069</x:v>
      </x:c>
      <x:c r="I166" s="27" t="str">
        <x:v>LOG-2026-069-01</x:v>
      </x:c>
    </x:row>
    <x:row r="167">
      <x:c r="A167" s="28" t="str">
        <x:v>Women’s Health</x:v>
      </x:c>
      <x:c r="B167" s="37" t="n">
        <x:v>46089</x:v>
      </x:c>
      <x:c r="C167" s="26" t="str">
        <x:v>RAH01-2026-069</x:v>
      </x:c>
      <x:c r="D167" s="38" t="n">
        <x:v>46090.425</x:v>
      </x:c>
      <x:c r="E167" s="25" t="str">
        <x:v>IN_REVIEW</x:v>
      </x:c>
      <x:c r="F167" s="25" t="str">
        <x:v>Occupational-health administrator</x:v>
      </x:c>
      <x:c r="G167" s="25" t="str">
        <x:v>Submission opened and checked against the department risk profile.</x:v>
      </x:c>
      <x:c r="H167" s="27" t="str">
        <x:v>ASM-2026-069</x:v>
      </x:c>
      <x:c r="I167" s="27" t="str">
        <x:v>LOG-2026-069-02</x:v>
      </x:c>
    </x:row>
    <x:row r="168">
      <x:c r="A168" s="28" t="str">
        <x:v>Women’s Health</x:v>
      </x:c>
      <x:c r="B168" s="37" t="n">
        <x:v>46089</x:v>
      </x:c>
      <x:c r="C168" s="26" t="str">
        <x:v>RAH01-2026-069</x:v>
      </x:c>
      <x:c r="D168" s="38" t="n">
        <x:v>46092.3</x:v>
      </x:c>
      <x:c r="E168" s="25" t="str">
        <x:v>CLOSED</x:v>
      </x:c>
      <x:c r="F168" s="25" t="str">
        <x:v>Occupational-health administrator</x:v>
      </x:c>
      <x:c r="G168" s="25" t="str">
        <x:v>Review completed and follow-up ownership recorded; synthetic record only.</x:v>
      </x:c>
      <x:c r="H168" s="27" t="str">
        <x:v>ASM-2026-069</x:v>
      </x:c>
      <x:c r="I168" s="27" t="str">
        <x:v>LOG-2026-069-03</x:v>
      </x:c>
    </x:row>
    <x:row r="169">
      <x:c r="A169" s="28" t="str">
        <x:v>Workplace Safety</x:v>
      </x:c>
      <x:c r="B169" s="37" t="n">
        <x:v>46123</x:v>
      </x:c>
      <x:c r="C169" s="26" t="str">
        <x:v>RAH01-2026-070</x:v>
      </x:c>
      <x:c r="D169" s="38" t="n">
        <x:v>46124.29861111111</x:v>
      </x:c>
      <x:c r="E169" s="25" t="str">
        <x:v>SUBMITTED</x:v>
      </x:c>
      <x:c r="F169" s="25" t="str">
        <x:v>Occupational-health evaluator — Workplace Safety</x:v>
      </x:c>
      <x:c r="G169" s="25" t="str">
        <x:v>Synthetic RAH.01 assessment submitted for workflow simulation.</x:v>
      </x:c>
      <x:c r="H169" s="27" t="str">
        <x:v>ASM-2026-070</x:v>
      </x:c>
      <x:c r="I169" s="27" t="str">
        <x:v>LOG-2026-070-01</x:v>
      </x:c>
    </x:row>
    <x:row r="170">
      <x:c r="A170" s="28" t="str">
        <x:v>Workplace Safety</x:v>
      </x:c>
      <x:c r="B170" s="37" t="n">
        <x:v>46123</x:v>
      </x:c>
      <x:c r="C170" s="26" t="str">
        <x:v>RAH01-2026-070</x:v>
      </x:c>
      <x:c r="D170" s="38" t="n">
        <x:v>46124.47222222222</x:v>
      </x:c>
      <x:c r="E170" s="25" t="str">
        <x:v>IN_REVIEW</x:v>
      </x:c>
      <x:c r="F170" s="25" t="str">
        <x:v>Occupational-health administrator</x:v>
      </x:c>
      <x:c r="G170" s="25" t="str">
        <x:v>Submission opened and checked against the department risk profile.</x:v>
      </x:c>
      <x:c r="H170" s="27" t="str">
        <x:v>ASM-2026-070</x:v>
      </x:c>
      <x:c r="I170" s="27" t="str">
        <x:v>LOG-2026-070-02</x:v>
      </x:c>
    </x:row>
    <x:row r="171">
      <x:c r="A171" s="28" t="str">
        <x:v>Workplace Safety</x:v>
      </x:c>
      <x:c r="B171" s="37" t="n">
        <x:v>46123</x:v>
      </x:c>
      <x:c r="C171" s="26" t="str">
        <x:v>RAH01-2026-070</x:v>
      </x:c>
      <x:c r="D171" s="38" t="n">
        <x:v>46125.34722222222</x:v>
      </x:c>
      <x:c r="E171" s="25" t="str">
        <x:v>RETURNED</x:v>
      </x:c>
      <x:c r="F171" s="25" t="str">
        <x:v>Occupational-health administrator</x:v>
      </x:c>
      <x:c r="G171" s="25" t="str">
        <x:v>Returned for clearer evidence on one control measure; synthetic record only.</x:v>
      </x:c>
      <x:c r="H171" s="27" t="str">
        <x:v>ASM-2026-070</x:v>
      </x:c>
      <x:c r="I171" s="27" t="str">
        <x:v>LOG-2026-070-03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498c7202bd34ec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38" hidden="0" customWidth="1"/>
    <x:col min="2" max="2" width="20" hidden="0" customWidth="1"/>
    <x:col min="3" max="3" width="14" hidden="0" customWidth="1"/>
    <x:col min="4" max="4" width="14" hidden="0" customWidth="1"/>
    <x:col min="5" max="5" width="18" hidden="0" customWidth="1"/>
    <x:col min="7" max="7" width="24" hidden="0" customWidth="1"/>
    <x:col min="8" max="8" width="38" hidden="0" customWidth="1"/>
  </x:cols>
  <x:sheetData>
    <x:row r="1" ht="30" customHeight="1">
      <x:c r="A1" s="3" t="str">
        <x:v>RAH.01 Department settings / ตั้งค่าหน่วยงาน</x:v>
      </x:c>
      <x:c r="B1" s="3"/>
      <x:c r="C1" s="3"/>
      <x:c r="D1" s="3"/>
      <x:c r="E1" s="3"/>
      <x:c r="G1" s="41" t="str">
        <x:v>Form configuration / ตั้งค่าแบบฟอร์ม</x:v>
      </x:c>
      <x:c r="H1" s="41"/>
    </x:row>
    <x:row r="2" ht="28" customHeight="1">
      <x:c r="A2" s="7" t="str">
        <x:v>Starter list: 150 departments. The first 70 are active; admins may append more rows in Google Sheets. IDs, codes, and sort_order must stay unique.</x:v>
      </x:c>
      <x:c r="B2" s="7"/>
      <x:c r="C2" s="7"/>
      <x:c r="D2" s="7"/>
      <x:c r="E2" s="7"/>
      <x:c r="G2" s="7" t="str">
        <x:v>Admin: edit the yellow value before deployment.</x:v>
      </x:c>
      <x:c r="H2" s="7"/>
    </x:row>
    <x:row r="3" ht="34" customHeight="1">
      <x:c r="A3" s="20" t="str">
        <x:v>department_name</x:v>
      </x:c>
      <x:c r="B3" s="21" t="str">
        <x:v>department_code</x:v>
      </x:c>
      <x:c r="C3" s="21" t="str">
        <x:v>active</x:v>
      </x:c>
      <x:c r="D3" s="21" t="str">
        <x:v>sort_order</x:v>
      </x:c>
      <x:c r="E3" s="22" t="str">
        <x:v>department_id</x:v>
      </x:c>
      <x:c r="G3" s="43" t="str">
        <x:v>setting_key</x:v>
      </x:c>
      <x:c r="H3" s="43" t="str">
        <x:v>setting_value</x:v>
      </x:c>
    </x:row>
    <x:row r="4">
      <x:c r="A4" s="32" t="str">
        <x:v>Accident &amp; Emergency</x:v>
      </x:c>
      <x:c r="B4" s="27" t="str">
        <x:v>01</x:v>
      </x:c>
      <x:c r="C4" s="39" t="b">
        <x:v>1</x:v>
      </x:c>
      <x:c r="D4" s="35" t="n">
        <x:v>1</x:v>
      </x:c>
      <x:c r="E4" s="27" t="str">
        <x:v>DPT-001</x:v>
      </x:c>
      <x:c r="G4" s="46" t="str">
        <x:v>hospital_name</x:v>
      </x:c>
      <x:c r="H4" s="49" t="str">
        <x:v>Your Hospital Name</x:v>
      </x:c>
    </x:row>
    <x:row r="5">
      <x:c r="A5" s="32" t="str">
        <x:v>Anaesthesia</x:v>
      </x:c>
      <x:c r="B5" s="27" t="str">
        <x:v>02</x:v>
      </x:c>
      <x:c r="C5" s="39" t="b">
        <x:v>1</x:v>
      </x:c>
      <x:c r="D5" s="35" t="n">
        <x:v>2</x:v>
      </x:c>
      <x:c r="E5" s="27" t="str">
        <x:v>DPT-002</x:v>
      </x:c>
    </x:row>
    <x:row r="6">
      <x:c r="A6" s="32" t="str">
        <x:v>Cardiology</x:v>
      </x:c>
      <x:c r="B6" s="27" t="str">
        <x:v>03</x:v>
      </x:c>
      <x:c r="C6" s="39" t="b">
        <x:v>1</x:v>
      </x:c>
      <x:c r="D6" s="35" t="n">
        <x:v>3</x:v>
      </x:c>
      <x:c r="E6" s="27" t="str">
        <x:v>DPT-003</x:v>
      </x:c>
    </x:row>
    <x:row r="7">
      <x:c r="A7" s="32" t="str">
        <x:v>Cardiothoracic Surgery</x:v>
      </x:c>
      <x:c r="B7" s="27" t="str">
        <x:v>04</x:v>
      </x:c>
      <x:c r="C7" s="39" t="b">
        <x:v>1</x:v>
      </x:c>
      <x:c r="D7" s="35" t="n">
        <x:v>4</x:v>
      </x:c>
      <x:c r="E7" s="27" t="str">
        <x:v>DPT-004</x:v>
      </x:c>
    </x:row>
    <x:row r="8">
      <x:c r="A8" s="32" t="str">
        <x:v>Central Sterile Supply</x:v>
      </x:c>
      <x:c r="B8" s="27" t="str">
        <x:v>05</x:v>
      </x:c>
      <x:c r="C8" s="39" t="b">
        <x:v>1</x:v>
      </x:c>
      <x:c r="D8" s="35" t="n">
        <x:v>5</x:v>
      </x:c>
      <x:c r="E8" s="27" t="str">
        <x:v>DPT-005</x:v>
      </x:c>
    </x:row>
    <x:row r="9">
      <x:c r="A9" s="32" t="str">
        <x:v>Child Development</x:v>
      </x:c>
      <x:c r="B9" s="27" t="str">
        <x:v>06</x:v>
      </x:c>
      <x:c r="C9" s="39" t="b">
        <x:v>1</x:v>
      </x:c>
      <x:c r="D9" s="35" t="n">
        <x:v>6</x:v>
      </x:c>
      <x:c r="E9" s="27" t="str">
        <x:v>DPT-006</x:v>
      </x:c>
    </x:row>
    <x:row r="10">
      <x:c r="A10" s="32" t="str">
        <x:v>Clinical Nutrition</x:v>
      </x:c>
      <x:c r="B10" s="27" t="str">
        <x:v>07</x:v>
      </x:c>
      <x:c r="C10" s="39" t="b">
        <x:v>1</x:v>
      </x:c>
      <x:c r="D10" s="35" t="n">
        <x:v>7</x:v>
      </x:c>
      <x:c r="E10" s="27" t="str">
        <x:v>DPT-007</x:v>
      </x:c>
    </x:row>
    <x:row r="11">
      <x:c r="A11" s="32" t="str">
        <x:v>Dental</x:v>
      </x:c>
      <x:c r="B11" s="27" t="str">
        <x:v>08</x:v>
      </x:c>
      <x:c r="C11" s="39" t="b">
        <x:v>1</x:v>
      </x:c>
      <x:c r="D11" s="35" t="n">
        <x:v>8</x:v>
      </x:c>
      <x:c r="E11" s="27" t="str">
        <x:v>DPT-008</x:v>
      </x:c>
    </x:row>
    <x:row r="12">
      <x:c r="A12" s="32" t="str">
        <x:v>Dermatology</x:v>
      </x:c>
      <x:c r="B12" s="27" t="str">
        <x:v>09</x:v>
      </x:c>
      <x:c r="C12" s="39" t="b">
        <x:v>1</x:v>
      </x:c>
      <x:c r="D12" s="35" t="n">
        <x:v>9</x:v>
      </x:c>
      <x:c r="E12" s="27" t="str">
        <x:v>DPT-009</x:v>
      </x:c>
    </x:row>
    <x:row r="13">
      <x:c r="A13" s="32" t="str">
        <x:v>Diagnostic Imaging</x:v>
      </x:c>
      <x:c r="B13" s="27" t="str">
        <x:v>10</x:v>
      </x:c>
      <x:c r="C13" s="39" t="b">
        <x:v>1</x:v>
      </x:c>
      <x:c r="D13" s="35" t="n">
        <x:v>10</x:v>
      </x:c>
      <x:c r="E13" s="27" t="str">
        <x:v>DPT-010</x:v>
      </x:c>
    </x:row>
    <x:row r="14">
      <x:c r="A14" s="32" t="str">
        <x:v>Emergency Medical Service</x:v>
      </x:c>
      <x:c r="B14" s="27" t="str">
        <x:v>11</x:v>
      </x:c>
      <x:c r="C14" s="39" t="b">
        <x:v>1</x:v>
      </x:c>
      <x:c r="D14" s="35" t="n">
        <x:v>11</x:v>
      </x:c>
      <x:c r="E14" s="27" t="str">
        <x:v>DPT-011</x:v>
      </x:c>
    </x:row>
    <x:row r="15">
      <x:c r="A15" s="32" t="str">
        <x:v>Endocrinology</x:v>
      </x:c>
      <x:c r="B15" s="27" t="str">
        <x:v>12</x:v>
      </x:c>
      <x:c r="C15" s="39" t="b">
        <x:v>1</x:v>
      </x:c>
      <x:c r="D15" s="35" t="n">
        <x:v>12</x:v>
      </x:c>
      <x:c r="E15" s="27" t="str">
        <x:v>DPT-012</x:v>
      </x:c>
    </x:row>
    <x:row r="16">
      <x:c r="A16" s="32" t="str">
        <x:v>ENT</x:v>
      </x:c>
      <x:c r="B16" s="27" t="str">
        <x:v>13</x:v>
      </x:c>
      <x:c r="C16" s="39" t="b">
        <x:v>1</x:v>
      </x:c>
      <x:c r="D16" s="35" t="n">
        <x:v>13</x:v>
      </x:c>
      <x:c r="E16" s="27" t="str">
        <x:v>DPT-013</x:v>
      </x:c>
    </x:row>
    <x:row r="17">
      <x:c r="A17" s="32" t="str">
        <x:v>Environmental Health</x:v>
      </x:c>
      <x:c r="B17" s="27" t="str">
        <x:v>14</x:v>
      </x:c>
      <x:c r="C17" s="39" t="b">
        <x:v>1</x:v>
      </x:c>
      <x:c r="D17" s="35" t="n">
        <x:v>14</x:v>
      </x:c>
      <x:c r="E17" s="27" t="str">
        <x:v>DPT-014</x:v>
      </x:c>
    </x:row>
    <x:row r="18">
      <x:c r="A18" s="32" t="str">
        <x:v>Eye Clinic</x:v>
      </x:c>
      <x:c r="B18" s="27" t="str">
        <x:v>15</x:v>
      </x:c>
      <x:c r="C18" s="39" t="b">
        <x:v>1</x:v>
      </x:c>
      <x:c r="D18" s="35" t="n">
        <x:v>15</x:v>
      </x:c>
      <x:c r="E18" s="27" t="str">
        <x:v>DPT-015</x:v>
      </x:c>
    </x:row>
    <x:row r="19">
      <x:c r="A19" s="32" t="str">
        <x:v>Family Medicine</x:v>
      </x:c>
      <x:c r="B19" s="27" t="str">
        <x:v>16</x:v>
      </x:c>
      <x:c r="C19" s="39" t="b">
        <x:v>1</x:v>
      </x:c>
      <x:c r="D19" s="35" t="n">
        <x:v>16</x:v>
      </x:c>
      <x:c r="E19" s="27" t="str">
        <x:v>DPT-016</x:v>
      </x:c>
    </x:row>
    <x:row r="20">
      <x:c r="A20" s="32" t="str">
        <x:v>Gastroenterology</x:v>
      </x:c>
      <x:c r="B20" s="27" t="str">
        <x:v>17</x:v>
      </x:c>
      <x:c r="C20" s="39" t="b">
        <x:v>1</x:v>
      </x:c>
      <x:c r="D20" s="35" t="n">
        <x:v>17</x:v>
      </x:c>
      <x:c r="E20" s="27" t="str">
        <x:v>DPT-017</x:v>
      </x:c>
    </x:row>
    <x:row r="21">
      <x:c r="A21" s="32" t="str">
        <x:v>General Surgery</x:v>
      </x:c>
      <x:c r="B21" s="27" t="str">
        <x:v>18</x:v>
      </x:c>
      <x:c r="C21" s="39" t="b">
        <x:v>1</x:v>
      </x:c>
      <x:c r="D21" s="35" t="n">
        <x:v>18</x:v>
      </x:c>
      <x:c r="E21" s="27" t="str">
        <x:v>DPT-018</x:v>
      </x:c>
    </x:row>
    <x:row r="22">
      <x:c r="A22" s="32" t="str">
        <x:v>Haemodialysis</x:v>
      </x:c>
      <x:c r="B22" s="27" t="str">
        <x:v>19</x:v>
      </x:c>
      <x:c r="C22" s="39" t="b">
        <x:v>1</x:v>
      </x:c>
      <x:c r="D22" s="35" t="n">
        <x:v>19</x:v>
      </x:c>
      <x:c r="E22" s="27" t="str">
        <x:v>DPT-019</x:v>
      </x:c>
    </x:row>
    <x:row r="23">
      <x:c r="A23" s="32" t="str">
        <x:v>Health Promotion</x:v>
      </x:c>
      <x:c r="B23" s="27" t="str">
        <x:v>20</x:v>
      </x:c>
      <x:c r="C23" s="39" t="b">
        <x:v>1</x:v>
      </x:c>
      <x:c r="D23" s="35" t="n">
        <x:v>20</x:v>
      </x:c>
      <x:c r="E23" s="27" t="str">
        <x:v>DPT-020</x:v>
      </x:c>
    </x:row>
    <x:row r="24">
      <x:c r="A24" s="32" t="str">
        <x:v>Hematology</x:v>
      </x:c>
      <x:c r="B24" s="27" t="str">
        <x:v>21</x:v>
      </x:c>
      <x:c r="C24" s="39" t="b">
        <x:v>1</x:v>
      </x:c>
      <x:c r="D24" s="35" t="n">
        <x:v>21</x:v>
      </x:c>
      <x:c r="E24" s="27" t="str">
        <x:v>DPT-021</x:v>
      </x:c>
    </x:row>
    <x:row r="25">
      <x:c r="A25" s="32" t="str">
        <x:v>ICU 1</x:v>
      </x:c>
      <x:c r="B25" s="27" t="str">
        <x:v>22</x:v>
      </x:c>
      <x:c r="C25" s="39" t="b">
        <x:v>1</x:v>
      </x:c>
      <x:c r="D25" s="35" t="n">
        <x:v>22</x:v>
      </x:c>
      <x:c r="E25" s="27" t="str">
        <x:v>DPT-022</x:v>
      </x:c>
    </x:row>
    <x:row r="26">
      <x:c r="A26" s="32" t="str">
        <x:v>ICU 2</x:v>
      </x:c>
      <x:c r="B26" s="27" t="str">
        <x:v>23</x:v>
      </x:c>
      <x:c r="C26" s="39" t="b">
        <x:v>1</x:v>
      </x:c>
      <x:c r="D26" s="35" t="n">
        <x:v>23</x:v>
      </x:c>
      <x:c r="E26" s="27" t="str">
        <x:v>DPT-023</x:v>
      </x:c>
    </x:row>
    <x:row r="27">
      <x:c r="A27" s="32" t="str">
        <x:v>Infectious Diseases</x:v>
      </x:c>
      <x:c r="B27" s="27" t="str">
        <x:v>24</x:v>
      </x:c>
      <x:c r="C27" s="39" t="b">
        <x:v>1</x:v>
      </x:c>
      <x:c r="D27" s="35" t="n">
        <x:v>24</x:v>
      </x:c>
      <x:c r="E27" s="27" t="str">
        <x:v>DPT-024</x:v>
      </x:c>
    </x:row>
    <x:row r="28">
      <x:c r="A28" s="32" t="str">
        <x:v>Internal Medicine</x:v>
      </x:c>
      <x:c r="B28" s="27" t="str">
        <x:v>25</x:v>
      </x:c>
      <x:c r="C28" s="39" t="b">
        <x:v>1</x:v>
      </x:c>
      <x:c r="D28" s="35" t="n">
        <x:v>25</x:v>
      </x:c>
      <x:c r="E28" s="27" t="str">
        <x:v>DPT-025</x:v>
      </x:c>
    </x:row>
    <x:row r="29">
      <x:c r="A29" s="32" t="str">
        <x:v>Laboratory</x:v>
      </x:c>
      <x:c r="B29" s="27" t="str">
        <x:v>26</x:v>
      </x:c>
      <x:c r="C29" s="39" t="b">
        <x:v>1</x:v>
      </x:c>
      <x:c r="D29" s="35" t="n">
        <x:v>26</x:v>
      </x:c>
      <x:c r="E29" s="27" t="str">
        <x:v>DPT-026</x:v>
      </x:c>
    </x:row>
    <x:row r="30">
      <x:c r="A30" s="32" t="str">
        <x:v>Laundry</x:v>
      </x:c>
      <x:c r="B30" s="27" t="str">
        <x:v>27</x:v>
      </x:c>
      <x:c r="C30" s="39" t="b">
        <x:v>1</x:v>
      </x:c>
      <x:c r="D30" s="35" t="n">
        <x:v>27</x:v>
      </x:c>
      <x:c r="E30" s="27" t="str">
        <x:v>DPT-027</x:v>
      </x:c>
    </x:row>
    <x:row r="31">
      <x:c r="A31" s="32" t="str">
        <x:v>Medical Records</x:v>
      </x:c>
      <x:c r="B31" s="27" t="str">
        <x:v>28</x:v>
      </x:c>
      <x:c r="C31" s="39" t="b">
        <x:v>1</x:v>
      </x:c>
      <x:c r="D31" s="35" t="n">
        <x:v>28</x:v>
      </x:c>
      <x:c r="E31" s="27" t="str">
        <x:v>DPT-028</x:v>
      </x:c>
    </x:row>
    <x:row r="32">
      <x:c r="A32" s="32" t="str">
        <x:v>Neonatal ICU</x:v>
      </x:c>
      <x:c r="B32" s="27" t="str">
        <x:v>29</x:v>
      </x:c>
      <x:c r="C32" s="39" t="b">
        <x:v>1</x:v>
      </x:c>
      <x:c r="D32" s="35" t="n">
        <x:v>29</x:v>
      </x:c>
      <x:c r="E32" s="27" t="str">
        <x:v>DPT-029</x:v>
      </x:c>
    </x:row>
    <x:row r="33">
      <x:c r="A33" s="32" t="str">
        <x:v>Neurology</x:v>
      </x:c>
      <x:c r="B33" s="27" t="str">
        <x:v>30</x:v>
      </x:c>
      <x:c r="C33" s="39" t="b">
        <x:v>1</x:v>
      </x:c>
      <x:c r="D33" s="35" t="n">
        <x:v>30</x:v>
      </x:c>
      <x:c r="E33" s="27" t="str">
        <x:v>DPT-030</x:v>
      </x:c>
    </x:row>
    <x:row r="34">
      <x:c r="A34" s="32" t="str">
        <x:v>Neurosurgery</x:v>
      </x:c>
      <x:c r="B34" s="27" t="str">
        <x:v>31</x:v>
      </x:c>
      <x:c r="C34" s="39" t="b">
        <x:v>1</x:v>
      </x:c>
      <x:c r="D34" s="35" t="n">
        <x:v>31</x:v>
      </x:c>
      <x:c r="E34" s="27" t="str">
        <x:v>DPT-031</x:v>
      </x:c>
    </x:row>
    <x:row r="35">
      <x:c r="A35" s="32" t="str">
        <x:v>Nuclear Medicine</x:v>
      </x:c>
      <x:c r="B35" s="27" t="str">
        <x:v>32</x:v>
      </x:c>
      <x:c r="C35" s="39" t="b">
        <x:v>1</x:v>
      </x:c>
      <x:c r="D35" s="35" t="n">
        <x:v>32</x:v>
      </x:c>
      <x:c r="E35" s="27" t="str">
        <x:v>DPT-032</x:v>
      </x:c>
    </x:row>
    <x:row r="36">
      <x:c r="A36" s="32" t="str">
        <x:v>Obstetrics</x:v>
      </x:c>
      <x:c r="B36" s="27" t="str">
        <x:v>33</x:v>
      </x:c>
      <x:c r="C36" s="39" t="b">
        <x:v>1</x:v>
      </x:c>
      <x:c r="D36" s="35" t="n">
        <x:v>33</x:v>
      </x:c>
      <x:c r="E36" s="27" t="str">
        <x:v>DPT-033</x:v>
      </x:c>
    </x:row>
    <x:row r="37">
      <x:c r="A37" s="32" t="str">
        <x:v>Occupational Health</x:v>
      </x:c>
      <x:c r="B37" s="27" t="str">
        <x:v>34</x:v>
      </x:c>
      <x:c r="C37" s="39" t="b">
        <x:v>1</x:v>
      </x:c>
      <x:c r="D37" s="35" t="n">
        <x:v>34</x:v>
      </x:c>
      <x:c r="E37" s="27" t="str">
        <x:v>DPT-034</x:v>
      </x:c>
    </x:row>
    <x:row r="38">
      <x:c r="A38" s="32" t="str">
        <x:v>Oncology</x:v>
      </x:c>
      <x:c r="B38" s="27" t="str">
        <x:v>35</x:v>
      </x:c>
      <x:c r="C38" s="39" t="b">
        <x:v>1</x:v>
      </x:c>
      <x:c r="D38" s="35" t="n">
        <x:v>35</x:v>
      </x:c>
      <x:c r="E38" s="27" t="str">
        <x:v>DPT-035</x:v>
      </x:c>
    </x:row>
    <x:row r="39">
      <x:c r="A39" s="32" t="str">
        <x:v>Operating Theatre</x:v>
      </x:c>
      <x:c r="B39" s="27" t="str">
        <x:v>36</x:v>
      </x:c>
      <x:c r="C39" s="39" t="b">
        <x:v>1</x:v>
      </x:c>
      <x:c r="D39" s="35" t="n">
        <x:v>36</x:v>
      </x:c>
      <x:c r="E39" s="27" t="str">
        <x:v>DPT-036</x:v>
      </x:c>
    </x:row>
    <x:row r="40">
      <x:c r="A40" s="32" t="str">
        <x:v>Orthopaedics</x:v>
      </x:c>
      <x:c r="B40" s="27" t="str">
        <x:v>37</x:v>
      </x:c>
      <x:c r="C40" s="39" t="b">
        <x:v>1</x:v>
      </x:c>
      <x:c r="D40" s="35" t="n">
        <x:v>37</x:v>
      </x:c>
      <x:c r="E40" s="27" t="str">
        <x:v>DPT-037</x:v>
      </x:c>
    </x:row>
    <x:row r="41">
      <x:c r="A41" s="32" t="str">
        <x:v>Outpatient Department</x:v>
      </x:c>
      <x:c r="B41" s="27" t="str">
        <x:v>38</x:v>
      </x:c>
      <x:c r="C41" s="39" t="b">
        <x:v>1</x:v>
      </x:c>
      <x:c r="D41" s="35" t="n">
        <x:v>38</x:v>
      </x:c>
      <x:c r="E41" s="27" t="str">
        <x:v>DPT-038</x:v>
      </x:c>
    </x:row>
    <x:row r="42">
      <x:c r="A42" s="32" t="str">
        <x:v>Paediatrics</x:v>
      </x:c>
      <x:c r="B42" s="27" t="str">
        <x:v>39</x:v>
      </x:c>
      <x:c r="C42" s="39" t="b">
        <x:v>1</x:v>
      </x:c>
      <x:c r="D42" s="35" t="n">
        <x:v>39</x:v>
      </x:c>
      <x:c r="E42" s="27" t="str">
        <x:v>DPT-039</x:v>
      </x:c>
    </x:row>
    <x:row r="43">
      <x:c r="A43" s="32" t="str">
        <x:v>Pathology</x:v>
      </x:c>
      <x:c r="B43" s="27" t="str">
        <x:v>40</x:v>
      </x:c>
      <x:c r="C43" s="39" t="b">
        <x:v>1</x:v>
      </x:c>
      <x:c r="D43" s="35" t="n">
        <x:v>40</x:v>
      </x:c>
      <x:c r="E43" s="27" t="str">
        <x:v>DPT-040</x:v>
      </x:c>
    </x:row>
    <x:row r="44">
      <x:c r="A44" s="32" t="str">
        <x:v>Pharmacy</x:v>
      </x:c>
      <x:c r="B44" s="27" t="str">
        <x:v>41</x:v>
      </x:c>
      <x:c r="C44" s="39" t="b">
        <x:v>1</x:v>
      </x:c>
      <x:c r="D44" s="35" t="n">
        <x:v>41</x:v>
      </x:c>
      <x:c r="E44" s="27" t="str">
        <x:v>DPT-041</x:v>
      </x:c>
    </x:row>
    <x:row r="45">
      <x:c r="A45" s="32" t="str">
        <x:v>Physical Therapy</x:v>
      </x:c>
      <x:c r="B45" s="27" t="str">
        <x:v>42</x:v>
      </x:c>
      <x:c r="C45" s="39" t="b">
        <x:v>1</x:v>
      </x:c>
      <x:c r="D45" s="35" t="n">
        <x:v>42</x:v>
      </x:c>
      <x:c r="E45" s="27" t="str">
        <x:v>DPT-042</x:v>
      </x:c>
    </x:row>
    <x:row r="46">
      <x:c r="A46" s="32" t="str">
        <x:v>Plastic Surgery</x:v>
      </x:c>
      <x:c r="B46" s="27" t="str">
        <x:v>43</x:v>
      </x:c>
      <x:c r="C46" s="39" t="b">
        <x:v>1</x:v>
      </x:c>
      <x:c r="D46" s="35" t="n">
        <x:v>43</x:v>
      </x:c>
      <x:c r="E46" s="27" t="str">
        <x:v>DPT-043</x:v>
      </x:c>
    </x:row>
    <x:row r="47">
      <x:c r="A47" s="32" t="str">
        <x:v>Psychiatry</x:v>
      </x:c>
      <x:c r="B47" s="27" t="str">
        <x:v>44</x:v>
      </x:c>
      <x:c r="C47" s="39" t="b">
        <x:v>1</x:v>
      </x:c>
      <x:c r="D47" s="35" t="n">
        <x:v>44</x:v>
      </x:c>
      <x:c r="E47" s="27" t="str">
        <x:v>DPT-044</x:v>
      </x:c>
    </x:row>
    <x:row r="48">
      <x:c r="A48" s="32" t="str">
        <x:v>Quality Improvement</x:v>
      </x:c>
      <x:c r="B48" s="27" t="str">
        <x:v>45</x:v>
      </x:c>
      <x:c r="C48" s="39" t="b">
        <x:v>1</x:v>
      </x:c>
      <x:c r="D48" s="35" t="n">
        <x:v>45</x:v>
      </x:c>
      <x:c r="E48" s="27" t="str">
        <x:v>DPT-045</x:v>
      </x:c>
    </x:row>
    <x:row r="49">
      <x:c r="A49" s="32" t="str">
        <x:v>Radiotherapy</x:v>
      </x:c>
      <x:c r="B49" s="27" t="str">
        <x:v>46</x:v>
      </x:c>
      <x:c r="C49" s="39" t="b">
        <x:v>1</x:v>
      </x:c>
      <x:c r="D49" s="35" t="n">
        <x:v>46</x:v>
      </x:c>
      <x:c r="E49" s="27" t="str">
        <x:v>DPT-046</x:v>
      </x:c>
    </x:row>
    <x:row r="50">
      <x:c r="A50" s="32" t="str">
        <x:v>Rehabilitation</x:v>
      </x:c>
      <x:c r="B50" s="27" t="str">
        <x:v>47</x:v>
      </x:c>
      <x:c r="C50" s="39" t="b">
        <x:v>1</x:v>
      </x:c>
      <x:c r="D50" s="35" t="n">
        <x:v>47</x:v>
      </x:c>
      <x:c r="E50" s="27" t="str">
        <x:v>DPT-047</x:v>
      </x:c>
    </x:row>
    <x:row r="51">
      <x:c r="A51" s="32" t="str">
        <x:v>Renal Unit</x:v>
      </x:c>
      <x:c r="B51" s="27" t="str">
        <x:v>48</x:v>
      </x:c>
      <x:c r="C51" s="39" t="b">
        <x:v>1</x:v>
      </x:c>
      <x:c r="D51" s="35" t="n">
        <x:v>48</x:v>
      </x:c>
      <x:c r="E51" s="27" t="str">
        <x:v>DPT-048</x:v>
      </x:c>
    </x:row>
    <x:row r="52">
      <x:c r="A52" s="32" t="str">
        <x:v>Respiratory Medicine</x:v>
      </x:c>
      <x:c r="B52" s="27" t="str">
        <x:v>49</x:v>
      </x:c>
      <x:c r="C52" s="39" t="b">
        <x:v>1</x:v>
      </x:c>
      <x:c r="D52" s="35" t="n">
        <x:v>49</x:v>
      </x:c>
      <x:c r="E52" s="27" t="str">
        <x:v>DPT-049</x:v>
      </x:c>
    </x:row>
    <x:row r="53">
      <x:c r="A53" s="32" t="str">
        <x:v>Social Work</x:v>
      </x:c>
      <x:c r="B53" s="27" t="str">
        <x:v>50</x:v>
      </x:c>
      <x:c r="C53" s="39" t="b">
        <x:v>1</x:v>
      </x:c>
      <x:c r="D53" s="35" t="n">
        <x:v>50</x:v>
      </x:c>
      <x:c r="E53" s="27" t="str">
        <x:v>DPT-050</x:v>
      </x:c>
    </x:row>
    <x:row r="54">
      <x:c r="A54" s="32" t="str">
        <x:v>Speech Therapy</x:v>
      </x:c>
      <x:c r="B54" s="27" t="str">
        <x:v>51</x:v>
      </x:c>
      <x:c r="C54" s="39" t="b">
        <x:v>1</x:v>
      </x:c>
      <x:c r="D54" s="35" t="n">
        <x:v>51</x:v>
      </x:c>
      <x:c r="E54" s="27" t="str">
        <x:v>DPT-051</x:v>
      </x:c>
    </x:row>
    <x:row r="55">
      <x:c r="A55" s="32" t="str">
        <x:v>Surgical ICU</x:v>
      </x:c>
      <x:c r="B55" s="27" t="str">
        <x:v>52</x:v>
      </x:c>
      <x:c r="C55" s="39" t="b">
        <x:v>1</x:v>
      </x:c>
      <x:c r="D55" s="35" t="n">
        <x:v>52</x:v>
      </x:c>
      <x:c r="E55" s="27" t="str">
        <x:v>DPT-052</x:v>
      </x:c>
    </x:row>
    <x:row r="56">
      <x:c r="A56" s="32" t="str">
        <x:v>Thai Traditional Medicine</x:v>
      </x:c>
      <x:c r="B56" s="27" t="str">
        <x:v>53</x:v>
      </x:c>
      <x:c r="C56" s="39" t="b">
        <x:v>1</x:v>
      </x:c>
      <x:c r="D56" s="35" t="n">
        <x:v>53</x:v>
      </x:c>
      <x:c r="E56" s="27" t="str">
        <x:v>DPT-053</x:v>
      </x:c>
    </x:row>
    <x:row r="57">
      <x:c r="A57" s="32" t="str">
        <x:v>Thoracic Medicine</x:v>
      </x:c>
      <x:c r="B57" s="27" t="str">
        <x:v>54</x:v>
      </x:c>
      <x:c r="C57" s="39" t="b">
        <x:v>1</x:v>
      </x:c>
      <x:c r="D57" s="35" t="n">
        <x:v>54</x:v>
      </x:c>
      <x:c r="E57" s="27" t="str">
        <x:v>DPT-054</x:v>
      </x:c>
    </x:row>
    <x:row r="58">
      <x:c r="A58" s="32" t="str">
        <x:v>Transfusion Medicine</x:v>
      </x:c>
      <x:c r="B58" s="27" t="str">
        <x:v>55</x:v>
      </x:c>
      <x:c r="C58" s="39" t="b">
        <x:v>1</x:v>
      </x:c>
      <x:c r="D58" s="35" t="n">
        <x:v>55</x:v>
      </x:c>
      <x:c r="E58" s="27" t="str">
        <x:v>DPT-055</x:v>
      </x:c>
    </x:row>
    <x:row r="59">
      <x:c r="A59" s="32" t="str">
        <x:v>Trauma Centre</x:v>
      </x:c>
      <x:c r="B59" s="27" t="str">
        <x:v>56</x:v>
      </x:c>
      <x:c r="C59" s="39" t="b">
        <x:v>1</x:v>
      </x:c>
      <x:c r="D59" s="35" t="n">
        <x:v>56</x:v>
      </x:c>
      <x:c r="E59" s="27" t="str">
        <x:v>DPT-056</x:v>
      </x:c>
    </x:row>
    <x:row r="60">
      <x:c r="A60" s="32" t="str">
        <x:v>Urology</x:v>
      </x:c>
      <x:c r="B60" s="27" t="str">
        <x:v>57</x:v>
      </x:c>
      <x:c r="C60" s="39" t="b">
        <x:v>1</x:v>
      </x:c>
      <x:c r="D60" s="35" t="n">
        <x:v>57</x:v>
      </x:c>
      <x:c r="E60" s="27" t="str">
        <x:v>DPT-057</x:v>
      </x:c>
    </x:row>
    <x:row r="61">
      <x:c r="A61" s="32" t="str">
        <x:v>Vaccination Clinic</x:v>
      </x:c>
      <x:c r="B61" s="27" t="str">
        <x:v>58</x:v>
      </x:c>
      <x:c r="C61" s="39" t="b">
        <x:v>1</x:v>
      </x:c>
      <x:c r="D61" s="35" t="n">
        <x:v>58</x:v>
      </x:c>
      <x:c r="E61" s="27" t="str">
        <x:v>DPT-058</x:v>
      </x:c>
    </x:row>
    <x:row r="62">
      <x:c r="A62" s="32" t="str">
        <x:v>Ward 1</x:v>
      </x:c>
      <x:c r="B62" s="27" t="str">
        <x:v>59</x:v>
      </x:c>
      <x:c r="C62" s="39" t="b">
        <x:v>1</x:v>
      </x:c>
      <x:c r="D62" s="35" t="n">
        <x:v>59</x:v>
      </x:c>
      <x:c r="E62" s="27" t="str">
        <x:v>DPT-059</x:v>
      </x:c>
    </x:row>
    <x:row r="63">
      <x:c r="A63" s="32" t="str">
        <x:v>Ward 2</x:v>
      </x:c>
      <x:c r="B63" s="27" t="str">
        <x:v>60</x:v>
      </x:c>
      <x:c r="C63" s="39" t="b">
        <x:v>1</x:v>
      </x:c>
      <x:c r="D63" s="35" t="n">
        <x:v>60</x:v>
      </x:c>
      <x:c r="E63" s="27" t="str">
        <x:v>DPT-060</x:v>
      </x:c>
    </x:row>
    <x:row r="64">
      <x:c r="A64" s="32" t="str">
        <x:v>Ward 3</x:v>
      </x:c>
      <x:c r="B64" s="27" t="str">
        <x:v>61</x:v>
      </x:c>
      <x:c r="C64" s="39" t="b">
        <x:v>1</x:v>
      </x:c>
      <x:c r="D64" s="35" t="n">
        <x:v>61</x:v>
      </x:c>
      <x:c r="E64" s="27" t="str">
        <x:v>DPT-061</x:v>
      </x:c>
    </x:row>
    <x:row r="65">
      <x:c r="A65" s="32" t="str">
        <x:v>Ward 4</x:v>
      </x:c>
      <x:c r="B65" s="27" t="str">
        <x:v>62</x:v>
      </x:c>
      <x:c r="C65" s="39" t="b">
        <x:v>1</x:v>
      </x:c>
      <x:c r="D65" s="35" t="n">
        <x:v>62</x:v>
      </x:c>
      <x:c r="E65" s="27" t="str">
        <x:v>DPT-062</x:v>
      </x:c>
    </x:row>
    <x:row r="66">
      <x:c r="A66" s="32" t="str">
        <x:v>Ward 5</x:v>
      </x:c>
      <x:c r="B66" s="27" t="str">
        <x:v>63</x:v>
      </x:c>
      <x:c r="C66" s="39" t="b">
        <x:v>1</x:v>
      </x:c>
      <x:c r="D66" s="35" t="n">
        <x:v>63</x:v>
      </x:c>
      <x:c r="E66" s="27" t="str">
        <x:v>DPT-063</x:v>
      </x:c>
    </x:row>
    <x:row r="67">
      <x:c r="A67" s="32" t="str">
        <x:v>Ward 6</x:v>
      </x:c>
      <x:c r="B67" s="27" t="str">
        <x:v>64</x:v>
      </x:c>
      <x:c r="C67" s="39" t="b">
        <x:v>1</x:v>
      </x:c>
      <x:c r="D67" s="35" t="n">
        <x:v>64</x:v>
      </x:c>
      <x:c r="E67" s="27" t="str">
        <x:v>DPT-064</x:v>
      </x:c>
    </x:row>
    <x:row r="68">
      <x:c r="A68" s="32" t="str">
        <x:v>Ward 7</x:v>
      </x:c>
      <x:c r="B68" s="27" t="str">
        <x:v>65</x:v>
      </x:c>
      <x:c r="C68" s="39" t="b">
        <x:v>1</x:v>
      </x:c>
      <x:c r="D68" s="35" t="n">
        <x:v>65</x:v>
      </x:c>
      <x:c r="E68" s="27" t="str">
        <x:v>DPT-065</x:v>
      </x:c>
    </x:row>
    <x:row r="69">
      <x:c r="A69" s="32" t="str">
        <x:v>Ward 8</x:v>
      </x:c>
      <x:c r="B69" s="27" t="str">
        <x:v>66</x:v>
      </x:c>
      <x:c r="C69" s="39" t="b">
        <x:v>1</x:v>
      </x:c>
      <x:c r="D69" s="35" t="n">
        <x:v>66</x:v>
      </x:c>
      <x:c r="E69" s="27" t="str">
        <x:v>DPT-066</x:v>
      </x:c>
    </x:row>
    <x:row r="70">
      <x:c r="A70" s="32" t="str">
        <x:v>Ward 9</x:v>
      </x:c>
      <x:c r="B70" s="27" t="str">
        <x:v>67</x:v>
      </x:c>
      <x:c r="C70" s="39" t="b">
        <x:v>1</x:v>
      </x:c>
      <x:c r="D70" s="35" t="n">
        <x:v>67</x:v>
      </x:c>
      <x:c r="E70" s="27" t="str">
        <x:v>DPT-067</x:v>
      </x:c>
    </x:row>
    <x:row r="71">
      <x:c r="A71" s="32" t="str">
        <x:v>Ward 10</x:v>
      </x:c>
      <x:c r="B71" s="27" t="str">
        <x:v>68</x:v>
      </x:c>
      <x:c r="C71" s="39" t="b">
        <x:v>1</x:v>
      </x:c>
      <x:c r="D71" s="35" t="n">
        <x:v>68</x:v>
      </x:c>
      <x:c r="E71" s="27" t="str">
        <x:v>DPT-068</x:v>
      </x:c>
    </x:row>
    <x:row r="72">
      <x:c r="A72" s="32" t="str">
        <x:v>Women’s Health</x:v>
      </x:c>
      <x:c r="B72" s="27" t="str">
        <x:v>69</x:v>
      </x:c>
      <x:c r="C72" s="39" t="b">
        <x:v>1</x:v>
      </x:c>
      <x:c r="D72" s="35" t="n">
        <x:v>69</x:v>
      </x:c>
      <x:c r="E72" s="27" t="str">
        <x:v>DPT-069</x:v>
      </x:c>
    </x:row>
    <x:row r="73">
      <x:c r="A73" s="32" t="str">
        <x:v>Workplace Safety</x:v>
      </x:c>
      <x:c r="B73" s="27" t="str">
        <x:v>70</x:v>
      </x:c>
      <x:c r="C73" s="39" t="b">
        <x:v>1</x:v>
      </x:c>
      <x:c r="D73" s="35" t="n">
        <x:v>70</x:v>
      </x:c>
      <x:c r="E73" s="27" t="str">
        <x:v>DPT-070</x:v>
      </x:c>
    </x:row>
    <x:row r="74">
      <x:c r="A74" s="32" t="str">
        <x:v>Reserved Department 071</x:v>
      </x:c>
      <x:c r="B74" s="27" t="str">
        <x:v>71</x:v>
      </x:c>
      <x:c r="C74" s="39" t="b">
        <x:v>0</x:v>
      </x:c>
      <x:c r="D74" s="35" t="n">
        <x:v>71</x:v>
      </x:c>
      <x:c r="E74" s="27" t="str">
        <x:v>DPT-071</x:v>
      </x:c>
    </x:row>
    <x:row r="75">
      <x:c r="A75" s="32" t="str">
        <x:v>Reserved Department 072</x:v>
      </x:c>
      <x:c r="B75" s="27" t="str">
        <x:v>72</x:v>
      </x:c>
      <x:c r="C75" s="39" t="b">
        <x:v>0</x:v>
      </x:c>
      <x:c r="D75" s="35" t="n">
        <x:v>72</x:v>
      </x:c>
      <x:c r="E75" s="27" t="str">
        <x:v>DPT-072</x:v>
      </x:c>
    </x:row>
    <x:row r="76">
      <x:c r="A76" s="32" t="str">
        <x:v>Reserved Department 073</x:v>
      </x:c>
      <x:c r="B76" s="27" t="str">
        <x:v>73</x:v>
      </x:c>
      <x:c r="C76" s="39" t="b">
        <x:v>0</x:v>
      </x:c>
      <x:c r="D76" s="35" t="n">
        <x:v>73</x:v>
      </x:c>
      <x:c r="E76" s="27" t="str">
        <x:v>DPT-073</x:v>
      </x:c>
    </x:row>
    <x:row r="77">
      <x:c r="A77" s="32" t="str">
        <x:v>Reserved Department 074</x:v>
      </x:c>
      <x:c r="B77" s="27" t="str">
        <x:v>74</x:v>
      </x:c>
      <x:c r="C77" s="39" t="b">
        <x:v>0</x:v>
      </x:c>
      <x:c r="D77" s="35" t="n">
        <x:v>74</x:v>
      </x:c>
      <x:c r="E77" s="27" t="str">
        <x:v>DPT-074</x:v>
      </x:c>
    </x:row>
    <x:row r="78">
      <x:c r="A78" s="32" t="str">
        <x:v>Reserved Department 075</x:v>
      </x:c>
      <x:c r="B78" s="27" t="str">
        <x:v>75</x:v>
      </x:c>
      <x:c r="C78" s="39" t="b">
        <x:v>0</x:v>
      </x:c>
      <x:c r="D78" s="35" t="n">
        <x:v>75</x:v>
      </x:c>
      <x:c r="E78" s="27" t="str">
        <x:v>DPT-075</x:v>
      </x:c>
    </x:row>
    <x:row r="79">
      <x:c r="A79" s="32" t="str">
        <x:v>Reserved Department 076</x:v>
      </x:c>
      <x:c r="B79" s="27" t="str">
        <x:v>76</x:v>
      </x:c>
      <x:c r="C79" s="39" t="b">
        <x:v>0</x:v>
      </x:c>
      <x:c r="D79" s="35" t="n">
        <x:v>76</x:v>
      </x:c>
      <x:c r="E79" s="27" t="str">
        <x:v>DPT-076</x:v>
      </x:c>
    </x:row>
    <x:row r="80">
      <x:c r="A80" s="32" t="str">
        <x:v>Reserved Department 077</x:v>
      </x:c>
      <x:c r="B80" s="27" t="str">
        <x:v>77</x:v>
      </x:c>
      <x:c r="C80" s="39" t="b">
        <x:v>0</x:v>
      </x:c>
      <x:c r="D80" s="35" t="n">
        <x:v>77</x:v>
      </x:c>
      <x:c r="E80" s="27" t="str">
        <x:v>DPT-077</x:v>
      </x:c>
    </x:row>
    <x:row r="81">
      <x:c r="A81" s="32" t="str">
        <x:v>Reserved Department 078</x:v>
      </x:c>
      <x:c r="B81" s="27" t="str">
        <x:v>78</x:v>
      </x:c>
      <x:c r="C81" s="39" t="b">
        <x:v>0</x:v>
      </x:c>
      <x:c r="D81" s="35" t="n">
        <x:v>78</x:v>
      </x:c>
      <x:c r="E81" s="27" t="str">
        <x:v>DPT-078</x:v>
      </x:c>
    </x:row>
    <x:row r="82">
      <x:c r="A82" s="32" t="str">
        <x:v>Reserved Department 079</x:v>
      </x:c>
      <x:c r="B82" s="27" t="str">
        <x:v>79</x:v>
      </x:c>
      <x:c r="C82" s="39" t="b">
        <x:v>0</x:v>
      </x:c>
      <x:c r="D82" s="35" t="n">
        <x:v>79</x:v>
      </x:c>
      <x:c r="E82" s="27" t="str">
        <x:v>DPT-079</x:v>
      </x:c>
    </x:row>
    <x:row r="83">
      <x:c r="A83" s="32" t="str">
        <x:v>Reserved Department 080</x:v>
      </x:c>
      <x:c r="B83" s="27" t="str">
        <x:v>80</x:v>
      </x:c>
      <x:c r="C83" s="39" t="b">
        <x:v>0</x:v>
      </x:c>
      <x:c r="D83" s="35" t="n">
        <x:v>80</x:v>
      </x:c>
      <x:c r="E83" s="27" t="str">
        <x:v>DPT-080</x:v>
      </x:c>
    </x:row>
    <x:row r="84">
      <x:c r="A84" s="32" t="str">
        <x:v>Reserved Department 081</x:v>
      </x:c>
      <x:c r="B84" s="27" t="str">
        <x:v>81</x:v>
      </x:c>
      <x:c r="C84" s="39" t="b">
        <x:v>0</x:v>
      </x:c>
      <x:c r="D84" s="35" t="n">
        <x:v>81</x:v>
      </x:c>
      <x:c r="E84" s="27" t="str">
        <x:v>DPT-081</x:v>
      </x:c>
    </x:row>
    <x:row r="85">
      <x:c r="A85" s="32" t="str">
        <x:v>Reserved Department 082</x:v>
      </x:c>
      <x:c r="B85" s="27" t="str">
        <x:v>82</x:v>
      </x:c>
      <x:c r="C85" s="39" t="b">
        <x:v>0</x:v>
      </x:c>
      <x:c r="D85" s="35" t="n">
        <x:v>82</x:v>
      </x:c>
      <x:c r="E85" s="27" t="str">
        <x:v>DPT-082</x:v>
      </x:c>
    </x:row>
    <x:row r="86">
      <x:c r="A86" s="32" t="str">
        <x:v>Reserved Department 083</x:v>
      </x:c>
      <x:c r="B86" s="27" t="str">
        <x:v>83</x:v>
      </x:c>
      <x:c r="C86" s="39" t="b">
        <x:v>0</x:v>
      </x:c>
      <x:c r="D86" s="35" t="n">
        <x:v>83</x:v>
      </x:c>
      <x:c r="E86" s="27" t="str">
        <x:v>DPT-083</x:v>
      </x:c>
    </x:row>
    <x:row r="87">
      <x:c r="A87" s="32" t="str">
        <x:v>Reserved Department 084</x:v>
      </x:c>
      <x:c r="B87" s="27" t="str">
        <x:v>84</x:v>
      </x:c>
      <x:c r="C87" s="39" t="b">
        <x:v>0</x:v>
      </x:c>
      <x:c r="D87" s="35" t="n">
        <x:v>84</x:v>
      </x:c>
      <x:c r="E87" s="27" t="str">
        <x:v>DPT-084</x:v>
      </x:c>
    </x:row>
    <x:row r="88">
      <x:c r="A88" s="32" t="str">
        <x:v>Reserved Department 085</x:v>
      </x:c>
      <x:c r="B88" s="27" t="str">
        <x:v>85</x:v>
      </x:c>
      <x:c r="C88" s="39" t="b">
        <x:v>0</x:v>
      </x:c>
      <x:c r="D88" s="35" t="n">
        <x:v>85</x:v>
      </x:c>
      <x:c r="E88" s="27" t="str">
        <x:v>DPT-085</x:v>
      </x:c>
    </x:row>
    <x:row r="89">
      <x:c r="A89" s="32" t="str">
        <x:v>Reserved Department 086</x:v>
      </x:c>
      <x:c r="B89" s="27" t="str">
        <x:v>86</x:v>
      </x:c>
      <x:c r="C89" s="39" t="b">
        <x:v>0</x:v>
      </x:c>
      <x:c r="D89" s="35" t="n">
        <x:v>86</x:v>
      </x:c>
      <x:c r="E89" s="27" t="str">
        <x:v>DPT-086</x:v>
      </x:c>
    </x:row>
    <x:row r="90">
      <x:c r="A90" s="32" t="str">
        <x:v>Reserved Department 087</x:v>
      </x:c>
      <x:c r="B90" s="27" t="str">
        <x:v>87</x:v>
      </x:c>
      <x:c r="C90" s="39" t="b">
        <x:v>0</x:v>
      </x:c>
      <x:c r="D90" s="35" t="n">
        <x:v>87</x:v>
      </x:c>
      <x:c r="E90" s="27" t="str">
        <x:v>DPT-087</x:v>
      </x:c>
    </x:row>
    <x:row r="91">
      <x:c r="A91" s="32" t="str">
        <x:v>Reserved Department 088</x:v>
      </x:c>
      <x:c r="B91" s="27" t="str">
        <x:v>88</x:v>
      </x:c>
      <x:c r="C91" s="39" t="b">
        <x:v>0</x:v>
      </x:c>
      <x:c r="D91" s="35" t="n">
        <x:v>88</x:v>
      </x:c>
      <x:c r="E91" s="27" t="str">
        <x:v>DPT-088</x:v>
      </x:c>
    </x:row>
    <x:row r="92">
      <x:c r="A92" s="32" t="str">
        <x:v>Reserved Department 089</x:v>
      </x:c>
      <x:c r="B92" s="27" t="str">
        <x:v>89</x:v>
      </x:c>
      <x:c r="C92" s="39" t="b">
        <x:v>0</x:v>
      </x:c>
      <x:c r="D92" s="35" t="n">
        <x:v>89</x:v>
      </x:c>
      <x:c r="E92" s="27" t="str">
        <x:v>DPT-089</x:v>
      </x:c>
    </x:row>
    <x:row r="93">
      <x:c r="A93" s="32" t="str">
        <x:v>Reserved Department 090</x:v>
      </x:c>
      <x:c r="B93" s="27" t="str">
        <x:v>90</x:v>
      </x:c>
      <x:c r="C93" s="39" t="b">
        <x:v>0</x:v>
      </x:c>
      <x:c r="D93" s="35" t="n">
        <x:v>90</x:v>
      </x:c>
      <x:c r="E93" s="27" t="str">
        <x:v>DPT-090</x:v>
      </x:c>
    </x:row>
    <x:row r="94">
      <x:c r="A94" s="32" t="str">
        <x:v>Reserved Department 091</x:v>
      </x:c>
      <x:c r="B94" s="27" t="str">
        <x:v>91</x:v>
      </x:c>
      <x:c r="C94" s="39" t="b">
        <x:v>0</x:v>
      </x:c>
      <x:c r="D94" s="35" t="n">
        <x:v>91</x:v>
      </x:c>
      <x:c r="E94" s="27" t="str">
        <x:v>DPT-091</x:v>
      </x:c>
    </x:row>
    <x:row r="95">
      <x:c r="A95" s="32" t="str">
        <x:v>Reserved Department 092</x:v>
      </x:c>
      <x:c r="B95" s="27" t="str">
        <x:v>92</x:v>
      </x:c>
      <x:c r="C95" s="39" t="b">
        <x:v>0</x:v>
      </x:c>
      <x:c r="D95" s="35" t="n">
        <x:v>92</x:v>
      </x:c>
      <x:c r="E95" s="27" t="str">
        <x:v>DPT-092</x:v>
      </x:c>
    </x:row>
    <x:row r="96">
      <x:c r="A96" s="32" t="str">
        <x:v>Reserved Department 093</x:v>
      </x:c>
      <x:c r="B96" s="27" t="str">
        <x:v>93</x:v>
      </x:c>
      <x:c r="C96" s="39" t="b">
        <x:v>0</x:v>
      </x:c>
      <x:c r="D96" s="35" t="n">
        <x:v>93</x:v>
      </x:c>
      <x:c r="E96" s="27" t="str">
        <x:v>DPT-093</x:v>
      </x:c>
    </x:row>
    <x:row r="97">
      <x:c r="A97" s="32" t="str">
        <x:v>Reserved Department 094</x:v>
      </x:c>
      <x:c r="B97" s="27" t="str">
        <x:v>94</x:v>
      </x:c>
      <x:c r="C97" s="39" t="b">
        <x:v>0</x:v>
      </x:c>
      <x:c r="D97" s="35" t="n">
        <x:v>94</x:v>
      </x:c>
      <x:c r="E97" s="27" t="str">
        <x:v>DPT-094</x:v>
      </x:c>
    </x:row>
    <x:row r="98">
      <x:c r="A98" s="32" t="str">
        <x:v>Reserved Department 095</x:v>
      </x:c>
      <x:c r="B98" s="27" t="str">
        <x:v>95</x:v>
      </x:c>
      <x:c r="C98" s="39" t="b">
        <x:v>0</x:v>
      </x:c>
      <x:c r="D98" s="35" t="n">
        <x:v>95</x:v>
      </x:c>
      <x:c r="E98" s="27" t="str">
        <x:v>DPT-095</x:v>
      </x:c>
    </x:row>
    <x:row r="99">
      <x:c r="A99" s="32" t="str">
        <x:v>Reserved Department 096</x:v>
      </x:c>
      <x:c r="B99" s="27" t="str">
        <x:v>96</x:v>
      </x:c>
      <x:c r="C99" s="39" t="b">
        <x:v>0</x:v>
      </x:c>
      <x:c r="D99" s="35" t="n">
        <x:v>96</x:v>
      </x:c>
      <x:c r="E99" s="27" t="str">
        <x:v>DPT-096</x:v>
      </x:c>
    </x:row>
    <x:row r="100">
      <x:c r="A100" s="32" t="str">
        <x:v>Reserved Department 097</x:v>
      </x:c>
      <x:c r="B100" s="27" t="str">
        <x:v>97</x:v>
      </x:c>
      <x:c r="C100" s="39" t="b">
        <x:v>0</x:v>
      </x:c>
      <x:c r="D100" s="35" t="n">
        <x:v>97</x:v>
      </x:c>
      <x:c r="E100" s="27" t="str">
        <x:v>DPT-097</x:v>
      </x:c>
    </x:row>
    <x:row r="101">
      <x:c r="A101" s="32" t="str">
        <x:v>Reserved Department 098</x:v>
      </x:c>
      <x:c r="B101" s="27" t="str">
        <x:v>98</x:v>
      </x:c>
      <x:c r="C101" s="39" t="b">
        <x:v>0</x:v>
      </x:c>
      <x:c r="D101" s="35" t="n">
        <x:v>98</x:v>
      </x:c>
      <x:c r="E101" s="27" t="str">
        <x:v>DPT-098</x:v>
      </x:c>
    </x:row>
    <x:row r="102">
      <x:c r="A102" s="32" t="str">
        <x:v>Reserved Department 099</x:v>
      </x:c>
      <x:c r="B102" s="27" t="str">
        <x:v>99</x:v>
      </x:c>
      <x:c r="C102" s="39" t="b">
        <x:v>0</x:v>
      </x:c>
      <x:c r="D102" s="35" t="n">
        <x:v>99</x:v>
      </x:c>
      <x:c r="E102" s="27" t="str">
        <x:v>DPT-099</x:v>
      </x:c>
    </x:row>
    <x:row r="103">
      <x:c r="A103" s="32" t="str">
        <x:v>Reserved Department 100</x:v>
      </x:c>
      <x:c r="B103" s="27" t="str">
        <x:v>100</x:v>
      </x:c>
      <x:c r="C103" s="39" t="b">
        <x:v>0</x:v>
      </x:c>
      <x:c r="D103" s="35" t="n">
        <x:v>100</x:v>
      </x:c>
      <x:c r="E103" s="27" t="str">
        <x:v>DPT-100</x:v>
      </x:c>
    </x:row>
    <x:row r="104">
      <x:c r="A104" s="32" t="str">
        <x:v>Reserved Department 101</x:v>
      </x:c>
      <x:c r="B104" s="27" t="str">
        <x:v>101</x:v>
      </x:c>
      <x:c r="C104" s="39" t="b">
        <x:v>0</x:v>
      </x:c>
      <x:c r="D104" s="35" t="n">
        <x:v>101</x:v>
      </x:c>
      <x:c r="E104" s="27" t="str">
        <x:v>DPT-101</x:v>
      </x:c>
    </x:row>
    <x:row r="105">
      <x:c r="A105" s="32" t="str">
        <x:v>Reserved Department 102</x:v>
      </x:c>
      <x:c r="B105" s="27" t="str">
        <x:v>102</x:v>
      </x:c>
      <x:c r="C105" s="39" t="b">
        <x:v>0</x:v>
      </x:c>
      <x:c r="D105" s="35" t="n">
        <x:v>102</x:v>
      </x:c>
      <x:c r="E105" s="27" t="str">
        <x:v>DPT-102</x:v>
      </x:c>
    </x:row>
    <x:row r="106">
      <x:c r="A106" s="32" t="str">
        <x:v>Reserved Department 103</x:v>
      </x:c>
      <x:c r="B106" s="27" t="str">
        <x:v>103</x:v>
      </x:c>
      <x:c r="C106" s="39" t="b">
        <x:v>0</x:v>
      </x:c>
      <x:c r="D106" s="35" t="n">
        <x:v>103</x:v>
      </x:c>
      <x:c r="E106" s="27" t="str">
        <x:v>DPT-103</x:v>
      </x:c>
    </x:row>
    <x:row r="107">
      <x:c r="A107" s="32" t="str">
        <x:v>Reserved Department 104</x:v>
      </x:c>
      <x:c r="B107" s="27" t="str">
        <x:v>104</x:v>
      </x:c>
      <x:c r="C107" s="39" t="b">
        <x:v>0</x:v>
      </x:c>
      <x:c r="D107" s="35" t="n">
        <x:v>104</x:v>
      </x:c>
      <x:c r="E107" s="27" t="str">
        <x:v>DPT-104</x:v>
      </x:c>
    </x:row>
    <x:row r="108">
      <x:c r="A108" s="32" t="str">
        <x:v>Reserved Department 105</x:v>
      </x:c>
      <x:c r="B108" s="27" t="str">
        <x:v>105</x:v>
      </x:c>
      <x:c r="C108" s="39" t="b">
        <x:v>0</x:v>
      </x:c>
      <x:c r="D108" s="35" t="n">
        <x:v>105</x:v>
      </x:c>
      <x:c r="E108" s="27" t="str">
        <x:v>DPT-105</x:v>
      </x:c>
    </x:row>
    <x:row r="109">
      <x:c r="A109" s="32" t="str">
        <x:v>Reserved Department 106</x:v>
      </x:c>
      <x:c r="B109" s="27" t="str">
        <x:v>106</x:v>
      </x:c>
      <x:c r="C109" s="39" t="b">
        <x:v>0</x:v>
      </x:c>
      <x:c r="D109" s="35" t="n">
        <x:v>106</x:v>
      </x:c>
      <x:c r="E109" s="27" t="str">
        <x:v>DPT-106</x:v>
      </x:c>
    </x:row>
    <x:row r="110">
      <x:c r="A110" s="32" t="str">
        <x:v>Reserved Department 107</x:v>
      </x:c>
      <x:c r="B110" s="27" t="str">
        <x:v>107</x:v>
      </x:c>
      <x:c r="C110" s="39" t="b">
        <x:v>0</x:v>
      </x:c>
      <x:c r="D110" s="35" t="n">
        <x:v>107</x:v>
      </x:c>
      <x:c r="E110" s="27" t="str">
        <x:v>DPT-107</x:v>
      </x:c>
    </x:row>
    <x:row r="111">
      <x:c r="A111" s="32" t="str">
        <x:v>Reserved Department 108</x:v>
      </x:c>
      <x:c r="B111" s="27" t="str">
        <x:v>108</x:v>
      </x:c>
      <x:c r="C111" s="39" t="b">
        <x:v>0</x:v>
      </x:c>
      <x:c r="D111" s="35" t="n">
        <x:v>108</x:v>
      </x:c>
      <x:c r="E111" s="27" t="str">
        <x:v>DPT-108</x:v>
      </x:c>
    </x:row>
    <x:row r="112">
      <x:c r="A112" s="32" t="str">
        <x:v>Reserved Department 109</x:v>
      </x:c>
      <x:c r="B112" s="27" t="str">
        <x:v>109</x:v>
      </x:c>
      <x:c r="C112" s="39" t="b">
        <x:v>0</x:v>
      </x:c>
      <x:c r="D112" s="35" t="n">
        <x:v>109</x:v>
      </x:c>
      <x:c r="E112" s="27" t="str">
        <x:v>DPT-109</x:v>
      </x:c>
    </x:row>
    <x:row r="113">
      <x:c r="A113" s="32" t="str">
        <x:v>Reserved Department 110</x:v>
      </x:c>
      <x:c r="B113" s="27" t="str">
        <x:v>110</x:v>
      </x:c>
      <x:c r="C113" s="39" t="b">
        <x:v>0</x:v>
      </x:c>
      <x:c r="D113" s="35" t="n">
        <x:v>110</x:v>
      </x:c>
      <x:c r="E113" s="27" t="str">
        <x:v>DPT-110</x:v>
      </x:c>
    </x:row>
    <x:row r="114">
      <x:c r="A114" s="32" t="str">
        <x:v>Reserved Department 111</x:v>
      </x:c>
      <x:c r="B114" s="27" t="str">
        <x:v>111</x:v>
      </x:c>
      <x:c r="C114" s="39" t="b">
        <x:v>0</x:v>
      </x:c>
      <x:c r="D114" s="35" t="n">
        <x:v>111</x:v>
      </x:c>
      <x:c r="E114" s="27" t="str">
        <x:v>DPT-111</x:v>
      </x:c>
    </x:row>
    <x:row r="115">
      <x:c r="A115" s="32" t="str">
        <x:v>Reserved Department 112</x:v>
      </x:c>
      <x:c r="B115" s="27" t="str">
        <x:v>112</x:v>
      </x:c>
      <x:c r="C115" s="39" t="b">
        <x:v>0</x:v>
      </x:c>
      <x:c r="D115" s="35" t="n">
        <x:v>112</x:v>
      </x:c>
      <x:c r="E115" s="27" t="str">
        <x:v>DPT-112</x:v>
      </x:c>
    </x:row>
    <x:row r="116">
      <x:c r="A116" s="32" t="str">
        <x:v>Reserved Department 113</x:v>
      </x:c>
      <x:c r="B116" s="27" t="str">
        <x:v>113</x:v>
      </x:c>
      <x:c r="C116" s="39" t="b">
        <x:v>0</x:v>
      </x:c>
      <x:c r="D116" s="35" t="n">
        <x:v>113</x:v>
      </x:c>
      <x:c r="E116" s="27" t="str">
        <x:v>DPT-113</x:v>
      </x:c>
    </x:row>
    <x:row r="117">
      <x:c r="A117" s="32" t="str">
        <x:v>Reserved Department 114</x:v>
      </x:c>
      <x:c r="B117" s="27" t="str">
        <x:v>114</x:v>
      </x:c>
      <x:c r="C117" s="39" t="b">
        <x:v>0</x:v>
      </x:c>
      <x:c r="D117" s="35" t="n">
        <x:v>114</x:v>
      </x:c>
      <x:c r="E117" s="27" t="str">
        <x:v>DPT-114</x:v>
      </x:c>
    </x:row>
    <x:row r="118">
      <x:c r="A118" s="32" t="str">
        <x:v>Reserved Department 115</x:v>
      </x:c>
      <x:c r="B118" s="27" t="str">
        <x:v>115</x:v>
      </x:c>
      <x:c r="C118" s="39" t="b">
        <x:v>0</x:v>
      </x:c>
      <x:c r="D118" s="35" t="n">
        <x:v>115</x:v>
      </x:c>
      <x:c r="E118" s="27" t="str">
        <x:v>DPT-115</x:v>
      </x:c>
    </x:row>
    <x:row r="119">
      <x:c r="A119" s="32" t="str">
        <x:v>Reserved Department 116</x:v>
      </x:c>
      <x:c r="B119" s="27" t="str">
        <x:v>116</x:v>
      </x:c>
      <x:c r="C119" s="39" t="b">
        <x:v>0</x:v>
      </x:c>
      <x:c r="D119" s="35" t="n">
        <x:v>116</x:v>
      </x:c>
      <x:c r="E119" s="27" t="str">
        <x:v>DPT-116</x:v>
      </x:c>
    </x:row>
    <x:row r="120">
      <x:c r="A120" s="32" t="str">
        <x:v>Reserved Department 117</x:v>
      </x:c>
      <x:c r="B120" s="27" t="str">
        <x:v>117</x:v>
      </x:c>
      <x:c r="C120" s="39" t="b">
        <x:v>0</x:v>
      </x:c>
      <x:c r="D120" s="35" t="n">
        <x:v>117</x:v>
      </x:c>
      <x:c r="E120" s="27" t="str">
        <x:v>DPT-117</x:v>
      </x:c>
    </x:row>
    <x:row r="121">
      <x:c r="A121" s="32" t="str">
        <x:v>Reserved Department 118</x:v>
      </x:c>
      <x:c r="B121" s="27" t="str">
        <x:v>118</x:v>
      </x:c>
      <x:c r="C121" s="39" t="b">
        <x:v>0</x:v>
      </x:c>
      <x:c r="D121" s="35" t="n">
        <x:v>118</x:v>
      </x:c>
      <x:c r="E121" s="27" t="str">
        <x:v>DPT-118</x:v>
      </x:c>
    </x:row>
    <x:row r="122">
      <x:c r="A122" s="32" t="str">
        <x:v>Reserved Department 119</x:v>
      </x:c>
      <x:c r="B122" s="27" t="str">
        <x:v>119</x:v>
      </x:c>
      <x:c r="C122" s="39" t="b">
        <x:v>0</x:v>
      </x:c>
      <x:c r="D122" s="35" t="n">
        <x:v>119</x:v>
      </x:c>
      <x:c r="E122" s="27" t="str">
        <x:v>DPT-119</x:v>
      </x:c>
    </x:row>
    <x:row r="123">
      <x:c r="A123" s="32" t="str">
        <x:v>Reserved Department 120</x:v>
      </x:c>
      <x:c r="B123" s="27" t="str">
        <x:v>120</x:v>
      </x:c>
      <x:c r="C123" s="39" t="b">
        <x:v>0</x:v>
      </x:c>
      <x:c r="D123" s="35" t="n">
        <x:v>120</x:v>
      </x:c>
      <x:c r="E123" s="27" t="str">
        <x:v>DPT-120</x:v>
      </x:c>
    </x:row>
    <x:row r="124">
      <x:c r="A124" s="32" t="str">
        <x:v>Reserved Department 121</x:v>
      </x:c>
      <x:c r="B124" s="27" t="str">
        <x:v>121</x:v>
      </x:c>
      <x:c r="C124" s="39" t="b">
        <x:v>0</x:v>
      </x:c>
      <x:c r="D124" s="35" t="n">
        <x:v>121</x:v>
      </x:c>
      <x:c r="E124" s="27" t="str">
        <x:v>DPT-121</x:v>
      </x:c>
    </x:row>
    <x:row r="125">
      <x:c r="A125" s="32" t="str">
        <x:v>Reserved Department 122</x:v>
      </x:c>
      <x:c r="B125" s="27" t="str">
        <x:v>122</x:v>
      </x:c>
      <x:c r="C125" s="39" t="b">
        <x:v>0</x:v>
      </x:c>
      <x:c r="D125" s="35" t="n">
        <x:v>122</x:v>
      </x:c>
      <x:c r="E125" s="27" t="str">
        <x:v>DPT-122</x:v>
      </x:c>
    </x:row>
    <x:row r="126">
      <x:c r="A126" s="32" t="str">
        <x:v>Reserved Department 123</x:v>
      </x:c>
      <x:c r="B126" s="27" t="str">
        <x:v>123</x:v>
      </x:c>
      <x:c r="C126" s="39" t="b">
        <x:v>0</x:v>
      </x:c>
      <x:c r="D126" s="35" t="n">
        <x:v>123</x:v>
      </x:c>
      <x:c r="E126" s="27" t="str">
        <x:v>DPT-123</x:v>
      </x:c>
    </x:row>
    <x:row r="127">
      <x:c r="A127" s="32" t="str">
        <x:v>Reserved Department 124</x:v>
      </x:c>
      <x:c r="B127" s="27" t="str">
        <x:v>124</x:v>
      </x:c>
      <x:c r="C127" s="39" t="b">
        <x:v>0</x:v>
      </x:c>
      <x:c r="D127" s="35" t="n">
        <x:v>124</x:v>
      </x:c>
      <x:c r="E127" s="27" t="str">
        <x:v>DPT-124</x:v>
      </x:c>
    </x:row>
    <x:row r="128">
      <x:c r="A128" s="32" t="str">
        <x:v>Reserved Department 125</x:v>
      </x:c>
      <x:c r="B128" s="27" t="str">
        <x:v>125</x:v>
      </x:c>
      <x:c r="C128" s="39" t="b">
        <x:v>0</x:v>
      </x:c>
      <x:c r="D128" s="35" t="n">
        <x:v>125</x:v>
      </x:c>
      <x:c r="E128" s="27" t="str">
        <x:v>DPT-125</x:v>
      </x:c>
    </x:row>
    <x:row r="129">
      <x:c r="A129" s="32" t="str">
        <x:v>Reserved Department 126</x:v>
      </x:c>
      <x:c r="B129" s="27" t="str">
        <x:v>126</x:v>
      </x:c>
      <x:c r="C129" s="39" t="b">
        <x:v>0</x:v>
      </x:c>
      <x:c r="D129" s="35" t="n">
        <x:v>126</x:v>
      </x:c>
      <x:c r="E129" s="27" t="str">
        <x:v>DPT-126</x:v>
      </x:c>
    </x:row>
    <x:row r="130">
      <x:c r="A130" s="32" t="str">
        <x:v>Reserved Department 127</x:v>
      </x:c>
      <x:c r="B130" s="27" t="str">
        <x:v>127</x:v>
      </x:c>
      <x:c r="C130" s="39" t="b">
        <x:v>0</x:v>
      </x:c>
      <x:c r="D130" s="35" t="n">
        <x:v>127</x:v>
      </x:c>
      <x:c r="E130" s="27" t="str">
        <x:v>DPT-127</x:v>
      </x:c>
    </x:row>
    <x:row r="131">
      <x:c r="A131" s="32" t="str">
        <x:v>Reserved Department 128</x:v>
      </x:c>
      <x:c r="B131" s="27" t="str">
        <x:v>128</x:v>
      </x:c>
      <x:c r="C131" s="39" t="b">
        <x:v>0</x:v>
      </x:c>
      <x:c r="D131" s="35" t="n">
        <x:v>128</x:v>
      </x:c>
      <x:c r="E131" s="27" t="str">
        <x:v>DPT-128</x:v>
      </x:c>
    </x:row>
    <x:row r="132">
      <x:c r="A132" s="32" t="str">
        <x:v>Reserved Department 129</x:v>
      </x:c>
      <x:c r="B132" s="27" t="str">
        <x:v>129</x:v>
      </x:c>
      <x:c r="C132" s="39" t="b">
        <x:v>0</x:v>
      </x:c>
      <x:c r="D132" s="35" t="n">
        <x:v>129</x:v>
      </x:c>
      <x:c r="E132" s="27" t="str">
        <x:v>DPT-129</x:v>
      </x:c>
    </x:row>
    <x:row r="133">
      <x:c r="A133" s="32" t="str">
        <x:v>Reserved Department 130</x:v>
      </x:c>
      <x:c r="B133" s="27" t="str">
        <x:v>130</x:v>
      </x:c>
      <x:c r="C133" s="39" t="b">
        <x:v>0</x:v>
      </x:c>
      <x:c r="D133" s="35" t="n">
        <x:v>130</x:v>
      </x:c>
      <x:c r="E133" s="27" t="str">
        <x:v>DPT-130</x:v>
      </x:c>
    </x:row>
    <x:row r="134">
      <x:c r="A134" s="32" t="str">
        <x:v>Reserved Department 131</x:v>
      </x:c>
      <x:c r="B134" s="27" t="str">
        <x:v>131</x:v>
      </x:c>
      <x:c r="C134" s="39" t="b">
        <x:v>0</x:v>
      </x:c>
      <x:c r="D134" s="35" t="n">
        <x:v>131</x:v>
      </x:c>
      <x:c r="E134" s="27" t="str">
        <x:v>DPT-131</x:v>
      </x:c>
    </x:row>
    <x:row r="135">
      <x:c r="A135" s="32" t="str">
        <x:v>Reserved Department 132</x:v>
      </x:c>
      <x:c r="B135" s="27" t="str">
        <x:v>132</x:v>
      </x:c>
      <x:c r="C135" s="39" t="b">
        <x:v>0</x:v>
      </x:c>
      <x:c r="D135" s="35" t="n">
        <x:v>132</x:v>
      </x:c>
      <x:c r="E135" s="27" t="str">
        <x:v>DPT-132</x:v>
      </x:c>
    </x:row>
    <x:row r="136">
      <x:c r="A136" s="32" t="str">
        <x:v>Reserved Department 133</x:v>
      </x:c>
      <x:c r="B136" s="27" t="str">
        <x:v>133</x:v>
      </x:c>
      <x:c r="C136" s="39" t="b">
        <x:v>0</x:v>
      </x:c>
      <x:c r="D136" s="35" t="n">
        <x:v>133</x:v>
      </x:c>
      <x:c r="E136" s="27" t="str">
        <x:v>DPT-133</x:v>
      </x:c>
    </x:row>
    <x:row r="137">
      <x:c r="A137" s="32" t="str">
        <x:v>Reserved Department 134</x:v>
      </x:c>
      <x:c r="B137" s="27" t="str">
        <x:v>134</x:v>
      </x:c>
      <x:c r="C137" s="39" t="b">
        <x:v>0</x:v>
      </x:c>
      <x:c r="D137" s="35" t="n">
        <x:v>134</x:v>
      </x:c>
      <x:c r="E137" s="27" t="str">
        <x:v>DPT-134</x:v>
      </x:c>
    </x:row>
    <x:row r="138">
      <x:c r="A138" s="32" t="str">
        <x:v>Reserved Department 135</x:v>
      </x:c>
      <x:c r="B138" s="27" t="str">
        <x:v>135</x:v>
      </x:c>
      <x:c r="C138" s="39" t="b">
        <x:v>0</x:v>
      </x:c>
      <x:c r="D138" s="35" t="n">
        <x:v>135</x:v>
      </x:c>
      <x:c r="E138" s="27" t="str">
        <x:v>DPT-135</x:v>
      </x:c>
    </x:row>
    <x:row r="139">
      <x:c r="A139" s="32" t="str">
        <x:v>Reserved Department 136</x:v>
      </x:c>
      <x:c r="B139" s="27" t="str">
        <x:v>136</x:v>
      </x:c>
      <x:c r="C139" s="39" t="b">
        <x:v>0</x:v>
      </x:c>
      <x:c r="D139" s="35" t="n">
        <x:v>136</x:v>
      </x:c>
      <x:c r="E139" s="27" t="str">
        <x:v>DPT-136</x:v>
      </x:c>
    </x:row>
    <x:row r="140">
      <x:c r="A140" s="32" t="str">
        <x:v>Reserved Department 137</x:v>
      </x:c>
      <x:c r="B140" s="27" t="str">
        <x:v>137</x:v>
      </x:c>
      <x:c r="C140" s="39" t="b">
        <x:v>0</x:v>
      </x:c>
      <x:c r="D140" s="35" t="n">
        <x:v>137</x:v>
      </x:c>
      <x:c r="E140" s="27" t="str">
        <x:v>DPT-137</x:v>
      </x:c>
    </x:row>
    <x:row r="141">
      <x:c r="A141" s="32" t="str">
        <x:v>Reserved Department 138</x:v>
      </x:c>
      <x:c r="B141" s="27" t="str">
        <x:v>138</x:v>
      </x:c>
      <x:c r="C141" s="39" t="b">
        <x:v>0</x:v>
      </x:c>
      <x:c r="D141" s="35" t="n">
        <x:v>138</x:v>
      </x:c>
      <x:c r="E141" s="27" t="str">
        <x:v>DPT-138</x:v>
      </x:c>
    </x:row>
    <x:row r="142">
      <x:c r="A142" s="32" t="str">
        <x:v>Reserved Department 139</x:v>
      </x:c>
      <x:c r="B142" s="27" t="str">
        <x:v>139</x:v>
      </x:c>
      <x:c r="C142" s="39" t="b">
        <x:v>0</x:v>
      </x:c>
      <x:c r="D142" s="35" t="n">
        <x:v>139</x:v>
      </x:c>
      <x:c r="E142" s="27" t="str">
        <x:v>DPT-139</x:v>
      </x:c>
    </x:row>
    <x:row r="143">
      <x:c r="A143" s="32" t="str">
        <x:v>Reserved Department 140</x:v>
      </x:c>
      <x:c r="B143" s="27" t="str">
        <x:v>140</x:v>
      </x:c>
      <x:c r="C143" s="39" t="b">
        <x:v>0</x:v>
      </x:c>
      <x:c r="D143" s="35" t="n">
        <x:v>140</x:v>
      </x:c>
      <x:c r="E143" s="27" t="str">
        <x:v>DPT-140</x:v>
      </x:c>
    </x:row>
    <x:row r="144">
      <x:c r="A144" s="32" t="str">
        <x:v>Reserved Department 141</x:v>
      </x:c>
      <x:c r="B144" s="27" t="str">
        <x:v>141</x:v>
      </x:c>
      <x:c r="C144" s="39" t="b">
        <x:v>0</x:v>
      </x:c>
      <x:c r="D144" s="35" t="n">
        <x:v>141</x:v>
      </x:c>
      <x:c r="E144" s="27" t="str">
        <x:v>DPT-141</x:v>
      </x:c>
    </x:row>
    <x:row r="145">
      <x:c r="A145" s="32" t="str">
        <x:v>Reserved Department 142</x:v>
      </x:c>
      <x:c r="B145" s="27" t="str">
        <x:v>142</x:v>
      </x:c>
      <x:c r="C145" s="39" t="b">
        <x:v>0</x:v>
      </x:c>
      <x:c r="D145" s="35" t="n">
        <x:v>142</x:v>
      </x:c>
      <x:c r="E145" s="27" t="str">
        <x:v>DPT-142</x:v>
      </x:c>
    </x:row>
    <x:row r="146">
      <x:c r="A146" s="32" t="str">
        <x:v>Reserved Department 143</x:v>
      </x:c>
      <x:c r="B146" s="27" t="str">
        <x:v>143</x:v>
      </x:c>
      <x:c r="C146" s="39" t="b">
        <x:v>0</x:v>
      </x:c>
      <x:c r="D146" s="35" t="n">
        <x:v>143</x:v>
      </x:c>
      <x:c r="E146" s="27" t="str">
        <x:v>DPT-143</x:v>
      </x:c>
    </x:row>
    <x:row r="147">
      <x:c r="A147" s="32" t="str">
        <x:v>Reserved Department 144</x:v>
      </x:c>
      <x:c r="B147" s="27" t="str">
        <x:v>144</x:v>
      </x:c>
      <x:c r="C147" s="39" t="b">
        <x:v>0</x:v>
      </x:c>
      <x:c r="D147" s="35" t="n">
        <x:v>144</x:v>
      </x:c>
      <x:c r="E147" s="27" t="str">
        <x:v>DPT-144</x:v>
      </x:c>
    </x:row>
    <x:row r="148">
      <x:c r="A148" s="32" t="str">
        <x:v>Reserved Department 145</x:v>
      </x:c>
      <x:c r="B148" s="27" t="str">
        <x:v>145</x:v>
      </x:c>
      <x:c r="C148" s="39" t="b">
        <x:v>0</x:v>
      </x:c>
      <x:c r="D148" s="35" t="n">
        <x:v>145</x:v>
      </x:c>
      <x:c r="E148" s="27" t="str">
        <x:v>DPT-145</x:v>
      </x:c>
    </x:row>
    <x:row r="149">
      <x:c r="A149" s="32" t="str">
        <x:v>Reserved Department 146</x:v>
      </x:c>
      <x:c r="B149" s="27" t="str">
        <x:v>146</x:v>
      </x:c>
      <x:c r="C149" s="39" t="b">
        <x:v>0</x:v>
      </x:c>
      <x:c r="D149" s="35" t="n">
        <x:v>146</x:v>
      </x:c>
      <x:c r="E149" s="27" t="str">
        <x:v>DPT-146</x:v>
      </x:c>
    </x:row>
    <x:row r="150">
      <x:c r="A150" s="32" t="str">
        <x:v>Reserved Department 147</x:v>
      </x:c>
      <x:c r="B150" s="27" t="str">
        <x:v>147</x:v>
      </x:c>
      <x:c r="C150" s="39" t="b">
        <x:v>0</x:v>
      </x:c>
      <x:c r="D150" s="35" t="n">
        <x:v>147</x:v>
      </x:c>
      <x:c r="E150" s="27" t="str">
        <x:v>DPT-147</x:v>
      </x:c>
    </x:row>
    <x:row r="151">
      <x:c r="A151" s="32" t="str">
        <x:v>Reserved Department 148</x:v>
      </x:c>
      <x:c r="B151" s="27" t="str">
        <x:v>148</x:v>
      </x:c>
      <x:c r="C151" s="39" t="b">
        <x:v>0</x:v>
      </x:c>
      <x:c r="D151" s="35" t="n">
        <x:v>148</x:v>
      </x:c>
      <x:c r="E151" s="27" t="str">
        <x:v>DPT-148</x:v>
      </x:c>
    </x:row>
    <x:row r="152">
      <x:c r="A152" s="32" t="str">
        <x:v>Reserved Department 149</x:v>
      </x:c>
      <x:c r="B152" s="27" t="str">
        <x:v>149</x:v>
      </x:c>
      <x:c r="C152" s="39" t="b">
        <x:v>0</x:v>
      </x:c>
      <x:c r="D152" s="35" t="n">
        <x:v>149</x:v>
      </x:c>
      <x:c r="E152" s="27" t="str">
        <x:v>DPT-149</x:v>
      </x:c>
    </x:row>
    <x:row r="153">
      <x:c r="A153" s="32" t="str">
        <x:v>Reserved Department 150</x:v>
      </x:c>
      <x:c r="B153" s="27" t="str">
        <x:v>150</x:v>
      </x:c>
      <x:c r="C153" s="39" t="b">
        <x:v>0</x:v>
      </x:c>
      <x:c r="D153" s="35" t="n">
        <x:v>150</x:v>
      </x:c>
      <x:c r="E153" s="27" t="str">
        <x:v>DPT-150</x:v>
      </x:c>
    </x:row>
  </x:sheetData>
  <x:mergeCells>
    <x:mergeCell ref="A1:E1"/>
    <x:mergeCell ref="A2:E2"/>
    <x:mergeCell ref="G1:H1"/>
    <x:mergeCell ref="G2:H2"/>
  </x:mergeCells>
  <x:conditionalFormatting sqref="A4:E153">
    <x:cfRule type="expression" dxfId="6" priority="1">
      <x:formula>$C4=FALSE</x:formula>
    </x:cfRule>
  </x:conditionalFormatting>
  <x:dataValidations count="6">
    <x:dataValidation type="custom" sqref="A4:A1048576">
      <x:formula1>$A4&lt;&gt;""</x:formula1>
    </x:dataValidation>
    <x:dataValidation type="custom" sqref="B4:B1048576">
      <x:formula1>AND($B4&lt;&gt;"",COUNTIF($B:$B,$B4)=1)</x:formula1>
    </x:dataValidation>
    <x:dataValidation type="list" sqref="C4:C1048576">
      <x:formula1>"true,false"</x:formula1>
    </x:dataValidation>
    <x:dataValidation type="whole" operator="greaterThanOrEqual" sqref="D4:D1048576">
      <x:formula1>1</x:formula1>
    </x:dataValidation>
    <x:dataValidation type="custom" sqref="E4:E1048576">
      <x:formula1>AND($E4&lt;&gt;"",COUNTIF($E:$E,$E4)=1)</x:formula1>
    </x:dataValidation>
    <x:dataValidation type="custom" sqref="H4">
      <x:formula1>AND($H4&lt;&gt;"",LEN($H4)&lt;=200)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6e4dfafebd43f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0" hidden="0" customWidth="1"/>
    <x:col min="3" max="3" width="14" hidden="0" customWidth="1"/>
    <x:col min="4" max="4" width="16" hidden="0" customWidth="1"/>
    <x:col min="5" max="5" width="14" hidden="0" customWidth="1"/>
    <x:col min="6" max="6" width="16" hidden="0" customWidth="1"/>
    <x:col min="7" max="7" width="17" hidden="0" customWidth="1"/>
    <x:col min="8" max="8" width="21" hidden="0" customWidth="1"/>
    <x:col min="9" max="9" width="34" hidden="0" customWidth="1"/>
    <x:col min="10" max="10" width="20" hidden="0" customWidth="1"/>
    <x:col min="11" max="11" width="4" hidden="0" customWidth="1"/>
    <x:col min="12" max="12" width="4" hidden="0" customWidth="1"/>
    <x:col min="14" max="14" width="0" hidden="1" customWidth="1"/>
    <x:col min="15" max="15" width="0" hidden="1" customWidth="1"/>
    <x:col min="16" max="16" width="0" hidden="1" customWidth="1"/>
    <x:col min="17" max="17" width="0" hidden="1" customWidth="1"/>
    <x:col min="18" max="18" width="0" hidden="1" customWidth="1"/>
    <x:col min="19" max="19" width="0" hidden="1" customWidth="1"/>
    <x:col min="20" max="20" width="0" hidden="1" customWidth="1"/>
    <x:col min="21" max="21" width="0" hidden="1" customWidth="1"/>
  </x:cols>
  <x:sheetData>
    <x:row r="1" ht="32" customHeight="1">
      <x:c r="A1" s="51" t="str">
        <x:v>RAH.01 Administration Dashboard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</x:row>
    <x:row r="2" ht="30" customHeight="1">
      <x:c r="A2" s="7" t="str">
        <x:v>Review all departments by name. Live formulas use tblAssessments and tblHazards; category counts include only has_risk=TRUE rows.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N3" t="str">
        <x:v>category_code</x:v>
      </x:c>
      <x:c r="O3" t="str">
        <x:v>hazard_count</x:v>
      </x:c>
      <x:c r="Q3" t="str">
        <x:v>highest_risk_department</x:v>
      </x:c>
      <x:c r="R3" t="str">
        <x:v>peak_score</x:v>
      </x:c>
      <x:c r="T3" t="str">
        <x:v>assessment_id_hidden</x:v>
      </x:c>
      <x:c r="U3" t="str">
        <x:v>dashboard_review_capacity</x:v>
      </x:c>
    </x:row>
    <x:row r="4">
      <x:c r="A4" s="53" t="str">
        <x:v>Total assessments</x:v>
      </x:c>
      <x:c r="B4" s="53"/>
      <x:c r="C4" s="53"/>
      <x:c r="D4" s="53" t="str">
        <x:v>Submitted</x:v>
      </x:c>
      <x:c r="E4" s="53"/>
      <x:c r="F4" s="53"/>
      <x:c r="G4" s="53" t="str">
        <x:v>In review</x:v>
      </x:c>
      <x:c r="H4" s="53"/>
      <x:c r="I4" s="53"/>
      <x:c r="J4" s="53" t="str">
        <x:v>High risk (6–9)</x:v>
      </x:c>
      <x:c r="K4" s="53"/>
      <x:c r="L4" s="53"/>
      <x:c r="N4" t="str">
        <x:v>Physical</x:v>
      </x:c>
      <x:c r="O4" t="n">
        <x:f>COUNTIFS(tblHazards[category_code],"PHYSICAL",tblHazards[has_risk],1)</x:f>
        <x:v>43</x:v>
      </x:c>
      <x:c r="Q4" t="str">
        <x:f>IFERROR(INDEX(SORTBY(tblAssessments[department_name],tblAssessments[overall_risk_score],-1,tblAssessments[department_name],1),ROW()-3),"")</x:f>
        <x:v>Accident &amp; Emergency</x:v>
      </x:c>
      <x:c r="R4" t="n">
        <x:f>IFERROR(INDEX(SORTBY(tblAssessments[overall_risk_score],tblAssessments[overall_risk_score],-1,tblAssessments[department_name],1),ROW()-3),"")</x:f>
        <x:v>9</x:v>
      </x:c>
      <x:c r="U4" t="n">
        <x:v>150</x:v>
      </x:c>
    </x:row>
    <x:row r="5">
      <x:c r="A5" s="68" t="n">
        <x:f>COUNTIF(tblAssessments[assessment_id],"&lt;&gt;")</x:f>
        <x:v>70</x:v>
      </x:c>
      <x:c r="B5" s="69"/>
      <x:c r="C5" s="70"/>
      <x:c r="D5" s="68" t="n">
        <x:f>COUNTIF(tblAssessments[status],"SUBMITTED")</x:f>
        <x:v>14</x:v>
      </x:c>
      <x:c r="E5" s="69"/>
      <x:c r="F5" s="70"/>
      <x:c r="G5" s="68" t="n">
        <x:f>COUNTIF(tblAssessments[status],"IN_REVIEW")</x:f>
        <x:v>14</x:v>
      </x:c>
      <x:c r="H5" s="69"/>
      <x:c r="I5" s="70"/>
      <x:c r="J5" s="68" t="n">
        <x:f>COUNTIFS(tblAssessments[overall_risk_score],"&gt;=6",tblAssessments[overall_risk_score],"&lt;=9")</x:f>
        <x:v>35</x:v>
      </x:c>
      <x:c r="K5" s="69"/>
      <x:c r="L5" s="70"/>
      <x:c r="N5" t="str">
        <x:v>Biological</x:v>
      </x:c>
      <x:c r="O5" t="n">
        <x:f>COUNTIFS(tblHazards[category_code],"BIOLOGICAL",tblHazards[has_risk],1)</x:f>
        <x:v>62</x:v>
      </x:c>
      <x:c r="Q5" t="str">
        <x:f>IFERROR(INDEX(SORTBY(tblAssessments[department_name],tblAssessments[overall_risk_score],-1,tblAssessments[department_name],1),ROW()-3),"")</x:f>
        <x:v>Anaesthesia</x:v>
      </x:c>
      <x:c r="R5" t="n">
        <x:f>IFERROR(INDEX(SORTBY(tblAssessments[overall_risk_score],tblAssessments[overall_risk_score],-1,tblAssessments[department_name],1),ROW()-3),"")</x:f>
        <x:v>9</x:v>
      </x:c>
    </x:row>
    <x:row r="6">
      <x:c r="A6" s="71"/>
      <x:c r="B6" s="72"/>
      <x:c r="C6" s="73"/>
      <x:c r="D6" s="71"/>
      <x:c r="E6" s="72"/>
      <x:c r="F6" s="73"/>
      <x:c r="G6" s="71"/>
      <x:c r="H6" s="72"/>
      <x:c r="I6" s="73"/>
      <x:c r="J6" s="71"/>
      <x:c r="K6" s="72"/>
      <x:c r="L6" s="73"/>
      <x:c r="N6" t="str">
        <x:v>Chemical</x:v>
      </x:c>
      <x:c r="O6" t="n">
        <x:f>COUNTIFS(tblHazards[category_code],"CHEMICAL",tblHazards[has_risk],1)</x:f>
        <x:v>15</x:v>
      </x:c>
      <x:c r="Q6" t="str">
        <x:f>IFERROR(INDEX(SORTBY(tblAssessments[department_name],tblAssessments[overall_risk_score],-1,tblAssessments[department_name],1),ROW()-3),"")</x:f>
        <x:v>Cardiology</x:v>
      </x:c>
      <x:c r="R6" t="n">
        <x:f>IFERROR(INDEX(SORTBY(tblAssessments[overall_risk_score],tblAssessments[overall_risk_score],-1,tblAssessments[department_name],1),ROW()-3),"")</x:f>
        <x:v>9</x:v>
      </x:c>
    </x:row>
    <x:row r="7">
      <x:c r="N7" t="str">
        <x:v>Ergonomic</x:v>
      </x:c>
      <x:c r="O7" t="n">
        <x:f>COUNTIFS(tblHazards[category_code],"ERGONOMIC",tblHazards[has_risk],1)</x:f>
        <x:v>140</x:v>
      </x:c>
      <x:c r="Q7" t="str">
        <x:f>IFERROR(INDEX(SORTBY(tblAssessments[department_name],tblAssessments[overall_risk_score],-1,tblAssessments[department_name],1),ROW()-3),"")</x:f>
        <x:v>Cardiothoracic Surgery</x:v>
      </x:c>
      <x:c r="R7" t="n">
        <x:f>IFERROR(INDEX(SORTBY(tblAssessments[overall_risk_score],tblAssessments[overall_risk_score],-1,tblAssessments[department_name],1),ROW()-3),"")</x:f>
        <x:v>9</x:v>
      </x:c>
    </x:row>
    <x:row r="8">
      <x:c r="N8" t="str">
        <x:v>Psychosocial</x:v>
      </x:c>
      <x:c r="O8" t="n">
        <x:f>COUNTIFS(tblHazards[category_code],"PSYCHOSOCIAL",tblHazards[has_risk],1)</x:f>
        <x:v>79</x:v>
      </x:c>
    </x:row>
    <x:row r="9">
      <x:c r="N9" t="str">
        <x:v>Safety / accident</x:v>
      </x:c>
      <x:c r="O9" t="n">
        <x:f>COUNTIFS(tblHazards[category_code],"SAFETY_ACCIDENT",tblHazards[has_risk],1)</x:f>
        <x:v>78</x:v>
      </x:c>
    </x:row>
    <x:row r="10">
      <x:c r="N10" t="str">
        <x:v>Fire / disaster</x:v>
      </x:c>
      <x:c r="O10" t="n">
        <x:f>COUNTIFS(tblHazards[category_code],"FIRE_DISASTER",tblHazards[has_risk],1)</x:f>
        <x:v>33</x:v>
      </x:c>
    </x:row>
    <x:row r="11">
      <x:c r="N11" t="str">
        <x:v>Indoor air</x:v>
      </x:c>
      <x:c r="O11" t="n">
        <x:f>COUNTIFS(tblHazards[category_code],"INDOOR_AIR_QUALITY",tblHazards[has_risk],1)</x:f>
        <x:v>35</x:v>
      </x:c>
    </x:row>
    <x:row r="22">
      <x:c r="A22" s="74" t="str">
        <x:v>Department review index — sorted by department name</x:v>
      </x:c>
      <x:c r="B22" s="74"/>
      <x:c r="C22" s="74"/>
      <x:c r="D22" s="74"/>
      <x:c r="E22" s="74"/>
      <x:c r="F22" s="74"/>
      <x:c r="G22" s="74"/>
      <x:c r="H22" s="74"/>
      <x:c r="I22" s="74"/>
    </x:row>
    <x:row r="23">
      <x:c r="A23" s="77" t="str">
        <x:v>No.</x:v>
      </x:c>
      <x:c r="B23" s="77" t="str">
        <x:v>Department name</x:v>
      </x:c>
      <x:c r="C23" s="77" t="str">
        <x:v>Total staff</x:v>
      </x:c>
      <x:c r="D23" s="77" t="str">
        <x:v>Status</x:v>
      </x:c>
      <x:c r="E23" s="77" t="str">
        <x:v>Peak score</x:v>
      </x:c>
      <x:c r="F23" s="77" t="str">
        <x:v>Risk level</x:v>
      </x:c>
      <x:c r="G23" s="77" t="str">
        <x:v>Assessment date</x:v>
      </x:c>
      <x:c r="H23" s="77" t="str">
        <x:v>Report number</x:v>
      </x:c>
      <x:c r="I23" s="77" t="str">
        <x:v>Required action</x:v>
      </x:c>
    </x:row>
    <x:row r="24">
      <x:c r="A24" s="82" t="n">
        <x:v>1</x:v>
      </x:c>
      <x:c r="B24" s="84" t="str">
        <x:f>IFERROR(INDEX(SORTBY(tblAssessments[department_name],tblAssessments[department_name],1,tblAssessments[assessment_date],-1,tblAssessments[assessment_id],1),A24),"")</x:f>
        <x:v>Accident &amp; Emergency</x:v>
      </x:c>
      <x:c r="C24" s="82" t="n">
        <x:f>IFERROR(INDEX(SORTBY(tblAssessments[total_staff_count],tblAssessments[department_name],1,tblAssessments[assessment_date],-1,tblAssessments[assessment_id],1),A24),"")</x:f>
        <x:v>13</x:v>
      </x:c>
      <x:c r="D24" s="82" t="str">
        <x:f>IFERROR(INDEX(SORTBY(tblAssessments[status],tblAssessments[department_name],1,tblAssessments[assessment_date],-1,tblAssessments[assessment_id],1),A24),"")</x:f>
        <x:v>SUBMITTED</x:v>
      </x:c>
      <x:c r="E24" s="82" t="n">
        <x:f>IFERROR(INDEX(SORTBY(tblAssessments[overall_risk_score],tblAssessments[department_name],1,tblAssessments[assessment_date],-1,tblAssessments[assessment_id],1),A24),"")</x:f>
        <x:v>9</x:v>
      </x:c>
      <x:c r="F24" s="82" t="str">
        <x:f>IFERROR(INDEX(SORTBY(tblAssessments[overall_risk_level],tblAssessments[department_name],1,tblAssessments[assessment_date],-1,tblAssessments[assessment_id],1),A24),"")</x:f>
        <x:v>HIGH</x:v>
      </x:c>
      <x:c r="G24" s="86" t="n">
        <x:f>IFERROR(INDEX(SORTBY(tblAssessments[assessment_date],tblAssessments[department_name],1,tblAssessments[assessment_date],-1,tblAssessments[assessment_id],1),A24),"")</x:f>
        <x:v>46026</x:v>
      </x:c>
      <x:c r="H24" s="82" t="str">
        <x:f>IFERROR(INDEX(SORTBY(tblAssessments[report_number],tblAssessments[department_name],1,tblAssessments[assessment_date],-1,tblAssessments[assessment_id],1),A24),"")</x:f>
        <x:v>RAH01-2026-001</x:v>
      </x:c>
      <x:c r="I24" s="82" t="str">
        <x:f>IF(E24="","",IF(E24&gt;=6,"Immediate corrective action",IF(E24&gt;=3,"Document improvement plan","Maintain controls")))</x:f>
        <x:v>Immediate corrective action</x:v>
      </x:c>
      <x:c r="T24" t="str">
        <x:f>IFERROR(INDEX(SORTBY(tblAssessments[assessment_id],tblAssessments[department_name],1,tblAssessments[assessment_date],-1,tblAssessments[assessment_id],1),A24),"")</x:f>
        <x:v>ASM-2026-001</x:v>
      </x:c>
    </x:row>
    <x:row r="25">
      <x:c r="A25" s="83" t="n">
        <x:v>2</x:v>
      </x:c>
      <x:c r="B25" s="85" t="str">
        <x:f>IFERROR(INDEX(SORTBY(tblAssessments[department_name],tblAssessments[department_name],1,tblAssessments[assessment_date],-1,tblAssessments[assessment_id],1),A25),"")</x:f>
        <x:v>Anaesthesia</x:v>
      </x:c>
      <x:c r="C25" s="83" t="n">
        <x:f>IFERROR(INDEX(SORTBY(tblAssessments[total_staff_count],tblAssessments[department_name],1,tblAssessments[assessment_date],-1,tblAssessments[assessment_id],1),A25),"")</x:f>
        <x:v>20</x:v>
      </x:c>
      <x:c r="D25" s="83" t="str">
        <x:f>IFERROR(INDEX(SORTBY(tblAssessments[status],tblAssessments[department_name],1,tblAssessments[assessment_date],-1,tblAssessments[assessment_id],1),A25),"")</x:f>
        <x:v>IN_REVIEW</x:v>
      </x:c>
      <x:c r="E25" s="83" t="n">
        <x:f>IFERROR(INDEX(SORTBY(tblAssessments[overall_risk_score],tblAssessments[department_name],1,tblAssessments[assessment_date],-1,tblAssessments[assessment_id],1),A25),"")</x:f>
        <x:v>9</x:v>
      </x:c>
      <x:c r="F25" s="83" t="str">
        <x:f>IFERROR(INDEX(SORTBY(tblAssessments[overall_risk_level],tblAssessments[department_name],1,tblAssessments[assessment_date],-1,tblAssessments[assessment_id],1),A25),"")</x:f>
        <x:v>HIGH</x:v>
      </x:c>
      <x:c r="G25" s="87" t="n">
        <x:f>IFERROR(INDEX(SORTBY(tblAssessments[assessment_date],tblAssessments[department_name],1,tblAssessments[assessment_date],-1,tblAssessments[assessment_id],1),A25),"")</x:f>
        <x:v>46060</x:v>
      </x:c>
      <x:c r="H25" s="83" t="str">
        <x:f>IFERROR(INDEX(SORTBY(tblAssessments[report_number],tblAssessments[department_name],1,tblAssessments[assessment_date],-1,tblAssessments[assessment_id],1),A25),"")</x:f>
        <x:v>RAH01-2026-002</x:v>
      </x:c>
      <x:c r="I25" s="83" t="str">
        <x:f>IF(E25="","",IF(E25&gt;=6,"Immediate corrective action",IF(E25&gt;=3,"Document improvement plan","Maintain controls")))</x:f>
        <x:v>Immediate corrective action</x:v>
      </x:c>
      <x:c r="T25" t="str">
        <x:f>IFERROR(INDEX(SORTBY(tblAssessments[assessment_id],tblAssessments[department_name],1,tblAssessments[assessment_date],-1,tblAssessments[assessment_id],1),A25),"")</x:f>
        <x:v>ASM-2026-002</x:v>
      </x:c>
    </x:row>
    <x:row r="26">
      <x:c r="A26" s="83" t="n">
        <x:v>3</x:v>
      </x:c>
      <x:c r="B26" s="85" t="str">
        <x:f>IFERROR(INDEX(SORTBY(tblAssessments[department_name],tblAssessments[department_name],1,tblAssessments[assessment_date],-1,tblAssessments[assessment_id],1),A26),"")</x:f>
        <x:v>Cardiology</x:v>
      </x:c>
      <x:c r="C26" s="83" t="n">
        <x:f>IFERROR(INDEX(SORTBY(tblAssessments[total_staff_count],tblAssessments[department_name],1,tblAssessments[assessment_date],-1,tblAssessments[assessment_id],1),A26),"")</x:f>
        <x:v>27</x:v>
      </x:c>
      <x:c r="D26" s="83" t="str">
        <x:f>IFERROR(INDEX(SORTBY(tblAssessments[status],tblAssessments[department_name],1,tblAssessments[assessment_date],-1,tblAssessments[assessment_id],1),A26),"")</x:f>
        <x:v>CLOSED</x:v>
      </x:c>
      <x:c r="E26" s="83" t="n">
        <x:f>IFERROR(INDEX(SORTBY(tblAssessments[overall_risk_score],tblAssessments[department_name],1,tblAssessments[assessment_date],-1,tblAssessments[assessment_id],1),A26),"")</x:f>
        <x:v>9</x:v>
      </x:c>
      <x:c r="F26" s="83" t="str">
        <x:f>IFERROR(INDEX(SORTBY(tblAssessments[overall_risk_level],tblAssessments[department_name],1,tblAssessments[assessment_date],-1,tblAssessments[assessment_id],1),A26),"")</x:f>
        <x:v>HIGH</x:v>
      </x:c>
      <x:c r="G26" s="87" t="n">
        <x:f>IFERROR(INDEX(SORTBY(tblAssessments[assessment_date],tblAssessments[department_name],1,tblAssessments[assessment_date],-1,tblAssessments[assessment_id],1),A26),"")</x:f>
        <x:v>46091</x:v>
      </x:c>
      <x:c r="H26" s="83" t="str">
        <x:f>IFERROR(INDEX(SORTBY(tblAssessments[report_number],tblAssessments[department_name],1,tblAssessments[assessment_date],-1,tblAssessments[assessment_id],1),A26),"")</x:f>
        <x:v>RAH01-2026-003</x:v>
      </x:c>
      <x:c r="I26" s="83" t="str">
        <x:f>IF(E26="","",IF(E26&gt;=6,"Immediate corrective action",IF(E26&gt;=3,"Document improvement plan","Maintain controls")))</x:f>
        <x:v>Immediate corrective action</x:v>
      </x:c>
      <x:c r="T26" t="str">
        <x:f>IFERROR(INDEX(SORTBY(tblAssessments[assessment_id],tblAssessments[department_name],1,tblAssessments[assessment_date],-1,tblAssessments[assessment_id],1),A26),"")</x:f>
        <x:v>ASM-2026-003</x:v>
      </x:c>
    </x:row>
    <x:row r="27">
      <x:c r="A27" s="83" t="n">
        <x:v>4</x:v>
      </x:c>
      <x:c r="B27" s="85" t="str">
        <x:f>IFERROR(INDEX(SORTBY(tblAssessments[department_name],tblAssessments[department_name],1,tblAssessments[assessment_date],-1,tblAssessments[assessment_id],1),A27),"")</x:f>
        <x:v>Cardiothoracic Surgery</x:v>
      </x:c>
      <x:c r="C27" s="83" t="n">
        <x:f>IFERROR(INDEX(SORTBY(tblAssessments[total_staff_count],tblAssessments[department_name],1,tblAssessments[assessment_date],-1,tblAssessments[assessment_id],1),A27),"")</x:f>
        <x:v>34</x:v>
      </x:c>
      <x:c r="D27" s="83" t="str">
        <x:f>IFERROR(INDEX(SORTBY(tblAssessments[status],tblAssessments[department_name],1,tblAssessments[assessment_date],-1,tblAssessments[assessment_id],1),A27),"")</x:f>
        <x:v>CLOSED</x:v>
      </x:c>
      <x:c r="E27" s="83" t="n">
        <x:f>IFERROR(INDEX(SORTBY(tblAssessments[overall_risk_score],tblAssessments[department_name],1,tblAssessments[assessment_date],-1,tblAssessments[assessment_id],1),A27),"")</x:f>
        <x:v>9</x:v>
      </x:c>
      <x:c r="F27" s="83" t="str">
        <x:f>IFERROR(INDEX(SORTBY(tblAssessments[overall_risk_level],tblAssessments[department_name],1,tblAssessments[assessment_date],-1,tblAssessments[assessment_id],1),A27),"")</x:f>
        <x:v>HIGH</x:v>
      </x:c>
      <x:c r="G27" s="87" t="n">
        <x:f>IFERROR(INDEX(SORTBY(tblAssessments[assessment_date],tblAssessments[department_name],1,tblAssessments[assessment_date],-1,tblAssessments[assessment_id],1),A27),"")</x:f>
        <x:v>46125</x:v>
      </x:c>
      <x:c r="H27" s="83" t="str">
        <x:f>IFERROR(INDEX(SORTBY(tblAssessments[report_number],tblAssessments[department_name],1,tblAssessments[assessment_date],-1,tblAssessments[assessment_id],1),A27),"")</x:f>
        <x:v>RAH01-2026-004</x:v>
      </x:c>
      <x:c r="I27" s="83" t="str">
        <x:f>IF(E27="","",IF(E27&gt;=6,"Immediate corrective action",IF(E27&gt;=3,"Document improvement plan","Maintain controls")))</x:f>
        <x:v>Immediate corrective action</x:v>
      </x:c>
      <x:c r="T27" t="str">
        <x:f>IFERROR(INDEX(SORTBY(tblAssessments[assessment_id],tblAssessments[department_name],1,tblAssessments[assessment_date],-1,tblAssessments[assessment_id],1),A27),"")</x:f>
        <x:v>ASM-2026-004</x:v>
      </x:c>
    </x:row>
    <x:row r="28">
      <x:c r="A28" s="83" t="n">
        <x:v>5</x:v>
      </x:c>
      <x:c r="B28" s="85" t="str">
        <x:f>IFERROR(INDEX(SORTBY(tblAssessments[department_name],tblAssessments[department_name],1,tblAssessments[assessment_date],-1,tblAssessments[assessment_id],1),A28),"")</x:f>
        <x:v>Central Sterile Supply</x:v>
      </x:c>
      <x:c r="C28" s="83" t="n">
        <x:f>IFERROR(INDEX(SORTBY(tblAssessments[total_staff_count],tblAssessments[department_name],1,tblAssessments[assessment_date],-1,tblAssessments[assessment_id],1),A28),"")</x:f>
        <x:v>41</x:v>
      </x:c>
      <x:c r="D28" s="83" t="str">
        <x:f>IFERROR(INDEX(SORTBY(tblAssessments[status],tblAssessments[department_name],1,tblAssessments[assessment_date],-1,tblAssessments[assessment_id],1),A28),"")</x:f>
        <x:v>RETURNED</x:v>
      </x:c>
      <x:c r="E28" s="83" t="n">
        <x:f>IFERROR(INDEX(SORTBY(tblAssessments[overall_risk_score],tblAssessments[department_name],1,tblAssessments[assessment_date],-1,tblAssessments[assessment_id],1),A28),"")</x:f>
        <x:v>9</x:v>
      </x:c>
      <x:c r="F28" s="83" t="str">
        <x:f>IFERROR(INDEX(SORTBY(tblAssessments[overall_risk_level],tblAssessments[department_name],1,tblAssessments[assessment_date],-1,tblAssessments[assessment_id],1),A28),"")</x:f>
        <x:v>HIGH</x:v>
      </x:c>
      <x:c r="G28" s="87" t="n">
        <x:f>IFERROR(INDEX(SORTBY(tblAssessments[assessment_date],tblAssessments[department_name],1,tblAssessments[assessment_date],-1,tblAssessments[assessment_id],1),A28),"")</x:f>
        <x:v>46158</x:v>
      </x:c>
      <x:c r="H28" s="83" t="str">
        <x:f>IFERROR(INDEX(SORTBY(tblAssessments[report_number],tblAssessments[department_name],1,tblAssessments[assessment_date],-1,tblAssessments[assessment_id],1),A28),"")</x:f>
        <x:v>RAH01-2026-005</x:v>
      </x:c>
      <x:c r="I28" s="83" t="str">
        <x:f>IF(E28="","",IF(E28&gt;=6,"Immediate corrective action",IF(E28&gt;=3,"Document improvement plan","Maintain controls")))</x:f>
        <x:v>Immediate corrective action</x:v>
      </x:c>
      <x:c r="T28" t="str">
        <x:f>IFERROR(INDEX(SORTBY(tblAssessments[assessment_id],tblAssessments[department_name],1,tblAssessments[assessment_date],-1,tblAssessments[assessment_id],1),A28),"")</x:f>
        <x:v>ASM-2026-005</x:v>
      </x:c>
    </x:row>
    <x:row r="29">
      <x:c r="A29" s="83" t="n">
        <x:v>6</x:v>
      </x:c>
      <x:c r="B29" s="85" t="str">
        <x:f>IFERROR(INDEX(SORTBY(tblAssessments[department_name],tblAssessments[department_name],1,tblAssessments[assessment_date],-1,tblAssessments[assessment_id],1),A29),"")</x:f>
        <x:v>Child Development</x:v>
      </x:c>
      <x:c r="C29" s="83" t="n">
        <x:f>IFERROR(INDEX(SORTBY(tblAssessments[total_staff_count],tblAssessments[department_name],1,tblAssessments[assessment_date],-1,tblAssessments[assessment_id],1),A29),"")</x:f>
        <x:v>48</x:v>
      </x:c>
      <x:c r="D29" s="83" t="str">
        <x:f>IFERROR(INDEX(SORTBY(tblAssessments[status],tblAssessments[department_name],1,tblAssessments[assessment_date],-1,tblAssessments[assessment_id],1),A29),"")</x:f>
        <x:v>SUBMITTED</x:v>
      </x:c>
      <x:c r="E29" s="83" t="n">
        <x:f>IFERROR(INDEX(SORTBY(tblAssessments[overall_risk_score],tblAssessments[department_name],1,tblAssessments[assessment_date],-1,tblAssessments[assessment_id],1),A29),"")</x:f>
        <x:v>9</x:v>
      </x:c>
      <x:c r="F29" s="83" t="str">
        <x:f>IFERROR(INDEX(SORTBY(tblAssessments[overall_risk_level],tblAssessments[department_name],1,tblAssessments[assessment_date],-1,tblAssessments[assessment_id],1),A29),"")</x:f>
        <x:v>HIGH</x:v>
      </x:c>
      <x:c r="G29" s="87" t="n">
        <x:f>IFERROR(INDEX(SORTBY(tblAssessments[assessment_date],tblAssessments[department_name],1,tblAssessments[assessment_date],-1,tblAssessments[assessment_id],1),A29),"")</x:f>
        <x:v>46192</x:v>
      </x:c>
      <x:c r="H29" s="83" t="str">
        <x:f>IFERROR(INDEX(SORTBY(tblAssessments[report_number],tblAssessments[department_name],1,tblAssessments[assessment_date],-1,tblAssessments[assessment_id],1),A29),"")</x:f>
        <x:v>RAH01-2026-006</x:v>
      </x:c>
      <x:c r="I29" s="83" t="str">
        <x:f>IF(E29="","",IF(E29&gt;=6,"Immediate corrective action",IF(E29&gt;=3,"Document improvement plan","Maintain controls")))</x:f>
        <x:v>Immediate corrective action</x:v>
      </x:c>
      <x:c r="T29" t="str">
        <x:f>IFERROR(INDEX(SORTBY(tblAssessments[assessment_id],tblAssessments[department_name],1,tblAssessments[assessment_date],-1,tblAssessments[assessment_id],1),A29),"")</x:f>
        <x:v>ASM-2026-006</x:v>
      </x:c>
    </x:row>
    <x:row r="30">
      <x:c r="A30" s="83" t="n">
        <x:v>7</x:v>
      </x:c>
      <x:c r="B30" s="85" t="str">
        <x:f>IFERROR(INDEX(SORTBY(tblAssessments[department_name],tblAssessments[department_name],1,tblAssessments[assessment_date],-1,tblAssessments[assessment_id],1),A30),"")</x:f>
        <x:v>Clinical Nutrition</x:v>
      </x:c>
      <x:c r="C30" s="83" t="n">
        <x:f>IFERROR(INDEX(SORTBY(tblAssessments[total_staff_count],tblAssessments[department_name],1,tblAssessments[assessment_date],-1,tblAssessments[assessment_id],1),A30),"")</x:f>
        <x:v>55</x:v>
      </x:c>
      <x:c r="D30" s="83" t="str">
        <x:f>IFERROR(INDEX(SORTBY(tblAssessments[status],tblAssessments[department_name],1,tblAssessments[assessment_date],-1,tblAssessments[assessment_id],1),A30),"")</x:f>
        <x:v>IN_REVIEW</x:v>
      </x:c>
      <x:c r="E30" s="83" t="n">
        <x:f>IFERROR(INDEX(SORTBY(tblAssessments[overall_risk_score],tblAssessments[department_name],1,tblAssessments[assessment_date],-1,tblAssessments[assessment_id],1),A30),"")</x:f>
        <x:v>4</x:v>
      </x:c>
      <x:c r="F30" s="83" t="str">
        <x:f>IFERROR(INDEX(SORTBY(tblAssessments[overall_risk_level],tblAssessments[department_name],1,tblAssessments[assessment_date],-1,tblAssessments[assessment_id],1),A30),"")</x:f>
        <x:v>MEDIUM</x:v>
      </x:c>
      <x:c r="G30" s="87" t="n">
        <x:f>IFERROR(INDEX(SORTBY(tblAssessments[assessment_date],tblAssessments[department_name],1,tblAssessments[assessment_date],-1,tblAssessments[assessment_id],1),A30),"")</x:f>
        <x:v>46044</x:v>
      </x:c>
      <x:c r="H30" s="83" t="str">
        <x:f>IFERROR(INDEX(SORTBY(tblAssessments[report_number],tblAssessments[department_name],1,tblAssessments[assessment_date],-1,tblAssessments[assessment_id],1),A30),"")</x:f>
        <x:v>RAH01-2026-007</x:v>
      </x:c>
      <x:c r="I30" s="83" t="str">
        <x:f>IF(E30="","",IF(E30&gt;=6,"Immediate corrective action",IF(E30&gt;=3,"Document improvement plan","Maintain controls")))</x:f>
        <x:v>Document improvement plan</x:v>
      </x:c>
      <x:c r="T30" t="str">
        <x:f>IFERROR(INDEX(SORTBY(tblAssessments[assessment_id],tblAssessments[department_name],1,tblAssessments[assessment_date],-1,tblAssessments[assessment_id],1),A30),"")</x:f>
        <x:v>ASM-2026-007</x:v>
      </x:c>
    </x:row>
    <x:row r="31">
      <x:c r="A31" s="83" t="n">
        <x:v>8</x:v>
      </x:c>
      <x:c r="B31" s="85" t="str">
        <x:f>IFERROR(INDEX(SORTBY(tblAssessments[department_name],tblAssessments[department_name],1,tblAssessments[assessment_date],-1,tblAssessments[assessment_id],1),A31),"")</x:f>
        <x:v>Dental</x:v>
      </x:c>
      <x:c r="C31" s="83" t="n">
        <x:f>IFERROR(INDEX(SORTBY(tblAssessments[total_staff_count],tblAssessments[department_name],1,tblAssessments[assessment_date],-1,tblAssessments[assessment_id],1),A31),"")</x:f>
        <x:v>62</x:v>
      </x:c>
      <x:c r="D31" s="83" t="str">
        <x:f>IFERROR(INDEX(SORTBY(tblAssessments[status],tblAssessments[department_name],1,tblAssessments[assessment_date],-1,tblAssessments[assessment_id],1),A31),"")</x:f>
        <x:v>CLOSED</x:v>
      </x:c>
      <x:c r="E31" s="83" t="n">
        <x:f>IFERROR(INDEX(SORTBY(tblAssessments[overall_risk_score],tblAssessments[department_name],1,tblAssessments[assessment_date],-1,tblAssessments[assessment_id],1),A31),"")</x:f>
        <x:v>9</x:v>
      </x:c>
      <x:c r="F31" s="83" t="str">
        <x:f>IFERROR(INDEX(SORTBY(tblAssessments[overall_risk_level],tblAssessments[department_name],1,tblAssessments[assessment_date],-1,tblAssessments[assessment_id],1),A31),"")</x:f>
        <x:v>HIGH</x:v>
      </x:c>
      <x:c r="G31" s="87" t="n">
        <x:f>IFERROR(INDEX(SORTBY(tblAssessments[assessment_date],tblAssessments[department_name],1,tblAssessments[assessment_date],-1,tblAssessments[assessment_id],1),A31),"")</x:f>
        <x:v>46078</x:v>
      </x:c>
      <x:c r="H31" s="83" t="str">
        <x:f>IFERROR(INDEX(SORTBY(tblAssessments[report_number],tblAssessments[department_name],1,tblAssessments[assessment_date],-1,tblAssessments[assessment_id],1),A31),"")</x:f>
        <x:v>RAH01-2026-008</x:v>
      </x:c>
      <x:c r="I31" s="83" t="str">
        <x:f>IF(E31="","",IF(E31&gt;=6,"Immediate corrective action",IF(E31&gt;=3,"Document improvement plan","Maintain controls")))</x:f>
        <x:v>Immediate corrective action</x:v>
      </x:c>
      <x:c r="T31" t="str">
        <x:f>IFERROR(INDEX(SORTBY(tblAssessments[assessment_id],tblAssessments[department_name],1,tblAssessments[assessment_date],-1,tblAssessments[assessment_id],1),A31),"")</x:f>
        <x:v>ASM-2026-008</x:v>
      </x:c>
    </x:row>
    <x:row r="32">
      <x:c r="A32" s="83" t="n">
        <x:v>9</x:v>
      </x:c>
      <x:c r="B32" s="85" t="str">
        <x:f>IFERROR(INDEX(SORTBY(tblAssessments[department_name],tblAssessments[department_name],1,tblAssessments[assessment_date],-1,tblAssessments[assessment_id],1),A32),"")</x:f>
        <x:v>Dermatology</x:v>
      </x:c>
      <x:c r="C32" s="83" t="n">
        <x:f>IFERROR(INDEX(SORTBY(tblAssessments[total_staff_count],tblAssessments[department_name],1,tblAssessments[assessment_date],-1,tblAssessments[assessment_id],1),A32),"")</x:f>
        <x:v>11</x:v>
      </x:c>
      <x:c r="D32" s="83" t="str">
        <x:f>IFERROR(INDEX(SORTBY(tblAssessments[status],tblAssessments[department_name],1,tblAssessments[assessment_date],-1,tblAssessments[assessment_id],1),A32),"")</x:f>
        <x:v>CLOSED</x:v>
      </x:c>
      <x:c r="E32" s="83" t="n">
        <x:f>IFERROR(INDEX(SORTBY(tblAssessments[overall_risk_score],tblAssessments[department_name],1,tblAssessments[assessment_date],-1,tblAssessments[assessment_id],1),A32),"")</x:f>
        <x:v>9</x:v>
      </x:c>
      <x:c r="F32" s="83" t="str">
        <x:f>IFERROR(INDEX(SORTBY(tblAssessments[overall_risk_level],tblAssessments[department_name],1,tblAssessments[assessment_date],-1,tblAssessments[assessment_id],1),A32),"")</x:f>
        <x:v>HIGH</x:v>
      </x:c>
      <x:c r="G32" s="87" t="n">
        <x:f>IFERROR(INDEX(SORTBY(tblAssessments[assessment_date],tblAssessments[department_name],1,tblAssessments[assessment_date],-1,tblAssessments[assessment_id],1),A32),"")</x:f>
        <x:v>46084</x:v>
      </x:c>
      <x:c r="H32" s="83" t="str">
        <x:f>IFERROR(INDEX(SORTBY(tblAssessments[report_number],tblAssessments[department_name],1,tblAssessments[assessment_date],-1,tblAssessments[assessment_id],1),A32),"")</x:f>
        <x:v>RAH01-2026-009</x:v>
      </x:c>
      <x:c r="I32" s="83" t="str">
        <x:f>IF(E32="","",IF(E32&gt;=6,"Immediate corrective action",IF(E32&gt;=3,"Document improvement plan","Maintain controls")))</x:f>
        <x:v>Immediate corrective action</x:v>
      </x:c>
      <x:c r="T32" t="str">
        <x:f>IFERROR(INDEX(SORTBY(tblAssessments[assessment_id],tblAssessments[department_name],1,tblAssessments[assessment_date],-1,tblAssessments[assessment_id],1),A32),"")</x:f>
        <x:v>ASM-2026-009</x:v>
      </x:c>
    </x:row>
    <x:row r="33">
      <x:c r="A33" s="83" t="n">
        <x:v>10</x:v>
      </x:c>
      <x:c r="B33" s="85" t="str">
        <x:f>IFERROR(INDEX(SORTBY(tblAssessments[department_name],tblAssessments[department_name],1,tblAssessments[assessment_date],-1,tblAssessments[assessment_id],1),A33),"")</x:f>
        <x:v>Diagnostic Imaging</x:v>
      </x:c>
      <x:c r="C33" s="83" t="n">
        <x:f>IFERROR(INDEX(SORTBY(tblAssessments[total_staff_count],tblAssessments[department_name],1,tblAssessments[assessment_date],-1,tblAssessments[assessment_id],1),A33),"")</x:f>
        <x:v>18</x:v>
      </x:c>
      <x:c r="D33" s="83" t="str">
        <x:f>IFERROR(INDEX(SORTBY(tblAssessments[status],tblAssessments[department_name],1,tblAssessments[assessment_date],-1,tblAssessments[assessment_id],1),A33),"")</x:f>
        <x:v>RETURNED</x:v>
      </x:c>
      <x:c r="E33" s="83" t="n">
        <x:f>IFERROR(INDEX(SORTBY(tblAssessments[overall_risk_score],tblAssessments[department_name],1,tblAssessments[assessment_date],-1,tblAssessments[assessment_id],1),A33),"")</x:f>
        <x:v>9</x:v>
      </x:c>
      <x:c r="F33" s="83" t="str">
        <x:f>IFERROR(INDEX(SORTBY(tblAssessments[overall_risk_level],tblAssessments[department_name],1,tblAssessments[assessment_date],-1,tblAssessments[assessment_id],1),A33),"")</x:f>
        <x:v>HIGH</x:v>
      </x:c>
      <x:c r="G33" s="87" t="n">
        <x:f>IFERROR(INDEX(SORTBY(tblAssessments[assessment_date],tblAssessments[department_name],1,tblAssessments[assessment_date],-1,tblAssessments[assessment_id],1),A33),"")</x:f>
        <x:v>46118</x:v>
      </x:c>
      <x:c r="H33" s="83" t="str">
        <x:f>IFERROR(INDEX(SORTBY(tblAssessments[report_number],tblAssessments[department_name],1,tblAssessments[assessment_date],-1,tblAssessments[assessment_id],1),A33),"")</x:f>
        <x:v>RAH01-2026-010</x:v>
      </x:c>
      <x:c r="I33" s="83" t="str">
        <x:f>IF(E33="","",IF(E33&gt;=6,"Immediate corrective action",IF(E33&gt;=3,"Document improvement plan","Maintain controls")))</x:f>
        <x:v>Immediate corrective action</x:v>
      </x:c>
      <x:c r="T33" t="str">
        <x:f>IFERROR(INDEX(SORTBY(tblAssessments[assessment_id],tblAssessments[department_name],1,tblAssessments[assessment_date],-1,tblAssessments[assessment_id],1),A33),"")</x:f>
        <x:v>ASM-2026-010</x:v>
      </x:c>
    </x:row>
    <x:row r="34">
      <x:c r="A34" s="83" t="n">
        <x:v>11</x:v>
      </x:c>
      <x:c r="B34" s="85" t="str">
        <x:f>IFERROR(INDEX(SORTBY(tblAssessments[department_name],tblAssessments[department_name],1,tblAssessments[assessment_date],-1,tblAssessments[assessment_id],1),A34),"")</x:f>
        <x:v>Emergency Medical Service</x:v>
      </x:c>
      <x:c r="C34" s="83" t="n">
        <x:f>IFERROR(INDEX(SORTBY(tblAssessments[total_staff_count],tblAssessments[department_name],1,tblAssessments[assessment_date],-1,tblAssessments[assessment_id],1),A34),"")</x:f>
        <x:v>25</x:v>
      </x:c>
      <x:c r="D34" s="83" t="str">
        <x:f>IFERROR(INDEX(SORTBY(tblAssessments[status],tblAssessments[department_name],1,tblAssessments[assessment_date],-1,tblAssessments[assessment_id],1),A34),"")</x:f>
        <x:v>SUBMITTED</x:v>
      </x:c>
      <x:c r="E34" s="83" t="n">
        <x:f>IFERROR(INDEX(SORTBY(tblAssessments[overall_risk_score],tblAssessments[department_name],1,tblAssessments[assessment_date],-1,tblAssessments[assessment_id],1),A34),"")</x:f>
        <x:v>4</x:v>
      </x:c>
      <x:c r="F34" s="83" t="str">
        <x:f>IFERROR(INDEX(SORTBY(tblAssessments[overall_risk_level],tblAssessments[department_name],1,tblAssessments[assessment_date],-1,tblAssessments[assessment_id],1),A34),"")</x:f>
        <x:v>MEDIUM</x:v>
      </x:c>
      <x:c r="G34" s="87" t="n">
        <x:f>IFERROR(INDEX(SORTBY(tblAssessments[assessment_date],tblAssessments[department_name],1,tblAssessments[assessment_date],-1,tblAssessments[assessment_id],1),A34),"")</x:f>
        <x:v>46151</x:v>
      </x:c>
      <x:c r="H34" s="83" t="str">
        <x:f>IFERROR(INDEX(SORTBY(tblAssessments[report_number],tblAssessments[department_name],1,tblAssessments[assessment_date],-1,tblAssessments[assessment_id],1),A34),"")</x:f>
        <x:v>RAH01-2026-011</x:v>
      </x:c>
      <x:c r="I34" s="83" t="str">
        <x:f>IF(E34="","",IF(E34&gt;=6,"Immediate corrective action",IF(E34&gt;=3,"Document improvement plan","Maintain controls")))</x:f>
        <x:v>Document improvement plan</x:v>
      </x:c>
      <x:c r="T34" t="str">
        <x:f>IFERROR(INDEX(SORTBY(tblAssessments[assessment_id],tblAssessments[department_name],1,tblAssessments[assessment_date],-1,tblAssessments[assessment_id],1),A34),"")</x:f>
        <x:v>ASM-2026-011</x:v>
      </x:c>
    </x:row>
    <x:row r="35">
      <x:c r="A35" s="83" t="n">
        <x:v>12</x:v>
      </x:c>
      <x:c r="B35" s="85" t="str">
        <x:f>IFERROR(INDEX(SORTBY(tblAssessments[department_name],tblAssessments[department_name],1,tblAssessments[assessment_date],-1,tblAssessments[assessment_id],1),A35),"")</x:f>
        <x:v>Endocrinology</x:v>
      </x:c>
      <x:c r="C35" s="83" t="n">
        <x:f>IFERROR(INDEX(SORTBY(tblAssessments[total_staff_count],tblAssessments[department_name],1,tblAssessments[assessment_date],-1,tblAssessments[assessment_id],1),A35),"")</x:f>
        <x:v>32</x:v>
      </x:c>
      <x:c r="D35" s="83" t="str">
        <x:f>IFERROR(INDEX(SORTBY(tblAssessments[status],tblAssessments[department_name],1,tblAssessments[assessment_date],-1,tblAssessments[assessment_id],1),A35),"")</x:f>
        <x:v>IN_REVIEW</x:v>
      </x:c>
      <x:c r="E35" s="83" t="n">
        <x:f>IFERROR(INDEX(SORTBY(tblAssessments[overall_risk_score],tblAssessments[department_name],1,tblAssessments[assessment_date],-1,tblAssessments[assessment_id],1),A35),"")</x:f>
        <x:v>9</x:v>
      </x:c>
      <x:c r="F35" s="83" t="str">
        <x:f>IFERROR(INDEX(SORTBY(tblAssessments[overall_risk_level],tblAssessments[department_name],1,tblAssessments[assessment_date],-1,tblAssessments[assessment_id],1),A35),"")</x:f>
        <x:v>HIGH</x:v>
      </x:c>
      <x:c r="G35" s="87" t="n">
        <x:f>IFERROR(INDEX(SORTBY(tblAssessments[assessment_date],tblAssessments[department_name],1,tblAssessments[assessment_date],-1,tblAssessments[assessment_id],1),A35),"")</x:f>
        <x:v>46185</x:v>
      </x:c>
      <x:c r="H35" s="83" t="str">
        <x:f>IFERROR(INDEX(SORTBY(tblAssessments[report_number],tblAssessments[department_name],1,tblAssessments[assessment_date],-1,tblAssessments[assessment_id],1),A35),"")</x:f>
        <x:v>RAH01-2026-012</x:v>
      </x:c>
      <x:c r="I35" s="83" t="str">
        <x:f>IF(E35="","",IF(E35&gt;=6,"Immediate corrective action",IF(E35&gt;=3,"Document improvement plan","Maintain controls")))</x:f>
        <x:v>Immediate corrective action</x:v>
      </x:c>
      <x:c r="T35" t="str">
        <x:f>IFERROR(INDEX(SORTBY(tblAssessments[assessment_id],tblAssessments[department_name],1,tblAssessments[assessment_date],-1,tblAssessments[assessment_id],1),A35),"")</x:f>
        <x:v>ASM-2026-012</x:v>
      </x:c>
    </x:row>
    <x:row r="36">
      <x:c r="A36" s="83" t="n">
        <x:v>13</x:v>
      </x:c>
      <x:c r="B36" s="85" t="str">
        <x:f>IFERROR(INDEX(SORTBY(tblAssessments[department_name],tblAssessments[department_name],1,tblAssessments[assessment_date],-1,tblAssessments[assessment_id],1),A36),"")</x:f>
        <x:v>ENT</x:v>
      </x:c>
      <x:c r="C36" s="83" t="n">
        <x:f>IFERROR(INDEX(SORTBY(tblAssessments[total_staff_count],tblAssessments[department_name],1,tblAssessments[assessment_date],-1,tblAssessments[assessment_id],1),A36),"")</x:f>
        <x:v>39</x:v>
      </x:c>
      <x:c r="D36" s="83" t="str">
        <x:f>IFERROR(INDEX(SORTBY(tblAssessments[status],tblAssessments[department_name],1,tblAssessments[assessment_date],-1,tblAssessments[assessment_id],1),A36),"")</x:f>
        <x:v>CLOSED</x:v>
      </x:c>
      <x:c r="E36" s="83" t="n">
        <x:f>IFERROR(INDEX(SORTBY(tblAssessments[overall_risk_score],tblAssessments[department_name],1,tblAssessments[assessment_date],-1,tblAssessments[assessment_id],1),A36),"")</x:f>
        <x:v>4</x:v>
      </x:c>
      <x:c r="F36" s="83" t="str">
        <x:f>IFERROR(INDEX(SORTBY(tblAssessments[overall_risk_level],tblAssessments[department_name],1,tblAssessments[assessment_date],-1,tblAssessments[assessment_id],1),A36),"")</x:f>
        <x:v>MEDIUM</x:v>
      </x:c>
      <x:c r="G36" s="87" t="n">
        <x:f>IFERROR(INDEX(SORTBY(tblAssessments[assessment_date],tblAssessments[department_name],1,tblAssessments[assessment_date],-1,tblAssessments[assessment_id],1),A36),"")</x:f>
        <x:v>46037</x:v>
      </x:c>
      <x:c r="H36" s="83" t="str">
        <x:f>IFERROR(INDEX(SORTBY(tblAssessments[report_number],tblAssessments[department_name],1,tblAssessments[assessment_date],-1,tblAssessments[assessment_id],1),A36),"")</x:f>
        <x:v>RAH01-2026-013</x:v>
      </x:c>
      <x:c r="I36" s="83" t="str">
        <x:f>IF(E36="","",IF(E36&gt;=6,"Immediate corrective action",IF(E36&gt;=3,"Document improvement plan","Maintain controls")))</x:f>
        <x:v>Document improvement plan</x:v>
      </x:c>
      <x:c r="T36" t="str">
        <x:f>IFERROR(INDEX(SORTBY(tblAssessments[assessment_id],tblAssessments[department_name],1,tblAssessments[assessment_date],-1,tblAssessments[assessment_id],1),A36),"")</x:f>
        <x:v>ASM-2026-013</x:v>
      </x:c>
    </x:row>
    <x:row r="37">
      <x:c r="A37" s="83" t="n">
        <x:v>14</x:v>
      </x:c>
      <x:c r="B37" s="85" t="str">
        <x:f>IFERROR(INDEX(SORTBY(tblAssessments[department_name],tblAssessments[department_name],1,tblAssessments[assessment_date],-1,tblAssessments[assessment_id],1),A37),"")</x:f>
        <x:v>Environmental Health</x:v>
      </x:c>
      <x:c r="C37" s="83" t="n">
        <x:f>IFERROR(INDEX(SORTBY(tblAssessments[total_staff_count],tblAssessments[department_name],1,tblAssessments[assessment_date],-1,tblAssessments[assessment_id],1),A37),"")</x:f>
        <x:v>46</x:v>
      </x:c>
      <x:c r="D37" s="83" t="str">
        <x:f>IFERROR(INDEX(SORTBY(tblAssessments[status],tblAssessments[department_name],1,tblAssessments[assessment_date],-1,tblAssessments[assessment_id],1),A37),"")</x:f>
        <x:v>CLOSED</x:v>
      </x:c>
      <x:c r="E37" s="83" t="n">
        <x:f>IFERROR(INDEX(SORTBY(tblAssessments[overall_risk_score],tblAssessments[department_name],1,tblAssessments[assessment_date],-1,tblAssessments[assessment_id],1),A37),"")</x:f>
        <x:v>4</x:v>
      </x:c>
      <x:c r="F37" s="83" t="str">
        <x:f>IFERROR(INDEX(SORTBY(tblAssessments[overall_risk_level],tblAssessments[department_name],1,tblAssessments[assessment_date],-1,tblAssessments[assessment_id],1),A37),"")</x:f>
        <x:v>MEDIUM</x:v>
      </x:c>
      <x:c r="G37" s="87" t="n">
        <x:f>IFERROR(INDEX(SORTBY(tblAssessments[assessment_date],tblAssessments[department_name],1,tblAssessments[assessment_date],-1,tblAssessments[assessment_id],1),A37),"")</x:f>
        <x:v>46071</x:v>
      </x:c>
      <x:c r="H37" s="83" t="str">
        <x:f>IFERROR(INDEX(SORTBY(tblAssessments[report_number],tblAssessments[department_name],1,tblAssessments[assessment_date],-1,tblAssessments[assessment_id],1),A37),"")</x:f>
        <x:v>RAH01-2026-014</x:v>
      </x:c>
      <x:c r="I37" s="83" t="str">
        <x:f>IF(E37="","",IF(E37&gt;=6,"Immediate corrective action",IF(E37&gt;=3,"Document improvement plan","Maintain controls")))</x:f>
        <x:v>Document improvement plan</x:v>
      </x:c>
      <x:c r="T37" t="str">
        <x:f>IFERROR(INDEX(SORTBY(tblAssessments[assessment_id],tblAssessments[department_name],1,tblAssessments[assessment_date],-1,tblAssessments[assessment_id],1),A37),"")</x:f>
        <x:v>ASM-2026-014</x:v>
      </x:c>
    </x:row>
    <x:row r="38">
      <x:c r="A38" s="83" t="n">
        <x:v>15</x:v>
      </x:c>
      <x:c r="B38" s="85" t="str">
        <x:f>IFERROR(INDEX(SORTBY(tblAssessments[department_name],tblAssessments[department_name],1,tblAssessments[assessment_date],-1,tblAssessments[assessment_id],1),A38),"")</x:f>
        <x:v>Eye Clinic</x:v>
      </x:c>
      <x:c r="C38" s="83" t="n">
        <x:f>IFERROR(INDEX(SORTBY(tblAssessments[total_staff_count],tblAssessments[department_name],1,tblAssessments[assessment_date],-1,tblAssessments[assessment_id],1),A38),"")</x:f>
        <x:v>53</x:v>
      </x:c>
      <x:c r="D38" s="83" t="str">
        <x:f>IFERROR(INDEX(SORTBY(tblAssessments[status],tblAssessments[department_name],1,tblAssessments[assessment_date],-1,tblAssessments[assessment_id],1),A38),"")</x:f>
        <x:v>RETURNED</x:v>
      </x:c>
      <x:c r="E38" s="83" t="n">
        <x:f>IFERROR(INDEX(SORTBY(tblAssessments[overall_risk_score],tblAssessments[department_name],1,tblAssessments[assessment_date],-1,tblAssessments[assessment_id],1),A38),"")</x:f>
        <x:v>4</x:v>
      </x:c>
      <x:c r="F38" s="83" t="str">
        <x:f>IFERROR(INDEX(SORTBY(tblAssessments[overall_risk_level],tblAssessments[department_name],1,tblAssessments[assessment_date],-1,tblAssessments[assessment_id],1),A38),"")</x:f>
        <x:v>MEDIUM</x:v>
      </x:c>
      <x:c r="G38" s="87" t="n">
        <x:f>IFERROR(INDEX(SORTBY(tblAssessments[assessment_date],tblAssessments[department_name],1,tblAssessments[assessment_date],-1,tblAssessments[assessment_id],1),A38),"")</x:f>
        <x:v>46102</x:v>
      </x:c>
      <x:c r="H38" s="83" t="str">
        <x:f>IFERROR(INDEX(SORTBY(tblAssessments[report_number],tblAssessments[department_name],1,tblAssessments[assessment_date],-1,tblAssessments[assessment_id],1),A38),"")</x:f>
        <x:v>RAH01-2026-015</x:v>
      </x:c>
      <x:c r="I38" s="83" t="str">
        <x:f>IF(E38="","",IF(E38&gt;=6,"Immediate corrective action",IF(E38&gt;=3,"Document improvement plan","Maintain controls")))</x:f>
        <x:v>Document improvement plan</x:v>
      </x:c>
      <x:c r="T38" t="str">
        <x:f>IFERROR(INDEX(SORTBY(tblAssessments[assessment_id],tblAssessments[department_name],1,tblAssessments[assessment_date],-1,tblAssessments[assessment_id],1),A38),"")</x:f>
        <x:v>ASM-2026-015</x:v>
      </x:c>
    </x:row>
    <x:row r="39">
      <x:c r="A39" s="83" t="n">
        <x:v>16</x:v>
      </x:c>
      <x:c r="B39" s="85" t="str">
        <x:f>IFERROR(INDEX(SORTBY(tblAssessments[department_name],tblAssessments[department_name],1,tblAssessments[assessment_date],-1,tblAssessments[assessment_id],1),A39),"")</x:f>
        <x:v>Family Medicine</x:v>
      </x:c>
      <x:c r="C39" s="83" t="n">
        <x:f>IFERROR(INDEX(SORTBY(tblAssessments[total_staff_count],tblAssessments[department_name],1,tblAssessments[assessment_date],-1,tblAssessments[assessment_id],1),A39),"")</x:f>
        <x:v>60</x:v>
      </x:c>
      <x:c r="D39" s="83" t="str">
        <x:f>IFERROR(INDEX(SORTBY(tblAssessments[status],tblAssessments[department_name],1,tblAssessments[assessment_date],-1,tblAssessments[assessment_id],1),A39),"")</x:f>
        <x:v>SUBMITTED</x:v>
      </x:c>
      <x:c r="E39" s="83" t="n">
        <x:f>IFERROR(INDEX(SORTBY(tblAssessments[overall_risk_score],tblAssessments[department_name],1,tblAssessments[assessment_date],-1,tblAssessments[assessment_id],1),A39),"")</x:f>
        <x:v>9</x:v>
      </x:c>
      <x:c r="F39" s="83" t="str">
        <x:f>IFERROR(INDEX(SORTBY(tblAssessments[overall_risk_level],tblAssessments[department_name],1,tblAssessments[assessment_date],-1,tblAssessments[assessment_id],1),A39),"")</x:f>
        <x:v>HIGH</x:v>
      </x:c>
      <x:c r="G39" s="87" t="n">
        <x:f>IFERROR(INDEX(SORTBY(tblAssessments[assessment_date],tblAssessments[department_name],1,tblAssessments[assessment_date],-1,tblAssessments[assessment_id],1),A39),"")</x:f>
        <x:v>46136</x:v>
      </x:c>
      <x:c r="H39" s="83" t="str">
        <x:f>IFERROR(INDEX(SORTBY(tblAssessments[report_number],tblAssessments[department_name],1,tblAssessments[assessment_date],-1,tblAssessments[assessment_id],1),A39),"")</x:f>
        <x:v>RAH01-2026-016</x:v>
      </x:c>
      <x:c r="I39" s="83" t="str">
        <x:f>IF(E39="","",IF(E39&gt;=6,"Immediate corrective action",IF(E39&gt;=3,"Document improvement plan","Maintain controls")))</x:f>
        <x:v>Immediate corrective action</x:v>
      </x:c>
      <x:c r="T39" t="str">
        <x:f>IFERROR(INDEX(SORTBY(tblAssessments[assessment_id],tblAssessments[department_name],1,tblAssessments[assessment_date],-1,tblAssessments[assessment_id],1),A39),"")</x:f>
        <x:v>ASM-2026-016</x:v>
      </x:c>
    </x:row>
    <x:row r="40">
      <x:c r="A40" s="83" t="n">
        <x:v>17</x:v>
      </x:c>
      <x:c r="B40" s="85" t="str">
        <x:f>IFERROR(INDEX(SORTBY(tblAssessments[department_name],tblAssessments[department_name],1,tblAssessments[assessment_date],-1,tblAssessments[assessment_id],1),A40),"")</x:f>
        <x:v>Gastroenterology</x:v>
      </x:c>
      <x:c r="C40" s="83" t="n">
        <x:f>IFERROR(INDEX(SORTBY(tblAssessments[total_staff_count],tblAssessments[department_name],1,tblAssessments[assessment_date],-1,tblAssessments[assessment_id],1),A40),"")</x:f>
        <x:v>9</x:v>
      </x:c>
      <x:c r="D40" s="83" t="str">
        <x:f>IFERROR(INDEX(SORTBY(tblAssessments[status],tblAssessments[department_name],1,tblAssessments[assessment_date],-1,tblAssessments[assessment_id],1),A40),"")</x:f>
        <x:v>IN_REVIEW</x:v>
      </x:c>
      <x:c r="E40" s="83" t="n">
        <x:f>IFERROR(INDEX(SORTBY(tblAssessments[overall_risk_score],tblAssessments[department_name],1,tblAssessments[assessment_date],-1,tblAssessments[assessment_id],1),A40),"")</x:f>
        <x:v>4</x:v>
      </x:c>
      <x:c r="F40" s="83" t="str">
        <x:f>IFERROR(INDEX(SORTBY(tblAssessments[overall_risk_level],tblAssessments[department_name],1,tblAssessments[assessment_date],-1,tblAssessments[assessment_id],1),A40),"")</x:f>
        <x:v>MEDIUM</x:v>
      </x:c>
      <x:c r="G40" s="87" t="n">
        <x:f>IFERROR(INDEX(SORTBY(tblAssessments[assessment_date],tblAssessments[department_name],1,tblAssessments[assessment_date],-1,tblAssessments[assessment_id],1),A40),"")</x:f>
        <x:v>46144</x:v>
      </x:c>
      <x:c r="H40" s="83" t="str">
        <x:f>IFERROR(INDEX(SORTBY(tblAssessments[report_number],tblAssessments[department_name],1,tblAssessments[assessment_date],-1,tblAssessments[assessment_id],1),A40),"")</x:f>
        <x:v>RAH01-2026-017</x:v>
      </x:c>
      <x:c r="I40" s="83" t="str">
        <x:f>IF(E40="","",IF(E40&gt;=6,"Immediate corrective action",IF(E40&gt;=3,"Document improvement plan","Maintain controls")))</x:f>
        <x:v>Document improvement plan</x:v>
      </x:c>
      <x:c r="T40" t="str">
        <x:f>IFERROR(INDEX(SORTBY(tblAssessments[assessment_id],tblAssessments[department_name],1,tblAssessments[assessment_date],-1,tblAssessments[assessment_id],1),A40),"")</x:f>
        <x:v>ASM-2026-017</x:v>
      </x:c>
    </x:row>
    <x:row r="41">
      <x:c r="A41" s="83" t="n">
        <x:v>18</x:v>
      </x:c>
      <x:c r="B41" s="85" t="str">
        <x:f>IFERROR(INDEX(SORTBY(tblAssessments[department_name],tblAssessments[department_name],1,tblAssessments[assessment_date],-1,tblAssessments[assessment_id],1),A41),"")</x:f>
        <x:v>General Surgery</x:v>
      </x:c>
      <x:c r="C41" s="83" t="n">
        <x:f>IFERROR(INDEX(SORTBY(tblAssessments[total_staff_count],tblAssessments[department_name],1,tblAssessments[assessment_date],-1,tblAssessments[assessment_id],1),A41),"")</x:f>
        <x:v>16</x:v>
      </x:c>
      <x:c r="D41" s="83" t="str">
        <x:f>IFERROR(INDEX(SORTBY(tblAssessments[status],tblAssessments[department_name],1,tblAssessments[assessment_date],-1,tblAssessments[assessment_id],1),A41),"")</x:f>
        <x:v>CLOSED</x:v>
      </x:c>
      <x:c r="E41" s="83" t="n">
        <x:f>IFERROR(INDEX(SORTBY(tblAssessments[overall_risk_score],tblAssessments[department_name],1,tblAssessments[assessment_date],-1,tblAssessments[assessment_id],1),A41),"")</x:f>
        <x:v>9</x:v>
      </x:c>
      <x:c r="F41" s="83" t="str">
        <x:f>IFERROR(INDEX(SORTBY(tblAssessments[overall_risk_level],tblAssessments[department_name],1,tblAssessments[assessment_date],-1,tblAssessments[assessment_id],1),A41),"")</x:f>
        <x:v>HIGH</x:v>
      </x:c>
      <x:c r="G41" s="87" t="n">
        <x:f>IFERROR(INDEX(SORTBY(tblAssessments[assessment_date],tblAssessments[department_name],1,tblAssessments[assessment_date],-1,tblAssessments[assessment_id],1),A41),"")</x:f>
        <x:v>46178</x:v>
      </x:c>
      <x:c r="H41" s="83" t="str">
        <x:f>IFERROR(INDEX(SORTBY(tblAssessments[report_number],tblAssessments[department_name],1,tblAssessments[assessment_date],-1,tblAssessments[assessment_id],1),A41),"")</x:f>
        <x:v>RAH01-2026-018</x:v>
      </x:c>
      <x:c r="I41" s="83" t="str">
        <x:f>IF(E41="","",IF(E41&gt;=6,"Immediate corrective action",IF(E41&gt;=3,"Document improvement plan","Maintain controls")))</x:f>
        <x:v>Immediate corrective action</x:v>
      </x:c>
      <x:c r="T41" t="str">
        <x:f>IFERROR(INDEX(SORTBY(tblAssessments[assessment_id],tblAssessments[department_name],1,tblAssessments[assessment_date],-1,tblAssessments[assessment_id],1),A41),"")</x:f>
        <x:v>ASM-2026-018</x:v>
      </x:c>
    </x:row>
    <x:row r="42">
      <x:c r="A42" s="83" t="n">
        <x:v>19</x:v>
      </x:c>
      <x:c r="B42" s="85" t="str">
        <x:f>IFERROR(INDEX(SORTBY(tblAssessments[department_name],tblAssessments[department_name],1,tblAssessments[assessment_date],-1,tblAssessments[assessment_id],1),A42),"")</x:f>
        <x:v>Haemodialysis</x:v>
      </x:c>
      <x:c r="C42" s="83" t="n">
        <x:f>IFERROR(INDEX(SORTBY(tblAssessments[total_staff_count],tblAssessments[department_name],1,tblAssessments[assessment_date],-1,tblAssessments[assessment_id],1),A42),"")</x:f>
        <x:v>23</x:v>
      </x:c>
      <x:c r="D42" s="83" t="str">
        <x:f>IFERROR(INDEX(SORTBY(tblAssessments[status],tblAssessments[department_name],1,tblAssessments[assessment_date],-1,tblAssessments[assessment_id],1),A42),"")</x:f>
        <x:v>CLOSED</x:v>
      </x:c>
      <x:c r="E42" s="83" t="n">
        <x:f>IFERROR(INDEX(SORTBY(tblAssessments[overall_risk_score],tblAssessments[department_name],1,tblAssessments[assessment_date],-1,tblAssessments[assessment_id],1),A42),"")</x:f>
        <x:v>4</x:v>
      </x:c>
      <x:c r="F42" s="83" t="str">
        <x:f>IFERROR(INDEX(SORTBY(tblAssessments[overall_risk_level],tblAssessments[department_name],1,tblAssessments[assessment_date],-1,tblAssessments[assessment_id],1),A42),"")</x:f>
        <x:v>MEDIUM</x:v>
      </x:c>
      <x:c r="G42" s="87" t="n">
        <x:f>IFERROR(INDEX(SORTBY(tblAssessments[assessment_date],tblAssessments[department_name],1,tblAssessments[assessment_date],-1,tblAssessments[assessment_id],1),A42),"")</x:f>
        <x:v>46030</x:v>
      </x:c>
      <x:c r="H42" s="83" t="str">
        <x:f>IFERROR(INDEX(SORTBY(tblAssessments[report_number],tblAssessments[department_name],1,tblAssessments[assessment_date],-1,tblAssessments[assessment_id],1),A42),"")</x:f>
        <x:v>RAH01-2026-019</x:v>
      </x:c>
      <x:c r="I42" s="83" t="str">
        <x:f>IF(E42="","",IF(E42&gt;=6,"Immediate corrective action",IF(E42&gt;=3,"Document improvement plan","Maintain controls")))</x:f>
        <x:v>Document improvement plan</x:v>
      </x:c>
      <x:c r="T42" t="str">
        <x:f>IFERROR(INDEX(SORTBY(tblAssessments[assessment_id],tblAssessments[department_name],1,tblAssessments[assessment_date],-1,tblAssessments[assessment_id],1),A42),"")</x:f>
        <x:v>ASM-2026-019</x:v>
      </x:c>
    </x:row>
    <x:row r="43">
      <x:c r="A43" s="83" t="n">
        <x:v>20</x:v>
      </x:c>
      <x:c r="B43" s="85" t="str">
        <x:f>IFERROR(INDEX(SORTBY(tblAssessments[department_name],tblAssessments[department_name],1,tblAssessments[assessment_date],-1,tblAssessments[assessment_id],1),A43),"")</x:f>
        <x:v>Health Promotion</x:v>
      </x:c>
      <x:c r="C43" s="83" t="n">
        <x:f>IFERROR(INDEX(SORTBY(tblAssessments[total_staff_count],tblAssessments[department_name],1,tblAssessments[assessment_date],-1,tblAssessments[assessment_id],1),A43),"")</x:f>
        <x:v>30</x:v>
      </x:c>
      <x:c r="D43" s="83" t="str">
        <x:f>IFERROR(INDEX(SORTBY(tblAssessments[status],tblAssessments[department_name],1,tblAssessments[assessment_date],-1,tblAssessments[assessment_id],1),A43),"")</x:f>
        <x:v>RETURNED</x:v>
      </x:c>
      <x:c r="E43" s="83" t="n">
        <x:f>IFERROR(INDEX(SORTBY(tblAssessments[overall_risk_score],tblAssessments[department_name],1,tblAssessments[assessment_date],-1,tblAssessments[assessment_id],1),A43),"")</x:f>
        <x:v>9</x:v>
      </x:c>
      <x:c r="F43" s="83" t="str">
        <x:f>IFERROR(INDEX(SORTBY(tblAssessments[overall_risk_level],tblAssessments[department_name],1,tblAssessments[assessment_date],-1,tblAssessments[assessment_id],1),A43),"")</x:f>
        <x:v>HIGH</x:v>
      </x:c>
      <x:c r="G43" s="87" t="n">
        <x:f>IFERROR(INDEX(SORTBY(tblAssessments[assessment_date],tblAssessments[department_name],1,tblAssessments[assessment_date],-1,tblAssessments[assessment_id],1),A43),"")</x:f>
        <x:v>46064</x:v>
      </x:c>
      <x:c r="H43" s="83" t="str">
        <x:f>IFERROR(INDEX(SORTBY(tblAssessments[report_number],tblAssessments[department_name],1,tblAssessments[assessment_date],-1,tblAssessments[assessment_id],1),A43),"")</x:f>
        <x:v>RAH01-2026-020</x:v>
      </x:c>
      <x:c r="I43" s="83" t="str">
        <x:f>IF(E43="","",IF(E43&gt;=6,"Immediate corrective action",IF(E43&gt;=3,"Document improvement plan","Maintain controls")))</x:f>
        <x:v>Immediate corrective action</x:v>
      </x:c>
      <x:c r="T43" t="str">
        <x:f>IFERROR(INDEX(SORTBY(tblAssessments[assessment_id],tblAssessments[department_name],1,tblAssessments[assessment_date],-1,tblAssessments[assessment_id],1),A43),"")</x:f>
        <x:v>ASM-2026-020</x:v>
      </x:c>
    </x:row>
    <x:row r="44">
      <x:c r="A44" s="83" t="n">
        <x:v>21</x:v>
      </x:c>
      <x:c r="B44" s="85" t="str">
        <x:f>IFERROR(INDEX(SORTBY(tblAssessments[department_name],tblAssessments[department_name],1,tblAssessments[assessment_date],-1,tblAssessments[assessment_id],1),A44),"")</x:f>
        <x:v>Hematology</x:v>
      </x:c>
      <x:c r="C44" s="83" t="n">
        <x:f>IFERROR(INDEX(SORTBY(tblAssessments[total_staff_count],tblAssessments[department_name],1,tblAssessments[assessment_date],-1,tblAssessments[assessment_id],1),A44),"")</x:f>
        <x:v>37</x:v>
      </x:c>
      <x:c r="D44" s="83" t="str">
        <x:f>IFERROR(INDEX(SORTBY(tblAssessments[status],tblAssessments[department_name],1,tblAssessments[assessment_date],-1,tblAssessments[assessment_id],1),A44),"")</x:f>
        <x:v>SUBMITTED</x:v>
      </x:c>
      <x:c r="E44" s="83" t="n">
        <x:f>IFERROR(INDEX(SORTBY(tblAssessments[overall_risk_score],tblAssessments[department_name],1,tblAssessments[assessment_date],-1,tblAssessments[assessment_id],1),A44),"")</x:f>
        <x:v>4</x:v>
      </x:c>
      <x:c r="F44" s="83" t="str">
        <x:f>IFERROR(INDEX(SORTBY(tblAssessments[overall_risk_level],tblAssessments[department_name],1,tblAssessments[assessment_date],-1,tblAssessments[assessment_id],1),A44),"")</x:f>
        <x:v>MEDIUM</x:v>
      </x:c>
      <x:c r="G44" s="87" t="n">
        <x:f>IFERROR(INDEX(SORTBY(tblAssessments[assessment_date],tblAssessments[department_name],1,tblAssessments[assessment_date],-1,tblAssessments[assessment_id],1),A44),"")</x:f>
        <x:v>46095</x:v>
      </x:c>
      <x:c r="H44" s="83" t="str">
        <x:f>IFERROR(INDEX(SORTBY(tblAssessments[report_number],tblAssessments[department_name],1,tblAssessments[assessment_date],-1,tblAssessments[assessment_id],1),A44),"")</x:f>
        <x:v>RAH01-2026-021</x:v>
      </x:c>
      <x:c r="I44" s="83" t="str">
        <x:f>IF(E44="","",IF(E44&gt;=6,"Immediate corrective action",IF(E44&gt;=3,"Document improvement plan","Maintain controls")))</x:f>
        <x:v>Document improvement plan</x:v>
      </x:c>
      <x:c r="T44" t="str">
        <x:f>IFERROR(INDEX(SORTBY(tblAssessments[assessment_id],tblAssessments[department_name],1,tblAssessments[assessment_date],-1,tblAssessments[assessment_id],1),A44),"")</x:f>
        <x:v>ASM-2026-021</x:v>
      </x:c>
    </x:row>
    <x:row r="45">
      <x:c r="A45" s="83" t="n">
        <x:v>22</x:v>
      </x:c>
      <x:c r="B45" s="85" t="str">
        <x:f>IFERROR(INDEX(SORTBY(tblAssessments[department_name],tblAssessments[department_name],1,tblAssessments[assessment_date],-1,tblAssessments[assessment_id],1),A45),"")</x:f>
        <x:v>ICU 1</x:v>
      </x:c>
      <x:c r="C45" s="83" t="n">
        <x:f>IFERROR(INDEX(SORTBY(tblAssessments[total_staff_count],tblAssessments[department_name],1,tblAssessments[assessment_date],-1,tblAssessments[assessment_id],1),A45),"")</x:f>
        <x:v>44</x:v>
      </x:c>
      <x:c r="D45" s="83" t="str">
        <x:f>IFERROR(INDEX(SORTBY(tblAssessments[status],tblAssessments[department_name],1,tblAssessments[assessment_date],-1,tblAssessments[assessment_id],1),A45),"")</x:f>
        <x:v>IN_REVIEW</x:v>
      </x:c>
      <x:c r="E45" s="83" t="n">
        <x:f>IFERROR(INDEX(SORTBY(tblAssessments[overall_risk_score],tblAssessments[department_name],1,tblAssessments[assessment_date],-1,tblAssessments[assessment_id],1),A45),"")</x:f>
        <x:v>9</x:v>
      </x:c>
      <x:c r="F45" s="83" t="str">
        <x:f>IFERROR(INDEX(SORTBY(tblAssessments[overall_risk_level],tblAssessments[department_name],1,tblAssessments[assessment_date],-1,tblAssessments[assessment_id],1),A45),"")</x:f>
        <x:v>HIGH</x:v>
      </x:c>
      <x:c r="G45" s="87" t="n">
        <x:f>IFERROR(INDEX(SORTBY(tblAssessments[assessment_date],tblAssessments[department_name],1,tblAssessments[assessment_date],-1,tblAssessments[assessment_id],1),A45),"")</x:f>
        <x:v>46129</x:v>
      </x:c>
      <x:c r="H45" s="83" t="str">
        <x:f>IFERROR(INDEX(SORTBY(tblAssessments[report_number],tblAssessments[department_name],1,tblAssessments[assessment_date],-1,tblAssessments[assessment_id],1),A45),"")</x:f>
        <x:v>RAH01-2026-022</x:v>
      </x:c>
      <x:c r="I45" s="83" t="str">
        <x:f>IF(E45="","",IF(E45&gt;=6,"Immediate corrective action",IF(E45&gt;=3,"Document improvement plan","Maintain controls")))</x:f>
        <x:v>Immediate corrective action</x:v>
      </x:c>
      <x:c r="T45" t="str">
        <x:f>IFERROR(INDEX(SORTBY(tblAssessments[assessment_id],tblAssessments[department_name],1,tblAssessments[assessment_date],-1,tblAssessments[assessment_id],1),A45),"")</x:f>
        <x:v>ASM-2026-022</x:v>
      </x:c>
    </x:row>
    <x:row r="46">
      <x:c r="A46" s="83" t="n">
        <x:v>23</x:v>
      </x:c>
      <x:c r="B46" s="85" t="str">
        <x:f>IFERROR(INDEX(SORTBY(tblAssessments[department_name],tblAssessments[department_name],1,tblAssessments[assessment_date],-1,tblAssessments[assessment_id],1),A46),"")</x:f>
        <x:v>ICU 2</x:v>
      </x:c>
      <x:c r="C46" s="83" t="n">
        <x:f>IFERROR(INDEX(SORTBY(tblAssessments[total_staff_count],tblAssessments[department_name],1,tblAssessments[assessment_date],-1,tblAssessments[assessment_id],1),A46),"")</x:f>
        <x:v>51</x:v>
      </x:c>
      <x:c r="D46" s="83" t="str">
        <x:f>IFERROR(INDEX(SORTBY(tblAssessments[status],tblAssessments[department_name],1,tblAssessments[assessment_date],-1,tblAssessments[assessment_id],1),A46),"")</x:f>
        <x:v>CLOSED</x:v>
      </x:c>
      <x:c r="E46" s="83" t="n">
        <x:f>IFERROR(INDEX(SORTBY(tblAssessments[overall_risk_score],tblAssessments[department_name],1,tblAssessments[assessment_date],-1,tblAssessments[assessment_id],1),A46),"")</x:f>
        <x:v>2</x:v>
      </x:c>
      <x:c r="F46" s="83" t="str">
        <x:f>IFERROR(INDEX(SORTBY(tblAssessments[overall_risk_level],tblAssessments[department_name],1,tblAssessments[assessment_date],-1,tblAssessments[assessment_id],1),A46),"")</x:f>
        <x:v>LOW</x:v>
      </x:c>
      <x:c r="G46" s="87" t="n">
        <x:f>IFERROR(INDEX(SORTBY(tblAssessments[assessment_date],tblAssessments[department_name],1,tblAssessments[assessment_date],-1,tblAssessments[assessment_id],1),A46),"")</x:f>
        <x:v>46162</x:v>
      </x:c>
      <x:c r="H46" s="83" t="str">
        <x:f>IFERROR(INDEX(SORTBY(tblAssessments[report_number],tblAssessments[department_name],1,tblAssessments[assessment_date],-1,tblAssessments[assessment_id],1),A46),"")</x:f>
        <x:v>RAH01-2026-023</x:v>
      </x:c>
      <x:c r="I46" s="83" t="str">
        <x:f>IF(E46="","",IF(E46&gt;=6,"Immediate corrective action",IF(E46&gt;=3,"Document improvement plan","Maintain controls")))</x:f>
        <x:v>Maintain controls</x:v>
      </x:c>
      <x:c r="T46" t="str">
        <x:f>IFERROR(INDEX(SORTBY(tblAssessments[assessment_id],tblAssessments[department_name],1,tblAssessments[assessment_date],-1,tblAssessments[assessment_id],1),A46),"")</x:f>
        <x:v>ASM-2026-023</x:v>
      </x:c>
    </x:row>
    <x:row r="47">
      <x:c r="A47" s="83" t="n">
        <x:v>24</x:v>
      </x:c>
      <x:c r="B47" s="85" t="str">
        <x:f>IFERROR(INDEX(SORTBY(tblAssessments[department_name],tblAssessments[department_name],1,tblAssessments[assessment_date],-1,tblAssessments[assessment_id],1),A47),"")</x:f>
        <x:v>Infectious Diseases</x:v>
      </x:c>
      <x:c r="C47" s="83" t="n">
        <x:f>IFERROR(INDEX(SORTBY(tblAssessments[total_staff_count],tblAssessments[department_name],1,tblAssessments[assessment_date],-1,tblAssessments[assessment_id],1),A47),"")</x:f>
        <x:v>58</x:v>
      </x:c>
      <x:c r="D47" s="83" t="str">
        <x:f>IFERROR(INDEX(SORTBY(tblAssessments[status],tblAssessments[department_name],1,tblAssessments[assessment_date],-1,tblAssessments[assessment_id],1),A47),"")</x:f>
        <x:v>CLOSED</x:v>
      </x:c>
      <x:c r="E47" s="83" t="n">
        <x:f>IFERROR(INDEX(SORTBY(tblAssessments[overall_risk_score],tblAssessments[department_name],1,tblAssessments[assessment_date],-1,tblAssessments[assessment_id],1),A47),"")</x:f>
        <x:v>9</x:v>
      </x:c>
      <x:c r="F47" s="83" t="str">
        <x:f>IFERROR(INDEX(SORTBY(tblAssessments[overall_risk_level],tblAssessments[department_name],1,tblAssessments[assessment_date],-1,tblAssessments[assessment_id],1),A47),"")</x:f>
        <x:v>HIGH</x:v>
      </x:c>
      <x:c r="G47" s="87" t="n">
        <x:f>IFERROR(INDEX(SORTBY(tblAssessments[assessment_date],tblAssessments[department_name],1,tblAssessments[assessment_date],-1,tblAssessments[assessment_id],1),A47),"")</x:f>
        <x:v>46196</x:v>
      </x:c>
      <x:c r="H47" s="83" t="str">
        <x:f>IFERROR(INDEX(SORTBY(tblAssessments[report_number],tblAssessments[department_name],1,tblAssessments[assessment_date],-1,tblAssessments[assessment_id],1),A47),"")</x:f>
        <x:v>RAH01-2026-024</x:v>
      </x:c>
      <x:c r="I47" s="83" t="str">
        <x:f>IF(E47="","",IF(E47&gt;=6,"Immediate corrective action",IF(E47&gt;=3,"Document improvement plan","Maintain controls")))</x:f>
        <x:v>Immediate corrective action</x:v>
      </x:c>
      <x:c r="T47" t="str">
        <x:f>IFERROR(INDEX(SORTBY(tblAssessments[assessment_id],tblAssessments[department_name],1,tblAssessments[assessment_date],-1,tblAssessments[assessment_id],1),A47),"")</x:f>
        <x:v>ASM-2026-024</x:v>
      </x:c>
    </x:row>
    <x:row r="48">
      <x:c r="A48" s="83" t="n">
        <x:v>25</x:v>
      </x:c>
      <x:c r="B48" s="85" t="str">
        <x:f>IFERROR(INDEX(SORTBY(tblAssessments[department_name],tblAssessments[department_name],1,tblAssessments[assessment_date],-1,tblAssessments[assessment_id],1),A48),"")</x:f>
        <x:v>Internal Medicine</x:v>
      </x:c>
      <x:c r="C48" s="83" t="n">
        <x:f>IFERROR(INDEX(SORTBY(tblAssessments[total_staff_count],tblAssessments[department_name],1,tblAssessments[assessment_date],-1,tblAssessments[assessment_id],1),A48),"")</x:f>
        <x:v>7</x:v>
      </x:c>
      <x:c r="D48" s="83" t="str">
        <x:f>IFERROR(INDEX(SORTBY(tblAssessments[status],tblAssessments[department_name],1,tblAssessments[assessment_date],-1,tblAssessments[assessment_id],1),A48),"")</x:f>
        <x:v>RETURNED</x:v>
      </x:c>
      <x:c r="E48" s="83" t="n">
        <x:f>IFERROR(INDEX(SORTBY(tblAssessments[overall_risk_score],tblAssessments[department_name],1,tblAssessments[assessment_date],-1,tblAssessments[assessment_id],1),A48),"")</x:f>
        <x:v>4</x:v>
      </x:c>
      <x:c r="F48" s="83" t="str">
        <x:f>IFERROR(INDEX(SORTBY(tblAssessments[overall_risk_level],tblAssessments[department_name],1,tblAssessments[assessment_date],-1,tblAssessments[assessment_id],1),A48),"")</x:f>
        <x:v>MEDIUM</x:v>
      </x:c>
      <x:c r="G48" s="87" t="n">
        <x:f>IFERROR(INDEX(SORTBY(tblAssessments[assessment_date],tblAssessments[department_name],1,tblAssessments[assessment_date],-1,tblAssessments[assessment_id],1),A48),"")</x:f>
        <x:v>46023</x:v>
      </x:c>
      <x:c r="H48" s="83" t="str">
        <x:f>IFERROR(INDEX(SORTBY(tblAssessments[report_number],tblAssessments[department_name],1,tblAssessments[assessment_date],-1,tblAssessments[assessment_id],1),A48),"")</x:f>
        <x:v>RAH01-2026-025</x:v>
      </x:c>
      <x:c r="I48" s="83" t="str">
        <x:f>IF(E48="","",IF(E48&gt;=6,"Immediate corrective action",IF(E48&gt;=3,"Document improvement plan","Maintain controls")))</x:f>
        <x:v>Document improvement plan</x:v>
      </x:c>
      <x:c r="T48" t="str">
        <x:f>IFERROR(INDEX(SORTBY(tblAssessments[assessment_id],tblAssessments[department_name],1,tblAssessments[assessment_date],-1,tblAssessments[assessment_id],1),A48),"")</x:f>
        <x:v>ASM-2026-025</x:v>
      </x:c>
    </x:row>
    <x:row r="49">
      <x:c r="A49" s="83" t="n">
        <x:v>26</x:v>
      </x:c>
      <x:c r="B49" s="85" t="str">
        <x:f>IFERROR(INDEX(SORTBY(tblAssessments[department_name],tblAssessments[department_name],1,tblAssessments[assessment_date],-1,tblAssessments[assessment_id],1),A49),"")</x:f>
        <x:v>Laboratory</x:v>
      </x:c>
      <x:c r="C49" s="83" t="n">
        <x:f>IFERROR(INDEX(SORTBY(tblAssessments[total_staff_count],tblAssessments[department_name],1,tblAssessments[assessment_date],-1,tblAssessments[assessment_id],1),A49),"")</x:f>
        <x:v>14</x:v>
      </x:c>
      <x:c r="D49" s="83" t="str">
        <x:f>IFERROR(INDEX(SORTBY(tblAssessments[status],tblAssessments[department_name],1,tblAssessments[assessment_date],-1,tblAssessments[assessment_id],1),A49),"")</x:f>
        <x:v>SUBMITTED</x:v>
      </x:c>
      <x:c r="E49" s="83" t="n">
        <x:f>IFERROR(INDEX(SORTBY(tblAssessments[overall_risk_score],tblAssessments[department_name],1,tblAssessments[assessment_date],-1,tblAssessments[assessment_id],1),A49),"")</x:f>
        <x:v>9</x:v>
      </x:c>
      <x:c r="F49" s="83" t="str">
        <x:f>IFERROR(INDEX(SORTBY(tblAssessments[overall_risk_level],tblAssessments[department_name],1,tblAssessments[assessment_date],-1,tblAssessments[assessment_id],1),A49),"")</x:f>
        <x:v>HIGH</x:v>
      </x:c>
      <x:c r="G49" s="87" t="n">
        <x:f>IFERROR(INDEX(SORTBY(tblAssessments[assessment_date],tblAssessments[department_name],1,tblAssessments[assessment_date],-1,tblAssessments[assessment_id],1),A49),"")</x:f>
        <x:v>46057</x:v>
      </x:c>
      <x:c r="H49" s="83" t="str">
        <x:f>IFERROR(INDEX(SORTBY(tblAssessments[report_number],tblAssessments[department_name],1,tblAssessments[assessment_date],-1,tblAssessments[assessment_id],1),A49),"")</x:f>
        <x:v>RAH01-2026-026</x:v>
      </x:c>
      <x:c r="I49" s="83" t="str">
        <x:f>IF(E49="","",IF(E49&gt;=6,"Immediate corrective action",IF(E49&gt;=3,"Document improvement plan","Maintain controls")))</x:f>
        <x:v>Immediate corrective action</x:v>
      </x:c>
      <x:c r="T49" t="str">
        <x:f>IFERROR(INDEX(SORTBY(tblAssessments[assessment_id],tblAssessments[department_name],1,tblAssessments[assessment_date],-1,tblAssessments[assessment_id],1),A49),"")</x:f>
        <x:v>ASM-2026-026</x:v>
      </x:c>
    </x:row>
    <x:row r="50">
      <x:c r="A50" s="83" t="n">
        <x:v>27</x:v>
      </x:c>
      <x:c r="B50" s="85" t="str">
        <x:f>IFERROR(INDEX(SORTBY(tblAssessments[department_name],tblAssessments[department_name],1,tblAssessments[assessment_date],-1,tblAssessments[assessment_id],1),A50),"")</x:f>
        <x:v>Laundry</x:v>
      </x:c>
      <x:c r="C50" s="83" t="n">
        <x:f>IFERROR(INDEX(SORTBY(tblAssessments[total_staff_count],tblAssessments[department_name],1,tblAssessments[assessment_date],-1,tblAssessments[assessment_id],1),A50),"")</x:f>
        <x:v>21</x:v>
      </x:c>
      <x:c r="D50" s="83" t="str">
        <x:f>IFERROR(INDEX(SORTBY(tblAssessments[status],tblAssessments[department_name],1,tblAssessments[assessment_date],-1,tblAssessments[assessment_id],1),A50),"")</x:f>
        <x:v>IN_REVIEW</x:v>
      </x:c>
      <x:c r="E50" s="83" t="n">
        <x:f>IFERROR(INDEX(SORTBY(tblAssessments[overall_risk_score],tblAssessments[department_name],1,tblAssessments[assessment_date],-1,tblAssessments[assessment_id],1),A50),"")</x:f>
        <x:v>9</x:v>
      </x:c>
      <x:c r="F50" s="83" t="str">
        <x:f>IFERROR(INDEX(SORTBY(tblAssessments[overall_risk_level],tblAssessments[department_name],1,tblAssessments[assessment_date],-1,tblAssessments[assessment_id],1),A50),"")</x:f>
        <x:v>HIGH</x:v>
      </x:c>
      <x:c r="G50" s="87" t="n">
        <x:f>IFERROR(INDEX(SORTBY(tblAssessments[assessment_date],tblAssessments[department_name],1,tblAssessments[assessment_date],-1,tblAssessments[assessment_id],1),A50),"")</x:f>
        <x:v>46088</x:v>
      </x:c>
      <x:c r="H50" s="83" t="str">
        <x:f>IFERROR(INDEX(SORTBY(tblAssessments[report_number],tblAssessments[department_name],1,tblAssessments[assessment_date],-1,tblAssessments[assessment_id],1),A50),"")</x:f>
        <x:v>RAH01-2026-027</x:v>
      </x:c>
      <x:c r="I50" s="83" t="str">
        <x:f>IF(E50="","",IF(E50&gt;=6,"Immediate corrective action",IF(E50&gt;=3,"Document improvement plan","Maintain controls")))</x:f>
        <x:v>Immediate corrective action</x:v>
      </x:c>
      <x:c r="T50" t="str">
        <x:f>IFERROR(INDEX(SORTBY(tblAssessments[assessment_id],tblAssessments[department_name],1,tblAssessments[assessment_date],-1,tblAssessments[assessment_id],1),A50),"")</x:f>
        <x:v>ASM-2026-027</x:v>
      </x:c>
    </x:row>
    <x:row r="51">
      <x:c r="A51" s="83" t="n">
        <x:v>28</x:v>
      </x:c>
      <x:c r="B51" s="85" t="str">
        <x:f>IFERROR(INDEX(SORTBY(tblAssessments[department_name],tblAssessments[department_name],1,tblAssessments[assessment_date],-1,tblAssessments[assessment_id],1),A51),"")</x:f>
        <x:v>Medical Records</x:v>
      </x:c>
      <x:c r="C51" s="83" t="n">
        <x:f>IFERROR(INDEX(SORTBY(tblAssessments[total_staff_count],tblAssessments[department_name],1,tblAssessments[assessment_date],-1,tblAssessments[assessment_id],1),A51),"")</x:f>
        <x:v>28</x:v>
      </x:c>
      <x:c r="D51" s="83" t="str">
        <x:f>IFERROR(INDEX(SORTBY(tblAssessments[status],tblAssessments[department_name],1,tblAssessments[assessment_date],-1,tblAssessments[assessment_id],1),A51),"")</x:f>
        <x:v>CLOSED</x:v>
      </x:c>
      <x:c r="E51" s="83" t="n">
        <x:f>IFERROR(INDEX(SORTBY(tblAssessments[overall_risk_score],tblAssessments[department_name],1,tblAssessments[assessment_date],-1,tblAssessments[assessment_id],1),A51),"")</x:f>
        <x:v>9</x:v>
      </x:c>
      <x:c r="F51" s="83" t="str">
        <x:f>IFERROR(INDEX(SORTBY(tblAssessments[overall_risk_level],tblAssessments[department_name],1,tblAssessments[assessment_date],-1,tblAssessments[assessment_id],1),A51),"")</x:f>
        <x:v>HIGH</x:v>
      </x:c>
      <x:c r="G51" s="87" t="n">
        <x:f>IFERROR(INDEX(SORTBY(tblAssessments[assessment_date],tblAssessments[department_name],1,tblAssessments[assessment_date],-1,tblAssessments[assessment_id],1),A51),"")</x:f>
        <x:v>46122</x:v>
      </x:c>
      <x:c r="H51" s="83" t="str">
        <x:f>IFERROR(INDEX(SORTBY(tblAssessments[report_number],tblAssessments[department_name],1,tblAssessments[assessment_date],-1,tblAssessments[assessment_id],1),A51),"")</x:f>
        <x:v>RAH01-2026-028</x:v>
      </x:c>
      <x:c r="I51" s="83" t="str">
        <x:f>IF(E51="","",IF(E51&gt;=6,"Immediate corrective action",IF(E51&gt;=3,"Document improvement plan","Maintain controls")))</x:f>
        <x:v>Immediate corrective action</x:v>
      </x:c>
      <x:c r="T51" t="str">
        <x:f>IFERROR(INDEX(SORTBY(tblAssessments[assessment_id],tblAssessments[department_name],1,tblAssessments[assessment_date],-1,tblAssessments[assessment_id],1),A51),"")</x:f>
        <x:v>ASM-2026-028</x:v>
      </x:c>
    </x:row>
    <x:row r="52">
      <x:c r="A52" s="83" t="n">
        <x:v>29</x:v>
      </x:c>
      <x:c r="B52" s="85" t="str">
        <x:f>IFERROR(INDEX(SORTBY(tblAssessments[department_name],tblAssessments[department_name],1,tblAssessments[assessment_date],-1,tblAssessments[assessment_id],1),A52),"")</x:f>
        <x:v>Neonatal ICU</x:v>
      </x:c>
      <x:c r="C52" s="83" t="n">
        <x:f>IFERROR(INDEX(SORTBY(tblAssessments[total_staff_count],tblAssessments[department_name],1,tblAssessments[assessment_date],-1,tblAssessments[assessment_id],1),A52),"")</x:f>
        <x:v>35</x:v>
      </x:c>
      <x:c r="D52" s="83" t="str">
        <x:f>IFERROR(INDEX(SORTBY(tblAssessments[status],tblAssessments[department_name],1,tblAssessments[assessment_date],-1,tblAssessments[assessment_id],1),A52),"")</x:f>
        <x:v>CLOSED</x:v>
      </x:c>
      <x:c r="E52" s="83" t="n">
        <x:f>IFERROR(INDEX(SORTBY(tblAssessments[overall_risk_score],tblAssessments[department_name],1,tblAssessments[assessment_date],-1,tblAssessments[assessment_id],1),A52),"")</x:f>
        <x:v>2</x:v>
      </x:c>
      <x:c r="F52" s="83" t="str">
        <x:f>IFERROR(INDEX(SORTBY(tblAssessments[overall_risk_level],tblAssessments[department_name],1,tblAssessments[assessment_date],-1,tblAssessments[assessment_id],1),A52),"")</x:f>
        <x:v>LOW</x:v>
      </x:c>
      <x:c r="G52" s="87" t="n">
        <x:f>IFERROR(INDEX(SORTBY(tblAssessments[assessment_date],tblAssessments[department_name],1,tblAssessments[assessment_date],-1,tblAssessments[assessment_id],1),A52),"")</x:f>
        <x:v>46155</x:v>
      </x:c>
      <x:c r="H52" s="83" t="str">
        <x:f>IFERROR(INDEX(SORTBY(tblAssessments[report_number],tblAssessments[department_name],1,tblAssessments[assessment_date],-1,tblAssessments[assessment_id],1),A52),"")</x:f>
        <x:v>RAH01-2026-029</x:v>
      </x:c>
      <x:c r="I52" s="83" t="str">
        <x:f>IF(E52="","",IF(E52&gt;=6,"Immediate corrective action",IF(E52&gt;=3,"Document improvement plan","Maintain controls")))</x:f>
        <x:v>Maintain controls</x:v>
      </x:c>
      <x:c r="T52" t="str">
        <x:f>IFERROR(INDEX(SORTBY(tblAssessments[assessment_id],tblAssessments[department_name],1,tblAssessments[assessment_date],-1,tblAssessments[assessment_id],1),A52),"")</x:f>
        <x:v>ASM-2026-029</x:v>
      </x:c>
    </x:row>
    <x:row r="53">
      <x:c r="A53" s="83" t="n">
        <x:v>30</x:v>
      </x:c>
      <x:c r="B53" s="85" t="str">
        <x:f>IFERROR(INDEX(SORTBY(tblAssessments[department_name],tblAssessments[department_name],1,tblAssessments[assessment_date],-1,tblAssessments[assessment_id],1),A53),"")</x:f>
        <x:v>Neurology</x:v>
      </x:c>
      <x:c r="C53" s="83" t="n">
        <x:f>IFERROR(INDEX(SORTBY(tblAssessments[total_staff_count],tblAssessments[department_name],1,tblAssessments[assessment_date],-1,tblAssessments[assessment_id],1),A53),"")</x:f>
        <x:v>42</x:v>
      </x:c>
      <x:c r="D53" s="83" t="str">
        <x:f>IFERROR(INDEX(SORTBY(tblAssessments[status],tblAssessments[department_name],1,tblAssessments[assessment_date],-1,tblAssessments[assessment_id],1),A53),"")</x:f>
        <x:v>RETURNED</x:v>
      </x:c>
      <x:c r="E53" s="83" t="n">
        <x:f>IFERROR(INDEX(SORTBY(tblAssessments[overall_risk_score],tblAssessments[department_name],1,tblAssessments[assessment_date],-1,tblAssessments[assessment_id],1),A53),"")</x:f>
        <x:v>4</x:v>
      </x:c>
      <x:c r="F53" s="83" t="str">
        <x:f>IFERROR(INDEX(SORTBY(tblAssessments[overall_risk_level],tblAssessments[department_name],1,tblAssessments[assessment_date],-1,tblAssessments[assessment_id],1),A53),"")</x:f>
        <x:v>MEDIUM</x:v>
      </x:c>
      <x:c r="G53" s="87" t="n">
        <x:f>IFERROR(INDEX(SORTBY(tblAssessments[assessment_date],tblAssessments[department_name],1,tblAssessments[assessment_date],-1,tblAssessments[assessment_id],1),A53),"")</x:f>
        <x:v>46189</x:v>
      </x:c>
      <x:c r="H53" s="83" t="str">
        <x:f>IFERROR(INDEX(SORTBY(tblAssessments[report_number],tblAssessments[department_name],1,tblAssessments[assessment_date],-1,tblAssessments[assessment_id],1),A53),"")</x:f>
        <x:v>RAH01-2026-030</x:v>
      </x:c>
      <x:c r="I53" s="83" t="str">
        <x:f>IF(E53="","",IF(E53&gt;=6,"Immediate corrective action",IF(E53&gt;=3,"Document improvement plan","Maintain controls")))</x:f>
        <x:v>Document improvement plan</x:v>
      </x:c>
      <x:c r="T53" t="str">
        <x:f>IFERROR(INDEX(SORTBY(tblAssessments[assessment_id],tblAssessments[department_name],1,tblAssessments[assessment_date],-1,tblAssessments[assessment_id],1),A53),"")</x:f>
        <x:v>ASM-2026-030</x:v>
      </x:c>
    </x:row>
    <x:row r="54">
      <x:c r="A54" s="83" t="n">
        <x:v>31</x:v>
      </x:c>
      <x:c r="B54" s="85" t="str">
        <x:f>IFERROR(INDEX(SORTBY(tblAssessments[department_name],tblAssessments[department_name],1,tblAssessments[assessment_date],-1,tblAssessments[assessment_id],1),A54),"")</x:f>
        <x:v>Neurosurgery</x:v>
      </x:c>
      <x:c r="C54" s="83" t="n">
        <x:f>IFERROR(INDEX(SORTBY(tblAssessments[total_staff_count],tblAssessments[department_name],1,tblAssessments[assessment_date],-1,tblAssessments[assessment_id],1),A54),"")</x:f>
        <x:v>49</x:v>
      </x:c>
      <x:c r="D54" s="83" t="str">
        <x:f>IFERROR(INDEX(SORTBY(tblAssessments[status],tblAssessments[department_name],1,tblAssessments[assessment_date],-1,tblAssessments[assessment_id],1),A54),"")</x:f>
        <x:v>SUBMITTED</x:v>
      </x:c>
      <x:c r="E54" s="83" t="n">
        <x:f>IFERROR(INDEX(SORTBY(tblAssessments[overall_risk_score],tblAssessments[department_name],1,tblAssessments[assessment_date],-1,tblAssessments[assessment_id],1),A54),"")</x:f>
        <x:v>2</x:v>
      </x:c>
      <x:c r="F54" s="83" t="str">
        <x:f>IFERROR(INDEX(SORTBY(tblAssessments[overall_risk_level],tblAssessments[department_name],1,tblAssessments[assessment_date],-1,tblAssessments[assessment_id],1),A54),"")</x:f>
        <x:v>LOW</x:v>
      </x:c>
      <x:c r="G54" s="87" t="n">
        <x:f>IFERROR(INDEX(SORTBY(tblAssessments[assessment_date],tblAssessments[department_name],1,tblAssessments[assessment_date],-1,tblAssessments[assessment_id],1),A54),"")</x:f>
        <x:v>46041</x:v>
      </x:c>
      <x:c r="H54" s="83" t="str">
        <x:f>IFERROR(INDEX(SORTBY(tblAssessments[report_number],tblAssessments[department_name],1,tblAssessments[assessment_date],-1,tblAssessments[assessment_id],1),A54),"")</x:f>
        <x:v>RAH01-2026-031</x:v>
      </x:c>
      <x:c r="I54" s="83" t="str">
        <x:f>IF(E54="","",IF(E54&gt;=6,"Immediate corrective action",IF(E54&gt;=3,"Document improvement plan","Maintain controls")))</x:f>
        <x:v>Maintain controls</x:v>
      </x:c>
      <x:c r="T54" t="str">
        <x:f>IFERROR(INDEX(SORTBY(tblAssessments[assessment_id],tblAssessments[department_name],1,tblAssessments[assessment_date],-1,tblAssessments[assessment_id],1),A54),"")</x:f>
        <x:v>ASM-2026-031</x:v>
      </x:c>
    </x:row>
    <x:row r="55">
      <x:c r="A55" s="83" t="n">
        <x:v>32</x:v>
      </x:c>
      <x:c r="B55" s="85" t="str">
        <x:f>IFERROR(INDEX(SORTBY(tblAssessments[department_name],tblAssessments[department_name],1,tblAssessments[assessment_date],-1,tblAssessments[assessment_id],1),A55),"")</x:f>
        <x:v>Nuclear Medicine</x:v>
      </x:c>
      <x:c r="C55" s="83" t="n">
        <x:f>IFERROR(INDEX(SORTBY(tblAssessments[total_staff_count],tblAssessments[department_name],1,tblAssessments[assessment_date],-1,tblAssessments[assessment_id],1),A55),"")</x:f>
        <x:v>56</x:v>
      </x:c>
      <x:c r="D55" s="83" t="str">
        <x:f>IFERROR(INDEX(SORTBY(tblAssessments[status],tblAssessments[department_name],1,tblAssessments[assessment_date],-1,tblAssessments[assessment_id],1),A55),"")</x:f>
        <x:v>IN_REVIEW</x:v>
      </x:c>
      <x:c r="E55" s="83" t="n">
        <x:f>IFERROR(INDEX(SORTBY(tblAssessments[overall_risk_score],tblAssessments[department_name],1,tblAssessments[assessment_date],-1,tblAssessments[assessment_id],1),A55),"")</x:f>
        <x:v>2</x:v>
      </x:c>
      <x:c r="F55" s="83" t="str">
        <x:f>IFERROR(INDEX(SORTBY(tblAssessments[overall_risk_level],tblAssessments[department_name],1,tblAssessments[assessment_date],-1,tblAssessments[assessment_id],1),A55),"")</x:f>
        <x:v>LOW</x:v>
      </x:c>
      <x:c r="G55" s="87" t="n">
        <x:f>IFERROR(INDEX(SORTBY(tblAssessments[assessment_date],tblAssessments[department_name],1,tblAssessments[assessment_date],-1,tblAssessments[assessment_id],1),A55),"")</x:f>
        <x:v>46075</x:v>
      </x:c>
      <x:c r="H55" s="83" t="str">
        <x:f>IFERROR(INDEX(SORTBY(tblAssessments[report_number],tblAssessments[department_name],1,tblAssessments[assessment_date],-1,tblAssessments[assessment_id],1),A55),"")</x:f>
        <x:v>RAH01-2026-032</x:v>
      </x:c>
      <x:c r="I55" s="83" t="str">
        <x:f>IF(E55="","",IF(E55&gt;=6,"Immediate corrective action",IF(E55&gt;=3,"Document improvement plan","Maintain controls")))</x:f>
        <x:v>Maintain controls</x:v>
      </x:c>
      <x:c r="T55" t="str">
        <x:f>IFERROR(INDEX(SORTBY(tblAssessments[assessment_id],tblAssessments[department_name],1,tblAssessments[assessment_date],-1,tblAssessments[assessment_id],1),A55),"")</x:f>
        <x:v>ASM-2026-032</x:v>
      </x:c>
    </x:row>
    <x:row r="56">
      <x:c r="A56" s="83" t="n">
        <x:v>33</x:v>
      </x:c>
      <x:c r="B56" s="85" t="str">
        <x:f>IFERROR(INDEX(SORTBY(tblAssessments[department_name],tblAssessments[department_name],1,tblAssessments[assessment_date],-1,tblAssessments[assessment_id],1),A56),"")</x:f>
        <x:v>Obstetrics</x:v>
      </x:c>
      <x:c r="C56" s="83" t="n">
        <x:f>IFERROR(INDEX(SORTBY(tblAssessments[total_staff_count],tblAssessments[department_name],1,tblAssessments[assessment_date],-1,tblAssessments[assessment_id],1),A56),"")</x:f>
        <x:v>63</x:v>
      </x:c>
      <x:c r="D56" s="83" t="str">
        <x:f>IFERROR(INDEX(SORTBY(tblAssessments[status],tblAssessments[department_name],1,tblAssessments[assessment_date],-1,tblAssessments[assessment_id],1),A56),"")</x:f>
        <x:v>CLOSED</x:v>
      </x:c>
      <x:c r="E56" s="83" t="n">
        <x:f>IFERROR(INDEX(SORTBY(tblAssessments[overall_risk_score],tblAssessments[department_name],1,tblAssessments[assessment_date],-1,tblAssessments[assessment_id],1),A56),"")</x:f>
        <x:v>4</x:v>
      </x:c>
      <x:c r="F56" s="83" t="str">
        <x:f>IFERROR(INDEX(SORTBY(tblAssessments[overall_risk_level],tblAssessments[department_name],1,tblAssessments[assessment_date],-1,tblAssessments[assessment_id],1),A56),"")</x:f>
        <x:v>MEDIUM</x:v>
      </x:c>
      <x:c r="G56" s="87" t="n">
        <x:f>IFERROR(INDEX(SORTBY(tblAssessments[assessment_date],tblAssessments[department_name],1,tblAssessments[assessment_date],-1,tblAssessments[assessment_id],1),A56),"")</x:f>
        <x:v>46106</x:v>
      </x:c>
      <x:c r="H56" s="83" t="str">
        <x:f>IFERROR(INDEX(SORTBY(tblAssessments[report_number],tblAssessments[department_name],1,tblAssessments[assessment_date],-1,tblAssessments[assessment_id],1),A56),"")</x:f>
        <x:v>RAH01-2026-033</x:v>
      </x:c>
      <x:c r="I56" s="83" t="str">
        <x:f>IF(E56="","",IF(E56&gt;=6,"Immediate corrective action",IF(E56&gt;=3,"Document improvement plan","Maintain controls")))</x:f>
        <x:v>Document improvement plan</x:v>
      </x:c>
      <x:c r="T56" t="str">
        <x:f>IFERROR(INDEX(SORTBY(tblAssessments[assessment_id],tblAssessments[department_name],1,tblAssessments[assessment_date],-1,tblAssessments[assessment_id],1),A56),"")</x:f>
        <x:v>ASM-2026-033</x:v>
      </x:c>
    </x:row>
    <x:row r="57">
      <x:c r="A57" s="83" t="n">
        <x:v>34</x:v>
      </x:c>
      <x:c r="B57" s="85" t="str">
        <x:f>IFERROR(INDEX(SORTBY(tblAssessments[department_name],tblAssessments[department_name],1,tblAssessments[assessment_date],-1,tblAssessments[assessment_id],1),A57),"")</x:f>
        <x:v>Occupational Health</x:v>
      </x:c>
      <x:c r="C57" s="83" t="n">
        <x:f>IFERROR(INDEX(SORTBY(tblAssessments[total_staff_count],tblAssessments[department_name],1,tblAssessments[assessment_date],-1,tblAssessments[assessment_id],1),A57),"")</x:f>
        <x:v>12</x:v>
      </x:c>
      <x:c r="D57" s="83" t="str">
        <x:f>IFERROR(INDEX(SORTBY(tblAssessments[status],tblAssessments[department_name],1,tblAssessments[assessment_date],-1,tblAssessments[assessment_id],1),A57),"")</x:f>
        <x:v>CLOSED</x:v>
      </x:c>
      <x:c r="E57" s="83" t="n">
        <x:f>IFERROR(INDEX(SORTBY(tblAssessments[overall_risk_score],tblAssessments[department_name],1,tblAssessments[assessment_date],-1,tblAssessments[assessment_id],1),A57),"")</x:f>
        <x:v>2</x:v>
      </x:c>
      <x:c r="F57" s="83" t="str">
        <x:f>IFERROR(INDEX(SORTBY(tblAssessments[overall_risk_level],tblAssessments[department_name],1,tblAssessments[assessment_date],-1,tblAssessments[assessment_id],1),A57),"")</x:f>
        <x:v>LOW</x:v>
      </x:c>
      <x:c r="G57" s="87" t="n">
        <x:f>IFERROR(INDEX(SORTBY(tblAssessments[assessment_date],tblAssessments[department_name],1,tblAssessments[assessment_date],-1,tblAssessments[assessment_id],1),A57),"")</x:f>
        <x:v>46115</x:v>
      </x:c>
      <x:c r="H57" s="83" t="str">
        <x:f>IFERROR(INDEX(SORTBY(tblAssessments[report_number],tblAssessments[department_name],1,tblAssessments[assessment_date],-1,tblAssessments[assessment_id],1),A57),"")</x:f>
        <x:v>RAH01-2026-034</x:v>
      </x:c>
      <x:c r="I57" s="83" t="str">
        <x:f>IF(E57="","",IF(E57&gt;=6,"Immediate corrective action",IF(E57&gt;=3,"Document improvement plan","Maintain controls")))</x:f>
        <x:v>Maintain controls</x:v>
      </x:c>
      <x:c r="T57" t="str">
        <x:f>IFERROR(INDEX(SORTBY(tblAssessments[assessment_id],tblAssessments[department_name],1,tblAssessments[assessment_date],-1,tblAssessments[assessment_id],1),A57),"")</x:f>
        <x:v>ASM-2026-034</x:v>
      </x:c>
    </x:row>
    <x:row r="58">
      <x:c r="A58" s="83" t="n">
        <x:v>35</x:v>
      </x:c>
      <x:c r="B58" s="85" t="str">
        <x:f>IFERROR(INDEX(SORTBY(tblAssessments[department_name],tblAssessments[department_name],1,tblAssessments[assessment_date],-1,tblAssessments[assessment_id],1),A58),"")</x:f>
        <x:v>Oncology</x:v>
      </x:c>
      <x:c r="C58" s="83" t="n">
        <x:f>IFERROR(INDEX(SORTBY(tblAssessments[total_staff_count],tblAssessments[department_name],1,tblAssessments[assessment_date],-1,tblAssessments[assessment_id],1),A58),"")</x:f>
        <x:v>19</x:v>
      </x:c>
      <x:c r="D58" s="83" t="str">
        <x:f>IFERROR(INDEX(SORTBY(tblAssessments[status],tblAssessments[department_name],1,tblAssessments[assessment_date],-1,tblAssessments[assessment_id],1),A58),"")</x:f>
        <x:v>RETURNED</x:v>
      </x:c>
      <x:c r="E58" s="83" t="n">
        <x:f>IFERROR(INDEX(SORTBY(tblAssessments[overall_risk_score],tblAssessments[department_name],1,tblAssessments[assessment_date],-1,tblAssessments[assessment_id],1),A58),"")</x:f>
        <x:v>2</x:v>
      </x:c>
      <x:c r="F58" s="83" t="str">
        <x:f>IFERROR(INDEX(SORTBY(tblAssessments[overall_risk_level],tblAssessments[department_name],1,tblAssessments[assessment_date],-1,tblAssessments[assessment_id],1),A58),"")</x:f>
        <x:v>LOW</x:v>
      </x:c>
      <x:c r="G58" s="87" t="n">
        <x:f>IFERROR(INDEX(SORTBY(tblAssessments[assessment_date],tblAssessments[department_name],1,tblAssessments[assessment_date],-1,tblAssessments[assessment_id],1),A58),"")</x:f>
        <x:v>46148</x:v>
      </x:c>
      <x:c r="H58" s="83" t="str">
        <x:f>IFERROR(INDEX(SORTBY(tblAssessments[report_number],tblAssessments[department_name],1,tblAssessments[assessment_date],-1,tblAssessments[assessment_id],1),A58),"")</x:f>
        <x:v>RAH01-2026-035</x:v>
      </x:c>
      <x:c r="I58" s="83" t="str">
        <x:f>IF(E58="","",IF(E58&gt;=6,"Immediate corrective action",IF(E58&gt;=3,"Document improvement plan","Maintain controls")))</x:f>
        <x:v>Maintain controls</x:v>
      </x:c>
      <x:c r="T58" t="str">
        <x:f>IFERROR(INDEX(SORTBY(tblAssessments[assessment_id],tblAssessments[department_name],1,tblAssessments[assessment_date],-1,tblAssessments[assessment_id],1),A58),"")</x:f>
        <x:v>ASM-2026-035</x:v>
      </x:c>
    </x:row>
    <x:row r="59">
      <x:c r="A59" s="83" t="n">
        <x:v>36</x:v>
      </x:c>
      <x:c r="B59" s="85" t="str">
        <x:f>IFERROR(INDEX(SORTBY(tblAssessments[department_name],tblAssessments[department_name],1,tblAssessments[assessment_date],-1,tblAssessments[assessment_id],1),A59),"")</x:f>
        <x:v>Operating Theatre</x:v>
      </x:c>
      <x:c r="C59" s="83" t="n">
        <x:f>IFERROR(INDEX(SORTBY(tblAssessments[total_staff_count],tblAssessments[department_name],1,tblAssessments[assessment_date],-1,tblAssessments[assessment_id],1),A59),"")</x:f>
        <x:v>26</x:v>
      </x:c>
      <x:c r="D59" s="83" t="str">
        <x:f>IFERROR(INDEX(SORTBY(tblAssessments[status],tblAssessments[department_name],1,tblAssessments[assessment_date],-1,tblAssessments[assessment_id],1),A59),"")</x:f>
        <x:v>SUBMITTED</x:v>
      </x:c>
      <x:c r="E59" s="83" t="n">
        <x:f>IFERROR(INDEX(SORTBY(tblAssessments[overall_risk_score],tblAssessments[department_name],1,tblAssessments[assessment_date],-1,tblAssessments[assessment_id],1),A59),"")</x:f>
        <x:v>9</x:v>
      </x:c>
      <x:c r="F59" s="83" t="str">
        <x:f>IFERROR(INDEX(SORTBY(tblAssessments[overall_risk_level],tblAssessments[department_name],1,tblAssessments[assessment_date],-1,tblAssessments[assessment_id],1),A59),"")</x:f>
        <x:v>HIGH</x:v>
      </x:c>
      <x:c r="G59" s="87" t="n">
        <x:f>IFERROR(INDEX(SORTBY(tblAssessments[assessment_date],tblAssessments[department_name],1,tblAssessments[assessment_date],-1,tblAssessments[assessment_id],1),A59),"")</x:f>
        <x:v>46182</x:v>
      </x:c>
      <x:c r="H59" s="83" t="str">
        <x:f>IFERROR(INDEX(SORTBY(tblAssessments[report_number],tblAssessments[department_name],1,tblAssessments[assessment_date],-1,tblAssessments[assessment_id],1),A59),"")</x:f>
        <x:v>RAH01-2026-036</x:v>
      </x:c>
      <x:c r="I59" s="83" t="str">
        <x:f>IF(E59="","",IF(E59&gt;=6,"Immediate corrective action",IF(E59&gt;=3,"Document improvement plan","Maintain controls")))</x:f>
        <x:v>Immediate corrective action</x:v>
      </x:c>
      <x:c r="T59" t="str">
        <x:f>IFERROR(INDEX(SORTBY(tblAssessments[assessment_id],tblAssessments[department_name],1,tblAssessments[assessment_date],-1,tblAssessments[assessment_id],1),A59),"")</x:f>
        <x:v>ASM-2026-036</x:v>
      </x:c>
    </x:row>
    <x:row r="60">
      <x:c r="A60" s="83" t="n">
        <x:v>37</x:v>
      </x:c>
      <x:c r="B60" s="85" t="str">
        <x:f>IFERROR(INDEX(SORTBY(tblAssessments[department_name],tblAssessments[department_name],1,tblAssessments[assessment_date],-1,tblAssessments[assessment_id],1),A60),"")</x:f>
        <x:v>Orthopaedics</x:v>
      </x:c>
      <x:c r="C60" s="83" t="n">
        <x:f>IFERROR(INDEX(SORTBY(tblAssessments[total_staff_count],tblAssessments[department_name],1,tblAssessments[assessment_date],-1,tblAssessments[assessment_id],1),A60),"")</x:f>
        <x:v>33</x:v>
      </x:c>
      <x:c r="D60" s="83" t="str">
        <x:f>IFERROR(INDEX(SORTBY(tblAssessments[status],tblAssessments[department_name],1,tblAssessments[assessment_date],-1,tblAssessments[assessment_id],1),A60),"")</x:f>
        <x:v>IN_REVIEW</x:v>
      </x:c>
      <x:c r="E60" s="83" t="n">
        <x:f>IFERROR(INDEX(SORTBY(tblAssessments[overall_risk_score],tblAssessments[department_name],1,tblAssessments[assessment_date],-1,tblAssessments[assessment_id],1),A60),"")</x:f>
        <x:v>9</x:v>
      </x:c>
      <x:c r="F60" s="83" t="str">
        <x:f>IFERROR(INDEX(SORTBY(tblAssessments[overall_risk_level],tblAssessments[department_name],1,tblAssessments[assessment_date],-1,tblAssessments[assessment_id],1),A60),"")</x:f>
        <x:v>HIGH</x:v>
      </x:c>
      <x:c r="G60" s="87" t="n">
        <x:f>IFERROR(INDEX(SORTBY(tblAssessments[assessment_date],tblAssessments[department_name],1,tblAssessments[assessment_date],-1,tblAssessments[assessment_id],1),A60),"")</x:f>
        <x:v>46034</x:v>
      </x:c>
      <x:c r="H60" s="83" t="str">
        <x:f>IFERROR(INDEX(SORTBY(tblAssessments[report_number],tblAssessments[department_name],1,tblAssessments[assessment_date],-1,tblAssessments[assessment_id],1),A60),"")</x:f>
        <x:v>RAH01-2026-037</x:v>
      </x:c>
      <x:c r="I60" s="83" t="str">
        <x:f>IF(E60="","",IF(E60&gt;=6,"Immediate corrective action",IF(E60&gt;=3,"Document improvement plan","Maintain controls")))</x:f>
        <x:v>Immediate corrective action</x:v>
      </x:c>
      <x:c r="T60" t="str">
        <x:f>IFERROR(INDEX(SORTBY(tblAssessments[assessment_id],tblAssessments[department_name],1,tblAssessments[assessment_date],-1,tblAssessments[assessment_id],1),A60),"")</x:f>
        <x:v>ASM-2026-037</x:v>
      </x:c>
    </x:row>
    <x:row r="61">
      <x:c r="A61" s="83" t="n">
        <x:v>38</x:v>
      </x:c>
      <x:c r="B61" s="85" t="str">
        <x:f>IFERROR(INDEX(SORTBY(tblAssessments[department_name],tblAssessments[department_name],1,tblAssessments[assessment_date],-1,tblAssessments[assessment_id],1),A61),"")</x:f>
        <x:v>Outpatient Department</x:v>
      </x:c>
      <x:c r="C61" s="83" t="n">
        <x:f>IFERROR(INDEX(SORTBY(tblAssessments[total_staff_count],tblAssessments[department_name],1,tblAssessments[assessment_date],-1,tblAssessments[assessment_id],1),A61),"")</x:f>
        <x:v>40</x:v>
      </x:c>
      <x:c r="D61" s="83" t="str">
        <x:f>IFERROR(INDEX(SORTBY(tblAssessments[status],tblAssessments[department_name],1,tblAssessments[assessment_date],-1,tblAssessments[assessment_id],1),A61),"")</x:f>
        <x:v>CLOSED</x:v>
      </x:c>
      <x:c r="E61" s="83" t="n">
        <x:f>IFERROR(INDEX(SORTBY(tblAssessments[overall_risk_score],tblAssessments[department_name],1,tblAssessments[assessment_date],-1,tblAssessments[assessment_id],1),A61),"")</x:f>
        <x:v>9</x:v>
      </x:c>
      <x:c r="F61" s="83" t="str">
        <x:f>IFERROR(INDEX(SORTBY(tblAssessments[overall_risk_level],tblAssessments[department_name],1,tblAssessments[assessment_date],-1,tblAssessments[assessment_id],1),A61),"")</x:f>
        <x:v>HIGH</x:v>
      </x:c>
      <x:c r="G61" s="87" t="n">
        <x:f>IFERROR(INDEX(SORTBY(tblAssessments[assessment_date],tblAssessments[department_name],1,tblAssessments[assessment_date],-1,tblAssessments[assessment_id],1),A61),"")</x:f>
        <x:v>46068</x:v>
      </x:c>
      <x:c r="H61" s="83" t="str">
        <x:f>IFERROR(INDEX(SORTBY(tblAssessments[report_number],tblAssessments[department_name],1,tblAssessments[assessment_date],-1,tblAssessments[assessment_id],1),A61),"")</x:f>
        <x:v>RAH01-2026-038</x:v>
      </x:c>
      <x:c r="I61" s="83" t="str">
        <x:f>IF(E61="","",IF(E61&gt;=6,"Immediate corrective action",IF(E61&gt;=3,"Document improvement plan","Maintain controls")))</x:f>
        <x:v>Immediate corrective action</x:v>
      </x:c>
      <x:c r="T61" t="str">
        <x:f>IFERROR(INDEX(SORTBY(tblAssessments[assessment_id],tblAssessments[department_name],1,tblAssessments[assessment_date],-1,tblAssessments[assessment_id],1),A61),"")</x:f>
        <x:v>ASM-2026-038</x:v>
      </x:c>
    </x:row>
    <x:row r="62">
      <x:c r="A62" s="83" t="n">
        <x:v>39</x:v>
      </x:c>
      <x:c r="B62" s="85" t="str">
        <x:f>IFERROR(INDEX(SORTBY(tblAssessments[department_name],tblAssessments[department_name],1,tblAssessments[assessment_date],-1,tblAssessments[assessment_id],1),A62),"")</x:f>
        <x:v>Paediatrics</x:v>
      </x:c>
      <x:c r="C62" s="83" t="n">
        <x:f>IFERROR(INDEX(SORTBY(tblAssessments[total_staff_count],tblAssessments[department_name],1,tblAssessments[assessment_date],-1,tblAssessments[assessment_id],1),A62),"")</x:f>
        <x:v>47</x:v>
      </x:c>
      <x:c r="D62" s="83" t="str">
        <x:f>IFERROR(INDEX(SORTBY(tblAssessments[status],tblAssessments[department_name],1,tblAssessments[assessment_date],-1,tblAssessments[assessment_id],1),A62),"")</x:f>
        <x:v>CLOSED</x:v>
      </x:c>
      <x:c r="E62" s="83" t="n">
        <x:f>IFERROR(INDEX(SORTBY(tblAssessments[overall_risk_score],tblAssessments[department_name],1,tblAssessments[assessment_date],-1,tblAssessments[assessment_id],1),A62),"")</x:f>
        <x:v>9</x:v>
      </x:c>
      <x:c r="F62" s="83" t="str">
        <x:f>IFERROR(INDEX(SORTBY(tblAssessments[overall_risk_level],tblAssessments[department_name],1,tblAssessments[assessment_date],-1,tblAssessments[assessment_id],1),A62),"")</x:f>
        <x:v>HIGH</x:v>
      </x:c>
      <x:c r="G62" s="87" t="n">
        <x:f>IFERROR(INDEX(SORTBY(tblAssessments[assessment_date],tblAssessments[department_name],1,tblAssessments[assessment_date],-1,tblAssessments[assessment_id],1),A62),"")</x:f>
        <x:v>46099</x:v>
      </x:c>
      <x:c r="H62" s="83" t="str">
        <x:f>IFERROR(INDEX(SORTBY(tblAssessments[report_number],tblAssessments[department_name],1,tblAssessments[assessment_date],-1,tblAssessments[assessment_id],1),A62),"")</x:f>
        <x:v>RAH01-2026-039</x:v>
      </x:c>
      <x:c r="I62" s="83" t="str">
        <x:f>IF(E62="","",IF(E62&gt;=6,"Immediate corrective action",IF(E62&gt;=3,"Document improvement plan","Maintain controls")))</x:f>
        <x:v>Immediate corrective action</x:v>
      </x:c>
      <x:c r="T62" t="str">
        <x:f>IFERROR(INDEX(SORTBY(tblAssessments[assessment_id],tblAssessments[department_name],1,tblAssessments[assessment_date],-1,tblAssessments[assessment_id],1),A62),"")</x:f>
        <x:v>ASM-2026-039</x:v>
      </x:c>
    </x:row>
    <x:row r="63">
      <x:c r="A63" s="83" t="n">
        <x:v>40</x:v>
      </x:c>
      <x:c r="B63" s="85" t="str">
        <x:f>IFERROR(INDEX(SORTBY(tblAssessments[department_name],tblAssessments[department_name],1,tblAssessments[assessment_date],-1,tblAssessments[assessment_id],1),A63),"")</x:f>
        <x:v>Pathology</x:v>
      </x:c>
      <x:c r="C63" s="83" t="n">
        <x:f>IFERROR(INDEX(SORTBY(tblAssessments[total_staff_count],tblAssessments[department_name],1,tblAssessments[assessment_date],-1,tblAssessments[assessment_id],1),A63),"")</x:f>
        <x:v>54</x:v>
      </x:c>
      <x:c r="D63" s="83" t="str">
        <x:f>IFERROR(INDEX(SORTBY(tblAssessments[status],tblAssessments[department_name],1,tblAssessments[assessment_date],-1,tblAssessments[assessment_id],1),A63),"")</x:f>
        <x:v>RETURNED</x:v>
      </x:c>
      <x:c r="E63" s="83" t="n">
        <x:f>IFERROR(INDEX(SORTBY(tblAssessments[overall_risk_score],tblAssessments[department_name],1,tblAssessments[assessment_date],-1,tblAssessments[assessment_id],1),A63),"")</x:f>
        <x:v>9</x:v>
      </x:c>
      <x:c r="F63" s="83" t="str">
        <x:f>IFERROR(INDEX(SORTBY(tblAssessments[overall_risk_level],tblAssessments[department_name],1,tblAssessments[assessment_date],-1,tblAssessments[assessment_id],1),A63),"")</x:f>
        <x:v>HIGH</x:v>
      </x:c>
      <x:c r="G63" s="87" t="n">
        <x:f>IFERROR(INDEX(SORTBY(tblAssessments[assessment_date],tblAssessments[department_name],1,tblAssessments[assessment_date],-1,tblAssessments[assessment_id],1),A63),"")</x:f>
        <x:v>46133</x:v>
      </x:c>
      <x:c r="H63" s="83" t="str">
        <x:f>IFERROR(INDEX(SORTBY(tblAssessments[report_number],tblAssessments[department_name],1,tblAssessments[assessment_date],-1,tblAssessments[assessment_id],1),A63),"")</x:f>
        <x:v>RAH01-2026-040</x:v>
      </x:c>
      <x:c r="I63" s="83" t="str">
        <x:f>IF(E63="","",IF(E63&gt;=6,"Immediate corrective action",IF(E63&gt;=3,"Document improvement plan","Maintain controls")))</x:f>
        <x:v>Immediate corrective action</x:v>
      </x:c>
      <x:c r="T63" t="str">
        <x:f>IFERROR(INDEX(SORTBY(tblAssessments[assessment_id],tblAssessments[department_name],1,tblAssessments[assessment_date],-1,tblAssessments[assessment_id],1),A63),"")</x:f>
        <x:v>ASM-2026-040</x:v>
      </x:c>
    </x:row>
    <x:row r="64">
      <x:c r="A64" s="83" t="n">
        <x:v>41</x:v>
      </x:c>
      <x:c r="B64" s="85" t="str">
        <x:f>IFERROR(INDEX(SORTBY(tblAssessments[department_name],tblAssessments[department_name],1,tblAssessments[assessment_date],-1,tblAssessments[assessment_id],1),A64),"")</x:f>
        <x:v>Pharmacy</x:v>
      </x:c>
      <x:c r="C64" s="83" t="n">
        <x:f>IFERROR(INDEX(SORTBY(tblAssessments[total_staff_count],tblAssessments[department_name],1,tblAssessments[assessment_date],-1,tblAssessments[assessment_id],1),A64),"")</x:f>
        <x:v>61</x:v>
      </x:c>
      <x:c r="D64" s="83" t="str">
        <x:f>IFERROR(INDEX(SORTBY(tblAssessments[status],tblAssessments[department_name],1,tblAssessments[assessment_date],-1,tblAssessments[assessment_id],1),A64),"")</x:f>
        <x:v>SUBMITTED</x:v>
      </x:c>
      <x:c r="E64" s="83" t="n">
        <x:f>IFERROR(INDEX(SORTBY(tblAssessments[overall_risk_score],tblAssessments[department_name],1,tblAssessments[assessment_date],-1,tblAssessments[assessment_id],1),A64),"")</x:f>
        <x:v>9</x:v>
      </x:c>
      <x:c r="F64" s="83" t="str">
        <x:f>IFERROR(INDEX(SORTBY(tblAssessments[overall_risk_level],tblAssessments[department_name],1,tblAssessments[assessment_date],-1,tblAssessments[assessment_id],1),A64),"")</x:f>
        <x:v>HIGH</x:v>
      </x:c>
      <x:c r="G64" s="87" t="n">
        <x:f>IFERROR(INDEX(SORTBY(tblAssessments[assessment_date],tblAssessments[department_name],1,tblAssessments[assessment_date],-1,tblAssessments[assessment_id],1),A64),"")</x:f>
        <x:v>46166</x:v>
      </x:c>
      <x:c r="H64" s="83" t="str">
        <x:f>IFERROR(INDEX(SORTBY(tblAssessments[report_number],tblAssessments[department_name],1,tblAssessments[assessment_date],-1,tblAssessments[assessment_id],1),A64),"")</x:f>
        <x:v>RAH01-2026-041</x:v>
      </x:c>
      <x:c r="I64" s="83" t="str">
        <x:f>IF(E64="","",IF(E64&gt;=6,"Immediate corrective action",IF(E64&gt;=3,"Document improvement plan","Maintain controls")))</x:f>
        <x:v>Immediate corrective action</x:v>
      </x:c>
      <x:c r="T64" t="str">
        <x:f>IFERROR(INDEX(SORTBY(tblAssessments[assessment_id],tblAssessments[department_name],1,tblAssessments[assessment_date],-1,tblAssessments[assessment_id],1),A64),"")</x:f>
        <x:v>ASM-2026-041</x:v>
      </x:c>
    </x:row>
    <x:row r="65">
      <x:c r="A65" s="83" t="n">
        <x:v>42</x:v>
      </x:c>
      <x:c r="B65" s="85" t="str">
        <x:f>IFERROR(INDEX(SORTBY(tblAssessments[department_name],tblAssessments[department_name],1,tblAssessments[assessment_date],-1,tblAssessments[assessment_id],1),A65),"")</x:f>
        <x:v>Physical Therapy</x:v>
      </x:c>
      <x:c r="C65" s="83" t="n">
        <x:f>IFERROR(INDEX(SORTBY(tblAssessments[total_staff_count],tblAssessments[department_name],1,tblAssessments[assessment_date],-1,tblAssessments[assessment_id],1),A65),"")</x:f>
        <x:v>10</x:v>
      </x:c>
      <x:c r="D65" s="83" t="str">
        <x:f>IFERROR(INDEX(SORTBY(tblAssessments[status],tblAssessments[department_name],1,tblAssessments[assessment_date],-1,tblAssessments[assessment_id],1),A65),"")</x:f>
        <x:v>IN_REVIEW</x:v>
      </x:c>
      <x:c r="E65" s="83" t="n">
        <x:f>IFERROR(INDEX(SORTBY(tblAssessments[overall_risk_score],tblAssessments[department_name],1,tblAssessments[assessment_date],-1,tblAssessments[assessment_id],1),A65),"")</x:f>
        <x:v>4</x:v>
      </x:c>
      <x:c r="F65" s="83" t="str">
        <x:f>IFERROR(INDEX(SORTBY(tblAssessments[overall_risk_level],tblAssessments[department_name],1,tblAssessments[assessment_date],-1,tblAssessments[assessment_id],1),A65),"")</x:f>
        <x:v>MEDIUM</x:v>
      </x:c>
      <x:c r="G65" s="87" t="n">
        <x:f>IFERROR(INDEX(SORTBY(tblAssessments[assessment_date],tblAssessments[department_name],1,tblAssessments[assessment_date],-1,tblAssessments[assessment_id],1),A65),"")</x:f>
        <x:v>46175</x:v>
      </x:c>
      <x:c r="H65" s="83" t="str">
        <x:f>IFERROR(INDEX(SORTBY(tblAssessments[report_number],tblAssessments[department_name],1,tblAssessments[assessment_date],-1,tblAssessments[assessment_id],1),A65),"")</x:f>
        <x:v>RAH01-2026-042</x:v>
      </x:c>
      <x:c r="I65" s="83" t="str">
        <x:f>IF(E65="","",IF(E65&gt;=6,"Immediate corrective action",IF(E65&gt;=3,"Document improvement plan","Maintain controls")))</x:f>
        <x:v>Document improvement plan</x:v>
      </x:c>
      <x:c r="T65" t="str">
        <x:f>IFERROR(INDEX(SORTBY(tblAssessments[assessment_id],tblAssessments[department_name],1,tblAssessments[assessment_date],-1,tblAssessments[assessment_id],1),A65),"")</x:f>
        <x:v>ASM-2026-042</x:v>
      </x:c>
    </x:row>
    <x:row r="66">
      <x:c r="A66" s="83" t="n">
        <x:v>43</x:v>
      </x:c>
      <x:c r="B66" s="85" t="str">
        <x:f>IFERROR(INDEX(SORTBY(tblAssessments[department_name],tblAssessments[department_name],1,tblAssessments[assessment_date],-1,tblAssessments[assessment_id],1),A66),"")</x:f>
        <x:v>Plastic Surgery</x:v>
      </x:c>
      <x:c r="C66" s="83" t="n">
        <x:f>IFERROR(INDEX(SORTBY(tblAssessments[total_staff_count],tblAssessments[department_name],1,tblAssessments[assessment_date],-1,tblAssessments[assessment_id],1),A66),"")</x:f>
        <x:v>17</x:v>
      </x:c>
      <x:c r="D66" s="83" t="str">
        <x:f>IFERROR(INDEX(SORTBY(tblAssessments[status],tblAssessments[department_name],1,tblAssessments[assessment_date],-1,tblAssessments[assessment_id],1),A66),"")</x:f>
        <x:v>CLOSED</x:v>
      </x:c>
      <x:c r="E66" s="83" t="n">
        <x:f>IFERROR(INDEX(SORTBY(tblAssessments[overall_risk_score],tblAssessments[department_name],1,tblAssessments[assessment_date],-1,tblAssessments[assessment_id],1),A66),"")</x:f>
        <x:v>9</x:v>
      </x:c>
      <x:c r="F66" s="83" t="str">
        <x:f>IFERROR(INDEX(SORTBY(tblAssessments[overall_risk_level],tblAssessments[department_name],1,tblAssessments[assessment_date],-1,tblAssessments[assessment_id],1),A66),"")</x:f>
        <x:v>HIGH</x:v>
      </x:c>
      <x:c r="G66" s="87" t="n">
        <x:f>IFERROR(INDEX(SORTBY(tblAssessments[assessment_date],tblAssessments[department_name],1,tblAssessments[assessment_date],-1,tblAssessments[assessment_id],1),A66),"")</x:f>
        <x:v>46027</x:v>
      </x:c>
      <x:c r="H66" s="83" t="str">
        <x:f>IFERROR(INDEX(SORTBY(tblAssessments[report_number],tblAssessments[department_name],1,tblAssessments[assessment_date],-1,tblAssessments[assessment_id],1),A66),"")</x:f>
        <x:v>RAH01-2026-043</x:v>
      </x:c>
      <x:c r="I66" s="83" t="str">
        <x:f>IF(E66="","",IF(E66&gt;=6,"Immediate corrective action",IF(E66&gt;=3,"Document improvement plan","Maintain controls")))</x:f>
        <x:v>Immediate corrective action</x:v>
      </x:c>
      <x:c r="T66" t="str">
        <x:f>IFERROR(INDEX(SORTBY(tblAssessments[assessment_id],tblAssessments[department_name],1,tblAssessments[assessment_date],-1,tblAssessments[assessment_id],1),A66),"")</x:f>
        <x:v>ASM-2026-043</x:v>
      </x:c>
    </x:row>
    <x:row r="67">
      <x:c r="A67" s="83" t="n">
        <x:v>44</x:v>
      </x:c>
      <x:c r="B67" s="85" t="str">
        <x:f>IFERROR(INDEX(SORTBY(tblAssessments[department_name],tblAssessments[department_name],1,tblAssessments[assessment_date],-1,tblAssessments[assessment_id],1),A67),"")</x:f>
        <x:v>Psychiatry</x:v>
      </x:c>
      <x:c r="C67" s="83" t="n">
        <x:f>IFERROR(INDEX(SORTBY(tblAssessments[total_staff_count],tblAssessments[department_name],1,tblAssessments[assessment_date],-1,tblAssessments[assessment_id],1),A67),"")</x:f>
        <x:v>24</x:v>
      </x:c>
      <x:c r="D67" s="83" t="str">
        <x:f>IFERROR(INDEX(SORTBY(tblAssessments[status],tblAssessments[department_name],1,tblAssessments[assessment_date],-1,tblAssessments[assessment_id],1),A67),"")</x:f>
        <x:v>CLOSED</x:v>
      </x:c>
      <x:c r="E67" s="83" t="n">
        <x:f>IFERROR(INDEX(SORTBY(tblAssessments[overall_risk_score],tblAssessments[department_name],1,tblAssessments[assessment_date],-1,tblAssessments[assessment_id],1),A67),"")</x:f>
        <x:v>2</x:v>
      </x:c>
      <x:c r="F67" s="83" t="str">
        <x:f>IFERROR(INDEX(SORTBY(tblAssessments[overall_risk_level],tblAssessments[department_name],1,tblAssessments[assessment_date],-1,tblAssessments[assessment_id],1),A67),"")</x:f>
        <x:v>LOW</x:v>
      </x:c>
      <x:c r="G67" s="87" t="n">
        <x:f>IFERROR(INDEX(SORTBY(tblAssessments[assessment_date],tblAssessments[department_name],1,tblAssessments[assessment_date],-1,tblAssessments[assessment_id],1),A67),"")</x:f>
        <x:v>46061</x:v>
      </x:c>
      <x:c r="H67" s="83" t="str">
        <x:f>IFERROR(INDEX(SORTBY(tblAssessments[report_number],tblAssessments[department_name],1,tblAssessments[assessment_date],-1,tblAssessments[assessment_id],1),A67),"")</x:f>
        <x:v>RAH01-2026-044</x:v>
      </x:c>
      <x:c r="I67" s="83" t="str">
        <x:f>IF(E67="","",IF(E67&gt;=6,"Immediate corrective action",IF(E67&gt;=3,"Document improvement plan","Maintain controls")))</x:f>
        <x:v>Maintain controls</x:v>
      </x:c>
      <x:c r="T67" t="str">
        <x:f>IFERROR(INDEX(SORTBY(tblAssessments[assessment_id],tblAssessments[department_name],1,tblAssessments[assessment_date],-1,tblAssessments[assessment_id],1),A67),"")</x:f>
        <x:v>ASM-2026-044</x:v>
      </x:c>
    </x:row>
    <x:row r="68">
      <x:c r="A68" s="83" t="n">
        <x:v>45</x:v>
      </x:c>
      <x:c r="B68" s="85" t="str">
        <x:f>IFERROR(INDEX(SORTBY(tblAssessments[department_name],tblAssessments[department_name],1,tblAssessments[assessment_date],-1,tblAssessments[assessment_id],1),A68),"")</x:f>
        <x:v>Quality Improvement</x:v>
      </x:c>
      <x:c r="C68" s="83" t="n">
        <x:f>IFERROR(INDEX(SORTBY(tblAssessments[total_staff_count],tblAssessments[department_name],1,tblAssessments[assessment_date],-1,tblAssessments[assessment_id],1),A68),"")</x:f>
        <x:v>31</x:v>
      </x:c>
      <x:c r="D68" s="83" t="str">
        <x:f>IFERROR(INDEX(SORTBY(tblAssessments[status],tblAssessments[department_name],1,tblAssessments[assessment_date],-1,tblAssessments[assessment_id],1),A68),"")</x:f>
        <x:v>RETURNED</x:v>
      </x:c>
      <x:c r="E68" s="83" t="n">
        <x:f>IFERROR(INDEX(SORTBY(tblAssessments[overall_risk_score],tblAssessments[department_name],1,tblAssessments[assessment_date],-1,tblAssessments[assessment_id],1),A68),"")</x:f>
        <x:v>4</x:v>
      </x:c>
      <x:c r="F68" s="83" t="str">
        <x:f>IFERROR(INDEX(SORTBY(tblAssessments[overall_risk_level],tblAssessments[department_name],1,tblAssessments[assessment_date],-1,tblAssessments[assessment_id],1),A68),"")</x:f>
        <x:v>MEDIUM</x:v>
      </x:c>
      <x:c r="G68" s="87" t="n">
        <x:f>IFERROR(INDEX(SORTBY(tblAssessments[assessment_date],tblAssessments[department_name],1,tblAssessments[assessment_date],-1,tblAssessments[assessment_id],1),A68),"")</x:f>
        <x:v>46092</x:v>
      </x:c>
      <x:c r="H68" s="83" t="str">
        <x:f>IFERROR(INDEX(SORTBY(tblAssessments[report_number],tblAssessments[department_name],1,tblAssessments[assessment_date],-1,tblAssessments[assessment_id],1),A68),"")</x:f>
        <x:v>RAH01-2026-045</x:v>
      </x:c>
      <x:c r="I68" s="83" t="str">
        <x:f>IF(E68="","",IF(E68&gt;=6,"Immediate corrective action",IF(E68&gt;=3,"Document improvement plan","Maintain controls")))</x:f>
        <x:v>Document improvement plan</x:v>
      </x:c>
      <x:c r="T68" t="str">
        <x:f>IFERROR(INDEX(SORTBY(tblAssessments[assessment_id],tblAssessments[department_name],1,tblAssessments[assessment_date],-1,tblAssessments[assessment_id],1),A68),"")</x:f>
        <x:v>ASM-2026-045</x:v>
      </x:c>
    </x:row>
    <x:row r="69">
      <x:c r="A69" s="83" t="n">
        <x:v>46</x:v>
      </x:c>
      <x:c r="B69" s="85" t="str">
        <x:f>IFERROR(INDEX(SORTBY(tblAssessments[department_name],tblAssessments[department_name],1,tblAssessments[assessment_date],-1,tblAssessments[assessment_id],1),A69),"")</x:f>
        <x:v>Radiotherapy</x:v>
      </x:c>
      <x:c r="C69" s="83" t="n">
        <x:f>IFERROR(INDEX(SORTBY(tblAssessments[total_staff_count],tblAssessments[department_name],1,tblAssessments[assessment_date],-1,tblAssessments[assessment_id],1),A69),"")</x:f>
        <x:v>38</x:v>
      </x:c>
      <x:c r="D69" s="83" t="str">
        <x:f>IFERROR(INDEX(SORTBY(tblAssessments[status],tblAssessments[department_name],1,tblAssessments[assessment_date],-1,tblAssessments[assessment_id],1),A69),"")</x:f>
        <x:v>SUBMITTED</x:v>
      </x:c>
      <x:c r="E69" s="83" t="n">
        <x:f>IFERROR(INDEX(SORTBY(tblAssessments[overall_risk_score],tblAssessments[department_name],1,tblAssessments[assessment_date],-1,tblAssessments[assessment_id],1),A69),"")</x:f>
        <x:v>2</x:v>
      </x:c>
      <x:c r="F69" s="83" t="str">
        <x:f>IFERROR(INDEX(SORTBY(tblAssessments[overall_risk_level],tblAssessments[department_name],1,tblAssessments[assessment_date],-1,tblAssessments[assessment_id],1),A69),"")</x:f>
        <x:v>LOW</x:v>
      </x:c>
      <x:c r="G69" s="87" t="n">
        <x:f>IFERROR(INDEX(SORTBY(tblAssessments[assessment_date],tblAssessments[department_name],1,tblAssessments[assessment_date],-1,tblAssessments[assessment_id],1),A69),"")</x:f>
        <x:v>46126</x:v>
      </x:c>
      <x:c r="H69" s="83" t="str">
        <x:f>IFERROR(INDEX(SORTBY(tblAssessments[report_number],tblAssessments[department_name],1,tblAssessments[assessment_date],-1,tblAssessments[assessment_id],1),A69),"")</x:f>
        <x:v>RAH01-2026-046</x:v>
      </x:c>
      <x:c r="I69" s="83" t="str">
        <x:f>IF(E69="","",IF(E69&gt;=6,"Immediate corrective action",IF(E69&gt;=3,"Document improvement plan","Maintain controls")))</x:f>
        <x:v>Maintain controls</x:v>
      </x:c>
      <x:c r="T69" t="str">
        <x:f>IFERROR(INDEX(SORTBY(tblAssessments[assessment_id],tblAssessments[department_name],1,tblAssessments[assessment_date],-1,tblAssessments[assessment_id],1),A69),"")</x:f>
        <x:v>ASM-2026-046</x:v>
      </x:c>
    </x:row>
    <x:row r="70">
      <x:c r="A70" s="83" t="n">
        <x:v>47</x:v>
      </x:c>
      <x:c r="B70" s="85" t="str">
        <x:f>IFERROR(INDEX(SORTBY(tblAssessments[department_name],tblAssessments[department_name],1,tblAssessments[assessment_date],-1,tblAssessments[assessment_id],1),A70),"")</x:f>
        <x:v>Rehabilitation</x:v>
      </x:c>
      <x:c r="C70" s="83" t="n">
        <x:f>IFERROR(INDEX(SORTBY(tblAssessments[total_staff_count],tblAssessments[department_name],1,tblAssessments[assessment_date],-1,tblAssessments[assessment_id],1),A70),"")</x:f>
        <x:v>45</x:v>
      </x:c>
      <x:c r="D70" s="83" t="str">
        <x:f>IFERROR(INDEX(SORTBY(tblAssessments[status],tblAssessments[department_name],1,tblAssessments[assessment_date],-1,tblAssessments[assessment_id],1),A70),"")</x:f>
        <x:v>IN_REVIEW</x:v>
      </x:c>
      <x:c r="E70" s="83" t="n">
        <x:f>IFERROR(INDEX(SORTBY(tblAssessments[overall_risk_score],tblAssessments[department_name],1,tblAssessments[assessment_date],-1,tblAssessments[assessment_id],1),A70),"")</x:f>
        <x:v>2</x:v>
      </x:c>
      <x:c r="F70" s="83" t="str">
        <x:f>IFERROR(INDEX(SORTBY(tblAssessments[overall_risk_level],tblAssessments[department_name],1,tblAssessments[assessment_date],-1,tblAssessments[assessment_id],1),A70),"")</x:f>
        <x:v>LOW</x:v>
      </x:c>
      <x:c r="G70" s="87" t="n">
        <x:f>IFERROR(INDEX(SORTBY(tblAssessments[assessment_date],tblAssessments[department_name],1,tblAssessments[assessment_date],-1,tblAssessments[assessment_id],1),A70),"")</x:f>
        <x:v>46159</x:v>
      </x:c>
      <x:c r="H70" s="83" t="str">
        <x:f>IFERROR(INDEX(SORTBY(tblAssessments[report_number],tblAssessments[department_name],1,tblAssessments[assessment_date],-1,tblAssessments[assessment_id],1),A70),"")</x:f>
        <x:v>RAH01-2026-047</x:v>
      </x:c>
      <x:c r="I70" s="83" t="str">
        <x:f>IF(E70="","",IF(E70&gt;=6,"Immediate corrective action",IF(E70&gt;=3,"Document improvement plan","Maintain controls")))</x:f>
        <x:v>Maintain controls</x:v>
      </x:c>
      <x:c r="T70" t="str">
        <x:f>IFERROR(INDEX(SORTBY(tblAssessments[assessment_id],tblAssessments[department_name],1,tblAssessments[assessment_date],-1,tblAssessments[assessment_id],1),A70),"")</x:f>
        <x:v>ASM-2026-047</x:v>
      </x:c>
    </x:row>
    <x:row r="71">
      <x:c r="A71" s="83" t="n">
        <x:v>48</x:v>
      </x:c>
      <x:c r="B71" s="85" t="str">
        <x:f>IFERROR(INDEX(SORTBY(tblAssessments[department_name],tblAssessments[department_name],1,tblAssessments[assessment_date],-1,tblAssessments[assessment_id],1),A71),"")</x:f>
        <x:v>Renal Unit</x:v>
      </x:c>
      <x:c r="C71" s="83" t="n">
        <x:f>IFERROR(INDEX(SORTBY(tblAssessments[total_staff_count],tblAssessments[department_name],1,tblAssessments[assessment_date],-1,tblAssessments[assessment_id],1),A71),"")</x:f>
        <x:v>52</x:v>
      </x:c>
      <x:c r="D71" s="83" t="str">
        <x:f>IFERROR(INDEX(SORTBY(tblAssessments[status],tblAssessments[department_name],1,tblAssessments[assessment_date],-1,tblAssessments[assessment_id],1),A71),"")</x:f>
        <x:v>CLOSED</x:v>
      </x:c>
      <x:c r="E71" s="83" t="n">
        <x:f>IFERROR(INDEX(SORTBY(tblAssessments[overall_risk_score],tblAssessments[department_name],1,tblAssessments[assessment_date],-1,tblAssessments[assessment_id],1),A71),"")</x:f>
        <x:v>4</x:v>
      </x:c>
      <x:c r="F71" s="83" t="str">
        <x:f>IFERROR(INDEX(SORTBY(tblAssessments[overall_risk_level],tblAssessments[department_name],1,tblAssessments[assessment_date],-1,tblAssessments[assessment_id],1),A71),"")</x:f>
        <x:v>MEDIUM</x:v>
      </x:c>
      <x:c r="G71" s="87" t="n">
        <x:f>IFERROR(INDEX(SORTBY(tblAssessments[assessment_date],tblAssessments[department_name],1,tblAssessments[assessment_date],-1,tblAssessments[assessment_id],1),A71),"")</x:f>
        <x:v>46193</x:v>
      </x:c>
      <x:c r="H71" s="83" t="str">
        <x:f>IFERROR(INDEX(SORTBY(tblAssessments[report_number],tblAssessments[department_name],1,tblAssessments[assessment_date],-1,tblAssessments[assessment_id],1),A71),"")</x:f>
        <x:v>RAH01-2026-048</x:v>
      </x:c>
      <x:c r="I71" s="83" t="str">
        <x:f>IF(E71="","",IF(E71&gt;=6,"Immediate corrective action",IF(E71&gt;=3,"Document improvement plan","Maintain controls")))</x:f>
        <x:v>Document improvement plan</x:v>
      </x:c>
      <x:c r="T71" t="str">
        <x:f>IFERROR(INDEX(SORTBY(tblAssessments[assessment_id],tblAssessments[department_name],1,tblAssessments[assessment_date],-1,tblAssessments[assessment_id],1),A71),"")</x:f>
        <x:v>ASM-2026-048</x:v>
      </x:c>
    </x:row>
    <x:row r="72">
      <x:c r="A72" s="83" t="n">
        <x:v>49</x:v>
      </x:c>
      <x:c r="B72" s="85" t="str">
        <x:f>IFERROR(INDEX(SORTBY(tblAssessments[department_name],tblAssessments[department_name],1,tblAssessments[assessment_date],-1,tblAssessments[assessment_id],1),A72),"")</x:f>
        <x:v>Respiratory Medicine</x:v>
      </x:c>
      <x:c r="C72" s="83" t="n">
        <x:f>IFERROR(INDEX(SORTBY(tblAssessments[total_staff_count],tblAssessments[department_name],1,tblAssessments[assessment_date],-1,tblAssessments[assessment_id],1),A72),"")</x:f>
        <x:v>59</x:v>
      </x:c>
      <x:c r="D72" s="83" t="str">
        <x:f>IFERROR(INDEX(SORTBY(tblAssessments[status],tblAssessments[department_name],1,tblAssessments[assessment_date],-1,tblAssessments[assessment_id],1),A72),"")</x:f>
        <x:v>CLOSED</x:v>
      </x:c>
      <x:c r="E72" s="83" t="n">
        <x:f>IFERROR(INDEX(SORTBY(tblAssessments[overall_risk_score],tblAssessments[department_name],1,tblAssessments[assessment_date],-1,tblAssessments[assessment_id],1),A72),"")</x:f>
        <x:v>2</x:v>
      </x:c>
      <x:c r="F72" s="83" t="str">
        <x:f>IFERROR(INDEX(SORTBY(tblAssessments[overall_risk_level],tblAssessments[department_name],1,tblAssessments[assessment_date],-1,tblAssessments[assessment_id],1),A72),"")</x:f>
        <x:v>LOW</x:v>
      </x:c>
      <x:c r="G72" s="87" t="n">
        <x:f>IFERROR(INDEX(SORTBY(tblAssessments[assessment_date],tblAssessments[department_name],1,tblAssessments[assessment_date],-1,tblAssessments[assessment_id],1),A72),"")</x:f>
        <x:v>46045</x:v>
      </x:c>
      <x:c r="H72" s="83" t="str">
        <x:f>IFERROR(INDEX(SORTBY(tblAssessments[report_number],tblAssessments[department_name],1,tblAssessments[assessment_date],-1,tblAssessments[assessment_id],1),A72),"")</x:f>
        <x:v>RAH01-2026-049</x:v>
      </x:c>
      <x:c r="I72" s="83" t="str">
        <x:f>IF(E72="","",IF(E72&gt;=6,"Immediate corrective action",IF(E72&gt;=3,"Document improvement plan","Maintain controls")))</x:f>
        <x:v>Maintain controls</x:v>
      </x:c>
      <x:c r="T72" t="str">
        <x:f>IFERROR(INDEX(SORTBY(tblAssessments[assessment_id],tblAssessments[department_name],1,tblAssessments[assessment_date],-1,tblAssessments[assessment_id],1),A72),"")</x:f>
        <x:v>ASM-2026-049</x:v>
      </x:c>
    </x:row>
    <x:row r="73">
      <x:c r="A73" s="83" t="n">
        <x:v>50</x:v>
      </x:c>
      <x:c r="B73" s="85" t="str">
        <x:f>IFERROR(INDEX(SORTBY(tblAssessments[department_name],tblAssessments[department_name],1,tblAssessments[assessment_date],-1,tblAssessments[assessment_id],1),A73),"")</x:f>
        <x:v>Social Work</x:v>
      </x:c>
      <x:c r="C73" s="83" t="n">
        <x:f>IFERROR(INDEX(SORTBY(tblAssessments[total_staff_count],tblAssessments[department_name],1,tblAssessments[assessment_date],-1,tblAssessments[assessment_id],1),A73),"")</x:f>
        <x:v>8</x:v>
      </x:c>
      <x:c r="D73" s="83" t="str">
        <x:f>IFERROR(INDEX(SORTBY(tblAssessments[status],tblAssessments[department_name],1,tblAssessments[assessment_date],-1,tblAssessments[assessment_id],1),A73),"")</x:f>
        <x:v>RETURNED</x:v>
      </x:c>
      <x:c r="E73" s="83" t="n">
        <x:f>IFERROR(INDEX(SORTBY(tblAssessments[overall_risk_score],tblAssessments[department_name],1,tblAssessments[assessment_date],-1,tblAssessments[assessment_id],1),A73),"")</x:f>
        <x:v>2</x:v>
      </x:c>
      <x:c r="F73" s="83" t="str">
        <x:f>IFERROR(INDEX(SORTBY(tblAssessments[overall_risk_level],tblAssessments[department_name],1,tblAssessments[assessment_date],-1,tblAssessments[assessment_id],1),A73),"")</x:f>
        <x:v>LOW</x:v>
      </x:c>
      <x:c r="G73" s="87" t="n">
        <x:f>IFERROR(INDEX(SORTBY(tblAssessments[assessment_date],tblAssessments[department_name],1,tblAssessments[assessment_date],-1,tblAssessments[assessment_id],1),A73),"")</x:f>
        <x:v>46054</x:v>
      </x:c>
      <x:c r="H73" s="83" t="str">
        <x:f>IFERROR(INDEX(SORTBY(tblAssessments[report_number],tblAssessments[department_name],1,tblAssessments[assessment_date],-1,tblAssessments[assessment_id],1),A73),"")</x:f>
        <x:v>RAH01-2026-050</x:v>
      </x:c>
      <x:c r="I73" s="83" t="str">
        <x:f>IF(E73="","",IF(E73&gt;=6,"Immediate corrective action",IF(E73&gt;=3,"Document improvement plan","Maintain controls")))</x:f>
        <x:v>Maintain controls</x:v>
      </x:c>
      <x:c r="T73" t="str">
        <x:f>IFERROR(INDEX(SORTBY(tblAssessments[assessment_id],tblAssessments[department_name],1,tblAssessments[assessment_date],-1,tblAssessments[assessment_id],1),A73),"")</x:f>
        <x:v>ASM-2026-050</x:v>
      </x:c>
    </x:row>
    <x:row r="74">
      <x:c r="A74" s="83" t="n">
        <x:v>51</x:v>
      </x:c>
      <x:c r="B74" s="85" t="str">
        <x:f>IFERROR(INDEX(SORTBY(tblAssessments[department_name],tblAssessments[department_name],1,tblAssessments[assessment_date],-1,tblAssessments[assessment_id],1),A74),"")</x:f>
        <x:v>Speech Therapy</x:v>
      </x:c>
      <x:c r="C74" s="83" t="n">
        <x:f>IFERROR(INDEX(SORTBY(tblAssessments[total_staff_count],tblAssessments[department_name],1,tblAssessments[assessment_date],-1,tblAssessments[assessment_id],1),A74),"")</x:f>
        <x:v>15</x:v>
      </x:c>
      <x:c r="D74" s="83" t="str">
        <x:f>IFERROR(INDEX(SORTBY(tblAssessments[status],tblAssessments[department_name],1,tblAssessments[assessment_date],-1,tblAssessments[assessment_id],1),A74),"")</x:f>
        <x:v>SUBMITTED</x:v>
      </x:c>
      <x:c r="E74" s="83" t="n">
        <x:f>IFERROR(INDEX(SORTBY(tblAssessments[overall_risk_score],tblAssessments[department_name],1,tblAssessments[assessment_date],-1,tblAssessments[assessment_id],1),A74),"")</x:f>
        <x:v>4</x:v>
      </x:c>
      <x:c r="F74" s="83" t="str">
        <x:f>IFERROR(INDEX(SORTBY(tblAssessments[overall_risk_level],tblAssessments[department_name],1,tblAssessments[assessment_date],-1,tblAssessments[assessment_id],1),A74),"")</x:f>
        <x:v>MEDIUM</x:v>
      </x:c>
      <x:c r="G74" s="87" t="n">
        <x:f>IFERROR(INDEX(SORTBY(tblAssessments[assessment_date],tblAssessments[department_name],1,tblAssessments[assessment_date],-1,tblAssessments[assessment_id],1),A74),"")</x:f>
        <x:v>46085</x:v>
      </x:c>
      <x:c r="H74" s="83" t="str">
        <x:f>IFERROR(INDEX(SORTBY(tblAssessments[report_number],tblAssessments[department_name],1,tblAssessments[assessment_date],-1,tblAssessments[assessment_id],1),A74),"")</x:f>
        <x:v>RAH01-2026-051</x:v>
      </x:c>
      <x:c r="I74" s="83" t="str">
        <x:f>IF(E74="","",IF(E74&gt;=6,"Immediate corrective action",IF(E74&gt;=3,"Document improvement plan","Maintain controls")))</x:f>
        <x:v>Document improvement plan</x:v>
      </x:c>
      <x:c r="T74" t="str">
        <x:f>IFERROR(INDEX(SORTBY(tblAssessments[assessment_id],tblAssessments[department_name],1,tblAssessments[assessment_date],-1,tblAssessments[assessment_id],1),A74),"")</x:f>
        <x:v>ASM-2026-051</x:v>
      </x:c>
    </x:row>
    <x:row r="75">
      <x:c r="A75" s="83" t="n">
        <x:v>52</x:v>
      </x:c>
      <x:c r="B75" s="85" t="str">
        <x:f>IFERROR(INDEX(SORTBY(tblAssessments[department_name],tblAssessments[department_name],1,tblAssessments[assessment_date],-1,tblAssessments[assessment_id],1),A75),"")</x:f>
        <x:v>Surgical ICU</x:v>
      </x:c>
      <x:c r="C75" s="83" t="n">
        <x:f>IFERROR(INDEX(SORTBY(tblAssessments[total_staff_count],tblAssessments[department_name],1,tblAssessments[assessment_date],-1,tblAssessments[assessment_id],1),A75),"")</x:f>
        <x:v>22</x:v>
      </x:c>
      <x:c r="D75" s="83" t="str">
        <x:f>IFERROR(INDEX(SORTBY(tblAssessments[status],tblAssessments[department_name],1,tblAssessments[assessment_date],-1,tblAssessments[assessment_id],1),A75),"")</x:f>
        <x:v>IN_REVIEW</x:v>
      </x:c>
      <x:c r="E75" s="83" t="n">
        <x:f>IFERROR(INDEX(SORTBY(tblAssessments[overall_risk_score],tblAssessments[department_name],1,tblAssessments[assessment_date],-1,tblAssessments[assessment_id],1),A75),"")</x:f>
        <x:v>2</x:v>
      </x:c>
      <x:c r="F75" s="83" t="str">
        <x:f>IFERROR(INDEX(SORTBY(tblAssessments[overall_risk_level],tblAssessments[department_name],1,tblAssessments[assessment_date],-1,tblAssessments[assessment_id],1),A75),"")</x:f>
        <x:v>LOW</x:v>
      </x:c>
      <x:c r="G75" s="87" t="n">
        <x:f>IFERROR(INDEX(SORTBY(tblAssessments[assessment_date],tblAssessments[department_name],1,tblAssessments[assessment_date],-1,tblAssessments[assessment_id],1),A75),"")</x:f>
        <x:v>46119</x:v>
      </x:c>
      <x:c r="H75" s="83" t="str">
        <x:f>IFERROR(INDEX(SORTBY(tblAssessments[report_number],tblAssessments[department_name],1,tblAssessments[assessment_date],-1,tblAssessments[assessment_id],1),A75),"")</x:f>
        <x:v>RAH01-2026-052</x:v>
      </x:c>
      <x:c r="I75" s="83" t="str">
        <x:f>IF(E75="","",IF(E75&gt;=6,"Immediate corrective action",IF(E75&gt;=3,"Document improvement plan","Maintain controls")))</x:f>
        <x:v>Maintain controls</x:v>
      </x:c>
      <x:c r="T75" t="str">
        <x:f>IFERROR(INDEX(SORTBY(tblAssessments[assessment_id],tblAssessments[department_name],1,tblAssessments[assessment_date],-1,tblAssessments[assessment_id],1),A75),"")</x:f>
        <x:v>ASM-2026-052</x:v>
      </x:c>
    </x:row>
    <x:row r="76">
      <x:c r="A76" s="83" t="n">
        <x:v>53</x:v>
      </x:c>
      <x:c r="B76" s="85" t="str">
        <x:f>IFERROR(INDEX(SORTBY(tblAssessments[department_name],tblAssessments[department_name],1,tblAssessments[assessment_date],-1,tblAssessments[assessment_id],1),A76),"")</x:f>
        <x:v>Thai Traditional Medicine</x:v>
      </x:c>
      <x:c r="C76" s="83" t="n">
        <x:f>IFERROR(INDEX(SORTBY(tblAssessments[total_staff_count],tblAssessments[department_name],1,tblAssessments[assessment_date],-1,tblAssessments[assessment_id],1),A76),"")</x:f>
        <x:v>29</x:v>
      </x:c>
      <x:c r="D76" s="83" t="str">
        <x:f>IFERROR(INDEX(SORTBY(tblAssessments[status],tblAssessments[department_name],1,tblAssessments[assessment_date],-1,tblAssessments[assessment_id],1),A76),"")</x:f>
        <x:v>CLOSED</x:v>
      </x:c>
      <x:c r="E76" s="83" t="n">
        <x:f>IFERROR(INDEX(SORTBY(tblAssessments[overall_risk_score],tblAssessments[department_name],1,tblAssessments[assessment_date],-1,tblAssessments[assessment_id],1),A76),"")</x:f>
        <x:v>2</x:v>
      </x:c>
      <x:c r="F76" s="83" t="str">
        <x:f>IFERROR(INDEX(SORTBY(tblAssessments[overall_risk_level],tblAssessments[department_name],1,tblAssessments[assessment_date],-1,tblAssessments[assessment_id],1),A76),"")</x:f>
        <x:v>LOW</x:v>
      </x:c>
      <x:c r="G76" s="87" t="n">
        <x:f>IFERROR(INDEX(SORTBY(tblAssessments[assessment_date],tblAssessments[department_name],1,tblAssessments[assessment_date],-1,tblAssessments[assessment_id],1),A76),"")</x:f>
        <x:v>46152</x:v>
      </x:c>
      <x:c r="H76" s="83" t="str">
        <x:f>IFERROR(INDEX(SORTBY(tblAssessments[report_number],tblAssessments[department_name],1,tblAssessments[assessment_date],-1,tblAssessments[assessment_id],1),A76),"")</x:f>
        <x:v>RAH01-2026-053</x:v>
      </x:c>
      <x:c r="I76" s="83" t="str">
        <x:f>IF(E76="","",IF(E76&gt;=6,"Immediate corrective action",IF(E76&gt;=3,"Document improvement plan","Maintain controls")))</x:f>
        <x:v>Maintain controls</x:v>
      </x:c>
      <x:c r="T76" t="str">
        <x:f>IFERROR(INDEX(SORTBY(tblAssessments[assessment_id],tblAssessments[department_name],1,tblAssessments[assessment_date],-1,tblAssessments[assessment_id],1),A76),"")</x:f>
        <x:v>ASM-2026-053</x:v>
      </x:c>
    </x:row>
    <x:row r="77">
      <x:c r="A77" s="83" t="n">
        <x:v>54</x:v>
      </x:c>
      <x:c r="B77" s="85" t="str">
        <x:f>IFERROR(INDEX(SORTBY(tblAssessments[department_name],tblAssessments[department_name],1,tblAssessments[assessment_date],-1,tblAssessments[assessment_id],1),A77),"")</x:f>
        <x:v>Thoracic Medicine</x:v>
      </x:c>
      <x:c r="C77" s="83" t="n">
        <x:f>IFERROR(INDEX(SORTBY(tblAssessments[total_staff_count],tblAssessments[department_name],1,tblAssessments[assessment_date],-1,tblAssessments[assessment_id],1),A77),"")</x:f>
        <x:v>36</x:v>
      </x:c>
      <x:c r="D77" s="83" t="str">
        <x:f>IFERROR(INDEX(SORTBY(tblAssessments[status],tblAssessments[department_name],1,tblAssessments[assessment_date],-1,tblAssessments[assessment_id],1),A77),"")</x:f>
        <x:v>CLOSED</x:v>
      </x:c>
      <x:c r="E77" s="83" t="n">
        <x:f>IFERROR(INDEX(SORTBY(tblAssessments[overall_risk_score],tblAssessments[department_name],1,tblAssessments[assessment_date],-1,tblAssessments[assessment_id],1),A77),"")</x:f>
        <x:v>4</x:v>
      </x:c>
      <x:c r="F77" s="83" t="str">
        <x:f>IFERROR(INDEX(SORTBY(tblAssessments[overall_risk_level],tblAssessments[department_name],1,tblAssessments[assessment_date],-1,tblAssessments[assessment_id],1),A77),"")</x:f>
        <x:v>MEDIUM</x:v>
      </x:c>
      <x:c r="G77" s="87" t="n">
        <x:f>IFERROR(INDEX(SORTBY(tblAssessments[assessment_date],tblAssessments[department_name],1,tblAssessments[assessment_date],-1,tblAssessments[assessment_id],1),A77),"")</x:f>
        <x:v>46186</x:v>
      </x:c>
      <x:c r="H77" s="83" t="str">
        <x:f>IFERROR(INDEX(SORTBY(tblAssessments[report_number],tblAssessments[department_name],1,tblAssessments[assessment_date],-1,tblAssessments[assessment_id],1),A77),"")</x:f>
        <x:v>RAH01-2026-054</x:v>
      </x:c>
      <x:c r="I77" s="83" t="str">
        <x:f>IF(E77="","",IF(E77&gt;=6,"Immediate corrective action",IF(E77&gt;=3,"Document improvement plan","Maintain controls")))</x:f>
        <x:v>Document improvement plan</x:v>
      </x:c>
      <x:c r="T77" t="str">
        <x:f>IFERROR(INDEX(SORTBY(tblAssessments[assessment_id],tblAssessments[department_name],1,tblAssessments[assessment_date],-1,tblAssessments[assessment_id],1),A77),"")</x:f>
        <x:v>ASM-2026-054</x:v>
      </x:c>
    </x:row>
    <x:row r="78">
      <x:c r="A78" s="83" t="n">
        <x:v>55</x:v>
      </x:c>
      <x:c r="B78" s="85" t="str">
        <x:f>IFERROR(INDEX(SORTBY(tblAssessments[department_name],tblAssessments[department_name],1,tblAssessments[assessment_date],-1,tblAssessments[assessment_id],1),A78),"")</x:f>
        <x:v>Transfusion Medicine</x:v>
      </x:c>
      <x:c r="C78" s="83" t="n">
        <x:f>IFERROR(INDEX(SORTBY(tblAssessments[total_staff_count],tblAssessments[department_name],1,tblAssessments[assessment_date],-1,tblAssessments[assessment_id],1),A78),"")</x:f>
        <x:v>43</x:v>
      </x:c>
      <x:c r="D78" s="83" t="str">
        <x:f>IFERROR(INDEX(SORTBY(tblAssessments[status],tblAssessments[department_name],1,tblAssessments[assessment_date],-1,tblAssessments[assessment_id],1),A78),"")</x:f>
        <x:v>RETURNED</x:v>
      </x:c>
      <x:c r="E78" s="83" t="n">
        <x:f>IFERROR(INDEX(SORTBY(tblAssessments[overall_risk_score],tblAssessments[department_name],1,tblAssessments[assessment_date],-1,tblAssessments[assessment_id],1),A78),"")</x:f>
        <x:v>2</x:v>
      </x:c>
      <x:c r="F78" s="83" t="str">
        <x:f>IFERROR(INDEX(SORTBY(tblAssessments[overall_risk_level],tblAssessments[department_name],1,tblAssessments[assessment_date],-1,tblAssessments[assessment_id],1),A78),"")</x:f>
        <x:v>LOW</x:v>
      </x:c>
      <x:c r="G78" s="87" t="n">
        <x:f>IFERROR(INDEX(SORTBY(tblAssessments[assessment_date],tblAssessments[department_name],1,tblAssessments[assessment_date],-1,tblAssessments[assessment_id],1),A78),"")</x:f>
        <x:v>46038</x:v>
      </x:c>
      <x:c r="H78" s="83" t="str">
        <x:f>IFERROR(INDEX(SORTBY(tblAssessments[report_number],tblAssessments[department_name],1,tblAssessments[assessment_date],-1,tblAssessments[assessment_id],1),A78),"")</x:f>
        <x:v>RAH01-2026-055</x:v>
      </x:c>
      <x:c r="I78" s="83" t="str">
        <x:f>IF(E78="","",IF(E78&gt;=6,"Immediate corrective action",IF(E78&gt;=3,"Document improvement plan","Maintain controls")))</x:f>
        <x:v>Maintain controls</x:v>
      </x:c>
      <x:c r="T78" t="str">
        <x:f>IFERROR(INDEX(SORTBY(tblAssessments[assessment_id],tblAssessments[department_name],1,tblAssessments[assessment_date],-1,tblAssessments[assessment_id],1),A78),"")</x:f>
        <x:v>ASM-2026-055</x:v>
      </x:c>
    </x:row>
    <x:row r="79">
      <x:c r="A79" s="83" t="n">
        <x:v>56</x:v>
      </x:c>
      <x:c r="B79" s="85" t="str">
        <x:f>IFERROR(INDEX(SORTBY(tblAssessments[department_name],tblAssessments[department_name],1,tblAssessments[assessment_date],-1,tblAssessments[assessment_id],1),A79),"")</x:f>
        <x:v>Trauma Centre</x:v>
      </x:c>
      <x:c r="C79" s="83" t="n">
        <x:f>IFERROR(INDEX(SORTBY(tblAssessments[total_staff_count],tblAssessments[department_name],1,tblAssessments[assessment_date],-1,tblAssessments[assessment_id],1),A79),"")</x:f>
        <x:v>50</x:v>
      </x:c>
      <x:c r="D79" s="83" t="str">
        <x:f>IFERROR(INDEX(SORTBY(tblAssessments[status],tblAssessments[department_name],1,tblAssessments[assessment_date],-1,tblAssessments[assessment_id],1),A79),"")</x:f>
        <x:v>SUBMITTED</x:v>
      </x:c>
      <x:c r="E79" s="83" t="n">
        <x:f>IFERROR(INDEX(SORTBY(tblAssessments[overall_risk_score],tblAssessments[department_name],1,tblAssessments[assessment_date],-1,tblAssessments[assessment_id],1),A79),"")</x:f>
        <x:v>2</x:v>
      </x:c>
      <x:c r="F79" s="83" t="str">
        <x:f>IFERROR(INDEX(SORTBY(tblAssessments[overall_risk_level],tblAssessments[department_name],1,tblAssessments[assessment_date],-1,tblAssessments[assessment_id],1),A79),"")</x:f>
        <x:v>LOW</x:v>
      </x:c>
      <x:c r="G79" s="87" t="n">
        <x:f>IFERROR(INDEX(SORTBY(tblAssessments[assessment_date],tblAssessments[department_name],1,tblAssessments[assessment_date],-1,tblAssessments[assessment_id],1),A79),"")</x:f>
        <x:v>46072</x:v>
      </x:c>
      <x:c r="H79" s="83" t="str">
        <x:f>IFERROR(INDEX(SORTBY(tblAssessments[report_number],tblAssessments[department_name],1,tblAssessments[assessment_date],-1,tblAssessments[assessment_id],1),A79),"")</x:f>
        <x:v>RAH01-2026-056</x:v>
      </x:c>
      <x:c r="I79" s="83" t="str">
        <x:f>IF(E79="","",IF(E79&gt;=6,"Immediate corrective action",IF(E79&gt;=3,"Document improvement plan","Maintain controls")))</x:f>
        <x:v>Maintain controls</x:v>
      </x:c>
      <x:c r="T79" t="str">
        <x:f>IFERROR(INDEX(SORTBY(tblAssessments[assessment_id],tblAssessments[department_name],1,tblAssessments[assessment_date],-1,tblAssessments[assessment_id],1),A79),"")</x:f>
        <x:v>ASM-2026-056</x:v>
      </x:c>
    </x:row>
    <x:row r="80">
      <x:c r="A80" s="83" t="n">
        <x:v>57</x:v>
      </x:c>
      <x:c r="B80" s="85" t="str">
        <x:f>IFERROR(INDEX(SORTBY(tblAssessments[department_name],tblAssessments[department_name],1,tblAssessments[assessment_date],-1,tblAssessments[assessment_id],1),A80),"")</x:f>
        <x:v>Urology</x:v>
      </x:c>
      <x:c r="C80" s="83" t="n">
        <x:f>IFERROR(INDEX(SORTBY(tblAssessments[total_staff_count],tblAssessments[department_name],1,tblAssessments[assessment_date],-1,tblAssessments[assessment_id],1),A80),"")</x:f>
        <x:v>57</x:v>
      </x:c>
      <x:c r="D80" s="83" t="str">
        <x:f>IFERROR(INDEX(SORTBY(tblAssessments[status],tblAssessments[department_name],1,tblAssessments[assessment_date],-1,tblAssessments[assessment_id],1),A80),"")</x:f>
        <x:v>IN_REVIEW</x:v>
      </x:c>
      <x:c r="E80" s="83" t="n">
        <x:f>IFERROR(INDEX(SORTBY(tblAssessments[overall_risk_score],tblAssessments[department_name],1,tblAssessments[assessment_date],-1,tblAssessments[assessment_id],1),A80),"")</x:f>
        <x:v>4</x:v>
      </x:c>
      <x:c r="F80" s="83" t="str">
        <x:f>IFERROR(INDEX(SORTBY(tblAssessments[overall_risk_level],tblAssessments[department_name],1,tblAssessments[assessment_date],-1,tblAssessments[assessment_id],1),A80),"")</x:f>
        <x:v>MEDIUM</x:v>
      </x:c>
      <x:c r="G80" s="87" t="n">
        <x:f>IFERROR(INDEX(SORTBY(tblAssessments[assessment_date],tblAssessments[department_name],1,tblAssessments[assessment_date],-1,tblAssessments[assessment_id],1),A80),"")</x:f>
        <x:v>46103</x:v>
      </x:c>
      <x:c r="H80" s="83" t="str">
        <x:f>IFERROR(INDEX(SORTBY(tblAssessments[report_number],tblAssessments[department_name],1,tblAssessments[assessment_date],-1,tblAssessments[assessment_id],1),A80),"")</x:f>
        <x:v>RAH01-2026-057</x:v>
      </x:c>
      <x:c r="I80" s="83" t="str">
        <x:f>IF(E80="","",IF(E80&gt;=6,"Immediate corrective action",IF(E80&gt;=3,"Document improvement plan","Maintain controls")))</x:f>
        <x:v>Document improvement plan</x:v>
      </x:c>
      <x:c r="T80" t="str">
        <x:f>IFERROR(INDEX(SORTBY(tblAssessments[assessment_id],tblAssessments[department_name],1,tblAssessments[assessment_date],-1,tblAssessments[assessment_id],1),A80),"")</x:f>
        <x:v>ASM-2026-057</x:v>
      </x:c>
    </x:row>
    <x:row r="81">
      <x:c r="A81" s="83" t="n">
        <x:v>58</x:v>
      </x:c>
      <x:c r="B81" s="85" t="str">
        <x:f>IFERROR(INDEX(SORTBY(tblAssessments[department_name],tblAssessments[department_name],1,tblAssessments[assessment_date],-1,tblAssessments[assessment_id],1),A81),"")</x:f>
        <x:v>Vaccination Clinic</x:v>
      </x:c>
      <x:c r="C81" s="83" t="n">
        <x:f>IFERROR(INDEX(SORTBY(tblAssessments[total_staff_count],tblAssessments[department_name],1,tblAssessments[assessment_date],-1,tblAssessments[assessment_id],1),A81),"")</x:f>
        <x:v>6</x:v>
      </x:c>
      <x:c r="D81" s="83" t="str">
        <x:f>IFERROR(INDEX(SORTBY(tblAssessments[status],tblAssessments[department_name],1,tblAssessments[assessment_date],-1,tblAssessments[assessment_id],1),A81),"")</x:f>
        <x:v>CLOSED</x:v>
      </x:c>
      <x:c r="E81" s="83" t="n">
        <x:f>IFERROR(INDEX(SORTBY(tblAssessments[overall_risk_score],tblAssessments[department_name],1,tblAssessments[assessment_date],-1,tblAssessments[assessment_id],1),A81),"")</x:f>
        <x:v>9</x:v>
      </x:c>
      <x:c r="F81" s="83" t="str">
        <x:f>IFERROR(INDEX(SORTBY(tblAssessments[overall_risk_level],tblAssessments[department_name],1,tblAssessments[assessment_date],-1,tblAssessments[assessment_id],1),A81),"")</x:f>
        <x:v>HIGH</x:v>
      </x:c>
      <x:c r="G81" s="87" t="n">
        <x:f>IFERROR(INDEX(SORTBY(tblAssessments[assessment_date],tblAssessments[department_name],1,tblAssessments[assessment_date],-1,tblAssessments[assessment_id],1),A81),"")</x:f>
        <x:v>46137</x:v>
      </x:c>
      <x:c r="H81" s="83" t="str">
        <x:f>IFERROR(INDEX(SORTBY(tblAssessments[report_number],tblAssessments[department_name],1,tblAssessments[assessment_date],-1,tblAssessments[assessment_id],1),A81),"")</x:f>
        <x:v>RAH01-2026-058</x:v>
      </x:c>
      <x:c r="I81" s="83" t="str">
        <x:f>IF(E81="","",IF(E81&gt;=6,"Immediate corrective action",IF(E81&gt;=3,"Document improvement plan","Maintain controls")))</x:f>
        <x:v>Immediate corrective action</x:v>
      </x:c>
      <x:c r="T81" t="str">
        <x:f>IFERROR(INDEX(SORTBY(tblAssessments[assessment_id],tblAssessments[department_name],1,tblAssessments[assessment_date],-1,tblAssessments[assessment_id],1),A81),"")</x:f>
        <x:v>ASM-2026-058</x:v>
      </x:c>
    </x:row>
    <x:row r="82">
      <x:c r="A82" s="83" t="n">
        <x:v>59</x:v>
      </x:c>
      <x:c r="B82" s="85" t="str">
        <x:f>IFERROR(INDEX(SORTBY(tblAssessments[department_name],tblAssessments[department_name],1,tblAssessments[assessment_date],-1,tblAssessments[assessment_id],1),A82),"")</x:f>
        <x:v>Ward 1</x:v>
      </x:c>
      <x:c r="C82" s="83" t="n">
        <x:f>IFERROR(INDEX(SORTBY(tblAssessments[total_staff_count],tblAssessments[department_name],1,tblAssessments[assessment_date],-1,tblAssessments[assessment_id],1),A82),"")</x:f>
        <x:v>13</x:v>
      </x:c>
      <x:c r="D82" s="83" t="str">
        <x:f>IFERROR(INDEX(SORTBY(tblAssessments[status],tblAssessments[department_name],1,tblAssessments[assessment_date],-1,tblAssessments[assessment_id],1),A82),"")</x:f>
        <x:v>CLOSED</x:v>
      </x:c>
      <x:c r="E82" s="83" t="n">
        <x:f>IFERROR(INDEX(SORTBY(tblAssessments[overall_risk_score],tblAssessments[department_name],1,tblAssessments[assessment_date],-1,tblAssessments[assessment_id],1),A82),"")</x:f>
        <x:v>9</x:v>
      </x:c>
      <x:c r="F82" s="83" t="str">
        <x:f>IFERROR(INDEX(SORTBY(tblAssessments[overall_risk_level],tblAssessments[department_name],1,tblAssessments[assessment_date],-1,tblAssessments[assessment_id],1),A82),"")</x:f>
        <x:v>HIGH</x:v>
      </x:c>
      <x:c r="G82" s="87" t="n">
        <x:f>IFERROR(INDEX(SORTBY(tblAssessments[assessment_date],tblAssessments[department_name],1,tblAssessments[assessment_date],-1,tblAssessments[assessment_id],1),A82),"")</x:f>
        <x:v>46145</x:v>
      </x:c>
      <x:c r="H82" s="83" t="str">
        <x:f>IFERROR(INDEX(SORTBY(tblAssessments[report_number],tblAssessments[department_name],1,tblAssessments[assessment_date],-1,tblAssessments[assessment_id],1),A82),"")</x:f>
        <x:v>RAH01-2026-059</x:v>
      </x:c>
      <x:c r="I82" s="83" t="str">
        <x:f>IF(E82="","",IF(E82&gt;=6,"Immediate corrective action",IF(E82&gt;=3,"Document improvement plan","Maintain controls")))</x:f>
        <x:v>Immediate corrective action</x:v>
      </x:c>
      <x:c r="T82" t="str">
        <x:f>IFERROR(INDEX(SORTBY(tblAssessments[assessment_id],tblAssessments[department_name],1,tblAssessments[assessment_date],-1,tblAssessments[assessment_id],1),A82),"")</x:f>
        <x:v>ASM-2026-059</x:v>
      </x:c>
    </x:row>
    <x:row r="83">
      <x:c r="A83" s="83" t="n">
        <x:v>60</x:v>
      </x:c>
      <x:c r="B83" s="85" t="str">
        <x:f>IFERROR(INDEX(SORTBY(tblAssessments[department_name],tblAssessments[department_name],1,tblAssessments[assessment_date],-1,tblAssessments[assessment_id],1),A83),"")</x:f>
        <x:v>Ward 10</x:v>
      </x:c>
      <x:c r="C83" s="83" t="n">
        <x:f>IFERROR(INDEX(SORTBY(tblAssessments[total_staff_count],tblAssessments[department_name],1,tblAssessments[assessment_date],-1,tblAssessments[assessment_id],1),A83),"")</x:f>
        <x:v>18</x:v>
      </x:c>
      <x:c r="D83" s="83" t="str">
        <x:f>IFERROR(INDEX(SORTBY(tblAssessments[status],tblAssessments[department_name],1,tblAssessments[assessment_date],-1,tblAssessments[assessment_id],1),A83),"")</x:f>
        <x:v>CLOSED</x:v>
      </x:c>
      <x:c r="E83" s="83" t="n">
        <x:f>IFERROR(INDEX(SORTBY(tblAssessments[overall_risk_score],tblAssessments[department_name],1,tblAssessments[assessment_date],-1,tblAssessments[assessment_id],1),A83),"")</x:f>
        <x:v>9</x:v>
      </x:c>
      <x:c r="F83" s="83" t="str">
        <x:f>IFERROR(INDEX(SORTBY(tblAssessments[overall_risk_level],tblAssessments[department_name],1,tblAssessments[assessment_date],-1,tblAssessments[assessment_id],1),A83),"")</x:f>
        <x:v>HIGH</x:v>
      </x:c>
      <x:c r="G83" s="87" t="n">
        <x:f>IFERROR(INDEX(SORTBY(tblAssessments[assessment_date],tblAssessments[department_name],1,tblAssessments[assessment_date],-1,tblAssessments[assessment_id],1),A83),"")</x:f>
        <x:v>46058</x:v>
      </x:c>
      <x:c r="H83" s="83" t="str">
        <x:f>IFERROR(INDEX(SORTBY(tblAssessments[report_number],tblAssessments[department_name],1,tblAssessments[assessment_date],-1,tblAssessments[assessment_id],1),A83),"")</x:f>
        <x:v>RAH01-2026-068</x:v>
      </x:c>
      <x:c r="I83" s="83" t="str">
        <x:f>IF(E83="","",IF(E83&gt;=6,"Immediate corrective action",IF(E83&gt;=3,"Document improvement plan","Maintain controls")))</x:f>
        <x:v>Immediate corrective action</x:v>
      </x:c>
      <x:c r="T83" t="str">
        <x:f>IFERROR(INDEX(SORTBY(tblAssessments[assessment_id],tblAssessments[department_name],1,tblAssessments[assessment_date],-1,tblAssessments[assessment_id],1),A83),"")</x:f>
        <x:v>ASM-2026-068</x:v>
      </x:c>
    </x:row>
    <x:row r="84">
      <x:c r="A84" s="83" t="n">
        <x:v>61</x:v>
      </x:c>
      <x:c r="B84" s="85" t="str">
        <x:f>IFERROR(INDEX(SORTBY(tblAssessments[department_name],tblAssessments[department_name],1,tblAssessments[assessment_date],-1,tblAssessments[assessment_id],1),A84),"")</x:f>
        <x:v>Ward 2</x:v>
      </x:c>
      <x:c r="C84" s="83" t="n">
        <x:f>IFERROR(INDEX(SORTBY(tblAssessments[total_staff_count],tblAssessments[department_name],1,tblAssessments[assessment_date],-1,tblAssessments[assessment_id],1),A84),"")</x:f>
        <x:v>20</x:v>
      </x:c>
      <x:c r="D84" s="83" t="str">
        <x:f>IFERROR(INDEX(SORTBY(tblAssessments[status],tblAssessments[department_name],1,tblAssessments[assessment_date],-1,tblAssessments[assessment_id],1),A84),"")</x:f>
        <x:v>RETURNED</x:v>
      </x:c>
      <x:c r="E84" s="83" t="n">
        <x:f>IFERROR(INDEX(SORTBY(tblAssessments[overall_risk_score],tblAssessments[department_name],1,tblAssessments[assessment_date],-1,tblAssessments[assessment_id],1),A84),"")</x:f>
        <x:v>9</x:v>
      </x:c>
      <x:c r="F84" s="83" t="str">
        <x:f>IFERROR(INDEX(SORTBY(tblAssessments[overall_risk_level],tblAssessments[department_name],1,tblAssessments[assessment_date],-1,tblAssessments[assessment_id],1),A84),"")</x:f>
        <x:v>HIGH</x:v>
      </x:c>
      <x:c r="G84" s="87" t="n">
        <x:f>IFERROR(INDEX(SORTBY(tblAssessments[assessment_date],tblAssessments[department_name],1,tblAssessments[assessment_date],-1,tblAssessments[assessment_id],1),A84),"")</x:f>
        <x:v>46179</x:v>
      </x:c>
      <x:c r="H84" s="83" t="str">
        <x:f>IFERROR(INDEX(SORTBY(tblAssessments[report_number],tblAssessments[department_name],1,tblAssessments[assessment_date],-1,tblAssessments[assessment_id],1),A84),"")</x:f>
        <x:v>RAH01-2026-060</x:v>
      </x:c>
      <x:c r="I84" s="83" t="str">
        <x:f>IF(E84="","",IF(E84&gt;=6,"Immediate corrective action",IF(E84&gt;=3,"Document improvement plan","Maintain controls")))</x:f>
        <x:v>Immediate corrective action</x:v>
      </x:c>
      <x:c r="T84" t="str">
        <x:f>IFERROR(INDEX(SORTBY(tblAssessments[assessment_id],tblAssessments[department_name],1,tblAssessments[assessment_date],-1,tblAssessments[assessment_id],1),A84),"")</x:f>
        <x:v>ASM-2026-060</x:v>
      </x:c>
    </x:row>
    <x:row r="85">
      <x:c r="A85" s="83" t="n">
        <x:v>62</x:v>
      </x:c>
      <x:c r="B85" s="85" t="str">
        <x:f>IFERROR(INDEX(SORTBY(tblAssessments[department_name],tblAssessments[department_name],1,tblAssessments[assessment_date],-1,tblAssessments[assessment_id],1),A85),"")</x:f>
        <x:v>Ward 3</x:v>
      </x:c>
      <x:c r="C85" s="83" t="n">
        <x:f>IFERROR(INDEX(SORTBY(tblAssessments[total_staff_count],tblAssessments[department_name],1,tblAssessments[assessment_date],-1,tblAssessments[assessment_id],1),A85),"")</x:f>
        <x:v>27</x:v>
      </x:c>
      <x:c r="D85" s="83" t="str">
        <x:f>IFERROR(INDEX(SORTBY(tblAssessments[status],tblAssessments[department_name],1,tblAssessments[assessment_date],-1,tblAssessments[assessment_id],1),A85),"")</x:f>
        <x:v>SUBMITTED</x:v>
      </x:c>
      <x:c r="E85" s="83" t="n">
        <x:f>IFERROR(INDEX(SORTBY(tblAssessments[overall_risk_score],tblAssessments[department_name],1,tblAssessments[assessment_date],-1,tblAssessments[assessment_id],1),A85),"")</x:f>
        <x:v>9</x:v>
      </x:c>
      <x:c r="F85" s="83" t="str">
        <x:f>IFERROR(INDEX(SORTBY(tblAssessments[overall_risk_level],tblAssessments[department_name],1,tblAssessments[assessment_date],-1,tblAssessments[assessment_id],1),A85),"")</x:f>
        <x:v>HIGH</x:v>
      </x:c>
      <x:c r="G85" s="87" t="n">
        <x:f>IFERROR(INDEX(SORTBY(tblAssessments[assessment_date],tblAssessments[department_name],1,tblAssessments[assessment_date],-1,tblAssessments[assessment_id],1),A85),"")</x:f>
        <x:v>46031</x:v>
      </x:c>
      <x:c r="H85" s="83" t="str">
        <x:f>IFERROR(INDEX(SORTBY(tblAssessments[report_number],tblAssessments[department_name],1,tblAssessments[assessment_date],-1,tblAssessments[assessment_id],1),A85),"")</x:f>
        <x:v>RAH01-2026-061</x:v>
      </x:c>
      <x:c r="I85" s="83" t="str">
        <x:f>IF(E85="","",IF(E85&gt;=6,"Immediate corrective action",IF(E85&gt;=3,"Document improvement plan","Maintain controls")))</x:f>
        <x:v>Immediate corrective action</x:v>
      </x:c>
      <x:c r="T85" t="str">
        <x:f>IFERROR(INDEX(SORTBY(tblAssessments[assessment_id],tblAssessments[department_name],1,tblAssessments[assessment_date],-1,tblAssessments[assessment_id],1),A85),"")</x:f>
        <x:v>ASM-2026-061</x:v>
      </x:c>
    </x:row>
    <x:row r="86">
      <x:c r="A86" s="83" t="n">
        <x:v>63</x:v>
      </x:c>
      <x:c r="B86" s="85" t="str">
        <x:f>IFERROR(INDEX(SORTBY(tblAssessments[department_name],tblAssessments[department_name],1,tblAssessments[assessment_date],-1,tblAssessments[assessment_id],1),A86),"")</x:f>
        <x:v>Ward 4</x:v>
      </x:c>
      <x:c r="C86" s="83" t="n">
        <x:f>IFERROR(INDEX(SORTBY(tblAssessments[total_staff_count],tblAssessments[department_name],1,tblAssessments[assessment_date],-1,tblAssessments[assessment_id],1),A86),"")</x:f>
        <x:v>34</x:v>
      </x:c>
      <x:c r="D86" s="83" t="str">
        <x:f>IFERROR(INDEX(SORTBY(tblAssessments[status],tblAssessments[department_name],1,tblAssessments[assessment_date],-1,tblAssessments[assessment_id],1),A86),"")</x:f>
        <x:v>IN_REVIEW</x:v>
      </x:c>
      <x:c r="E86" s="83" t="n">
        <x:f>IFERROR(INDEX(SORTBY(tblAssessments[overall_risk_score],tblAssessments[department_name],1,tblAssessments[assessment_date],-1,tblAssessments[assessment_id],1),A86),"")</x:f>
        <x:v>9</x:v>
      </x:c>
      <x:c r="F86" s="83" t="str">
        <x:f>IFERROR(INDEX(SORTBY(tblAssessments[overall_risk_level],tblAssessments[department_name],1,tblAssessments[assessment_date],-1,tblAssessments[assessment_id],1),A86),"")</x:f>
        <x:v>HIGH</x:v>
      </x:c>
      <x:c r="G86" s="87" t="n">
        <x:f>IFERROR(INDEX(SORTBY(tblAssessments[assessment_date],tblAssessments[department_name],1,tblAssessments[assessment_date],-1,tblAssessments[assessment_id],1),A86),"")</x:f>
        <x:v>46065</x:v>
      </x:c>
      <x:c r="H86" s="83" t="str">
        <x:f>IFERROR(INDEX(SORTBY(tblAssessments[report_number],tblAssessments[department_name],1,tblAssessments[assessment_date],-1,tblAssessments[assessment_id],1),A86),"")</x:f>
        <x:v>RAH01-2026-062</x:v>
      </x:c>
      <x:c r="I86" s="83" t="str">
        <x:f>IF(E86="","",IF(E86&gt;=6,"Immediate corrective action",IF(E86&gt;=3,"Document improvement plan","Maintain controls")))</x:f>
        <x:v>Immediate corrective action</x:v>
      </x:c>
      <x:c r="T86" t="str">
        <x:f>IFERROR(INDEX(SORTBY(tblAssessments[assessment_id],tblAssessments[department_name],1,tblAssessments[assessment_date],-1,tblAssessments[assessment_id],1),A86),"")</x:f>
        <x:v>ASM-2026-062</x:v>
      </x:c>
    </x:row>
    <x:row r="87">
      <x:c r="A87" s="83" t="n">
        <x:v>64</x:v>
      </x:c>
      <x:c r="B87" s="85" t="str">
        <x:f>IFERROR(INDEX(SORTBY(tblAssessments[department_name],tblAssessments[department_name],1,tblAssessments[assessment_date],-1,tblAssessments[assessment_id],1),A87),"")</x:f>
        <x:v>Ward 5</x:v>
      </x:c>
      <x:c r="C87" s="83" t="n">
        <x:f>IFERROR(INDEX(SORTBY(tblAssessments[total_staff_count],tblAssessments[department_name],1,tblAssessments[assessment_date],-1,tblAssessments[assessment_id],1),A87),"")</x:f>
        <x:v>41</x:v>
      </x:c>
      <x:c r="D87" s="83" t="str">
        <x:f>IFERROR(INDEX(SORTBY(tblAssessments[status],tblAssessments[department_name],1,tblAssessments[assessment_date],-1,tblAssessments[assessment_id],1),A87),"")</x:f>
        <x:v>CLOSED</x:v>
      </x:c>
      <x:c r="E87" s="83" t="n">
        <x:f>IFERROR(INDEX(SORTBY(tblAssessments[overall_risk_score],tblAssessments[department_name],1,tblAssessments[assessment_date],-1,tblAssessments[assessment_id],1),A87),"")</x:f>
        <x:v>4</x:v>
      </x:c>
      <x:c r="F87" s="83" t="str">
        <x:f>IFERROR(INDEX(SORTBY(tblAssessments[overall_risk_level],tblAssessments[department_name],1,tblAssessments[assessment_date],-1,tblAssessments[assessment_id],1),A87),"")</x:f>
        <x:v>MEDIUM</x:v>
      </x:c>
      <x:c r="G87" s="87" t="n">
        <x:f>IFERROR(INDEX(SORTBY(tblAssessments[assessment_date],tblAssessments[department_name],1,tblAssessments[assessment_date],-1,tblAssessments[assessment_id],1),A87),"")</x:f>
        <x:v>46096</x:v>
      </x:c>
      <x:c r="H87" s="83" t="str">
        <x:f>IFERROR(INDEX(SORTBY(tblAssessments[report_number],tblAssessments[department_name],1,tblAssessments[assessment_date],-1,tblAssessments[assessment_id],1),A87),"")</x:f>
        <x:v>RAH01-2026-063</x:v>
      </x:c>
      <x:c r="I87" s="83" t="str">
        <x:f>IF(E87="","",IF(E87&gt;=6,"Immediate corrective action",IF(E87&gt;=3,"Document improvement plan","Maintain controls")))</x:f>
        <x:v>Document improvement plan</x:v>
      </x:c>
      <x:c r="T87" t="str">
        <x:f>IFERROR(INDEX(SORTBY(tblAssessments[assessment_id],tblAssessments[department_name],1,tblAssessments[assessment_date],-1,tblAssessments[assessment_id],1),A87),"")</x:f>
        <x:v>ASM-2026-063</x:v>
      </x:c>
    </x:row>
    <x:row r="88">
      <x:c r="A88" s="83" t="n">
        <x:v>65</x:v>
      </x:c>
      <x:c r="B88" s="85" t="str">
        <x:f>IFERROR(INDEX(SORTBY(tblAssessments[department_name],tblAssessments[department_name],1,tblAssessments[assessment_date],-1,tblAssessments[assessment_id],1),A88),"")</x:f>
        <x:v>Ward 6</x:v>
      </x:c>
      <x:c r="C88" s="83" t="n">
        <x:f>IFERROR(INDEX(SORTBY(tblAssessments[total_staff_count],tblAssessments[department_name],1,tblAssessments[assessment_date],-1,tblAssessments[assessment_id],1),A88),"")</x:f>
        <x:v>48</x:v>
      </x:c>
      <x:c r="D88" s="83" t="str">
        <x:f>IFERROR(INDEX(SORTBY(tblAssessments[status],tblAssessments[department_name],1,tblAssessments[assessment_date],-1,tblAssessments[assessment_id],1),A88),"")</x:f>
        <x:v>CLOSED</x:v>
      </x:c>
      <x:c r="E88" s="83" t="n">
        <x:f>IFERROR(INDEX(SORTBY(tblAssessments[overall_risk_score],tblAssessments[department_name],1,tblAssessments[assessment_date],-1,tblAssessments[assessment_id],1),A88),"")</x:f>
        <x:v>9</x:v>
      </x:c>
      <x:c r="F88" s="83" t="str">
        <x:f>IFERROR(INDEX(SORTBY(tblAssessments[overall_risk_level],tblAssessments[department_name],1,tblAssessments[assessment_date],-1,tblAssessments[assessment_id],1),A88),"")</x:f>
        <x:v>HIGH</x:v>
      </x:c>
      <x:c r="G88" s="87" t="n">
        <x:f>IFERROR(INDEX(SORTBY(tblAssessments[assessment_date],tblAssessments[department_name],1,tblAssessments[assessment_date],-1,tblAssessments[assessment_id],1),A88),"")</x:f>
        <x:v>46130</x:v>
      </x:c>
      <x:c r="H88" s="83" t="str">
        <x:f>IFERROR(INDEX(SORTBY(tblAssessments[report_number],tblAssessments[department_name],1,tblAssessments[assessment_date],-1,tblAssessments[assessment_id],1),A88),"")</x:f>
        <x:v>RAH01-2026-064</x:v>
      </x:c>
      <x:c r="I88" s="83" t="str">
        <x:f>IF(E88="","",IF(E88&gt;=6,"Immediate corrective action",IF(E88&gt;=3,"Document improvement plan","Maintain controls")))</x:f>
        <x:v>Immediate corrective action</x:v>
      </x:c>
      <x:c r="T88" t="str">
        <x:f>IFERROR(INDEX(SORTBY(tblAssessments[assessment_id],tblAssessments[department_name],1,tblAssessments[assessment_date],-1,tblAssessments[assessment_id],1),A88),"")</x:f>
        <x:v>ASM-2026-064</x:v>
      </x:c>
    </x:row>
    <x:row r="89">
      <x:c r="A89" s="83" t="n">
        <x:v>66</x:v>
      </x:c>
      <x:c r="B89" s="85" t="str">
        <x:f>IFERROR(INDEX(SORTBY(tblAssessments[department_name],tblAssessments[department_name],1,tblAssessments[assessment_date],-1,tblAssessments[assessment_id],1),A89),"")</x:f>
        <x:v>Ward 7</x:v>
      </x:c>
      <x:c r="C89" s="83" t="n">
        <x:f>IFERROR(INDEX(SORTBY(tblAssessments[total_staff_count],tblAssessments[department_name],1,tblAssessments[assessment_date],-1,tblAssessments[assessment_id],1),A89),"")</x:f>
        <x:v>55</x:v>
      </x:c>
      <x:c r="D89" s="83" t="str">
        <x:f>IFERROR(INDEX(SORTBY(tblAssessments[status],tblAssessments[department_name],1,tblAssessments[assessment_date],-1,tblAssessments[assessment_id],1),A89),"")</x:f>
        <x:v>RETURNED</x:v>
      </x:c>
      <x:c r="E89" s="83" t="n">
        <x:f>IFERROR(INDEX(SORTBY(tblAssessments[overall_risk_score],tblAssessments[department_name],1,tblAssessments[assessment_date],-1,tblAssessments[assessment_id],1),A89),"")</x:f>
        <x:v>9</x:v>
      </x:c>
      <x:c r="F89" s="83" t="str">
        <x:f>IFERROR(INDEX(SORTBY(tblAssessments[overall_risk_level],tblAssessments[department_name],1,tblAssessments[assessment_date],-1,tblAssessments[assessment_id],1),A89),"")</x:f>
        <x:v>HIGH</x:v>
      </x:c>
      <x:c r="G89" s="87" t="n">
        <x:f>IFERROR(INDEX(SORTBY(tblAssessments[assessment_date],tblAssessments[department_name],1,tblAssessments[assessment_date],-1,tblAssessments[assessment_id],1),A89),"")</x:f>
        <x:v>46163</x:v>
      </x:c>
      <x:c r="H89" s="83" t="str">
        <x:f>IFERROR(INDEX(SORTBY(tblAssessments[report_number],tblAssessments[department_name],1,tblAssessments[assessment_date],-1,tblAssessments[assessment_id],1),A89),"")</x:f>
        <x:v>RAH01-2026-065</x:v>
      </x:c>
      <x:c r="I89" s="83" t="str">
        <x:f>IF(E89="","",IF(E89&gt;=6,"Immediate corrective action",IF(E89&gt;=3,"Document improvement plan","Maintain controls")))</x:f>
        <x:v>Immediate corrective action</x:v>
      </x:c>
      <x:c r="T89" t="str">
        <x:f>IFERROR(INDEX(SORTBY(tblAssessments[assessment_id],tblAssessments[department_name],1,tblAssessments[assessment_date],-1,tblAssessments[assessment_id],1),A89),"")</x:f>
        <x:v>ASM-2026-065</x:v>
      </x:c>
    </x:row>
    <x:row r="90">
      <x:c r="A90" s="83" t="n">
        <x:v>67</x:v>
      </x:c>
      <x:c r="B90" s="85" t="str">
        <x:f>IFERROR(INDEX(SORTBY(tblAssessments[department_name],tblAssessments[department_name],1,tblAssessments[assessment_date],-1,tblAssessments[assessment_id],1),A90),"")</x:f>
        <x:v>Ward 8</x:v>
      </x:c>
      <x:c r="C90" s="83" t="n">
        <x:f>IFERROR(INDEX(SORTBY(tblAssessments[total_staff_count],tblAssessments[department_name],1,tblAssessments[assessment_date],-1,tblAssessments[assessment_id],1),A90),"")</x:f>
        <x:v>62</x:v>
      </x:c>
      <x:c r="D90" s="83" t="str">
        <x:f>IFERROR(INDEX(SORTBY(tblAssessments[status],tblAssessments[department_name],1,tblAssessments[assessment_date],-1,tblAssessments[assessment_id],1),A90),"")</x:f>
        <x:v>SUBMITTED</x:v>
      </x:c>
      <x:c r="E90" s="83" t="n">
        <x:f>IFERROR(INDEX(SORTBY(tblAssessments[overall_risk_score],tblAssessments[department_name],1,tblAssessments[assessment_date],-1,tblAssessments[assessment_id],1),A90),"")</x:f>
        <x:v>9</x:v>
      </x:c>
      <x:c r="F90" s="83" t="str">
        <x:f>IFERROR(INDEX(SORTBY(tblAssessments[overall_risk_level],tblAssessments[department_name],1,tblAssessments[assessment_date],-1,tblAssessments[assessment_id],1),A90),"")</x:f>
        <x:v>HIGH</x:v>
      </x:c>
      <x:c r="G90" s="87" t="n">
        <x:f>IFERROR(INDEX(SORTBY(tblAssessments[assessment_date],tblAssessments[department_name],1,tblAssessments[assessment_date],-1,tblAssessments[assessment_id],1),A90),"")</x:f>
        <x:v>46197</x:v>
      </x:c>
      <x:c r="H90" s="83" t="str">
        <x:f>IFERROR(INDEX(SORTBY(tblAssessments[report_number],tblAssessments[department_name],1,tblAssessments[assessment_date],-1,tblAssessments[assessment_id],1),A90),"")</x:f>
        <x:v>RAH01-2026-066</x:v>
      </x:c>
      <x:c r="I90" s="83" t="str">
        <x:f>IF(E90="","",IF(E90&gt;=6,"Immediate corrective action",IF(E90&gt;=3,"Document improvement plan","Maintain controls")))</x:f>
        <x:v>Immediate corrective action</x:v>
      </x:c>
      <x:c r="T90" t="str">
        <x:f>IFERROR(INDEX(SORTBY(tblAssessments[assessment_id],tblAssessments[department_name],1,tblAssessments[assessment_date],-1,tblAssessments[assessment_id],1),A90),"")</x:f>
        <x:v>ASM-2026-066</x:v>
      </x:c>
    </x:row>
    <x:row r="91">
      <x:c r="A91" s="83" t="n">
        <x:v>68</x:v>
      </x:c>
      <x:c r="B91" s="85" t="str">
        <x:f>IFERROR(INDEX(SORTBY(tblAssessments[department_name],tblAssessments[department_name],1,tblAssessments[assessment_date],-1,tblAssessments[assessment_id],1),A91),"")</x:f>
        <x:v>Ward 9</x:v>
      </x:c>
      <x:c r="C91" s="83" t="n">
        <x:f>IFERROR(INDEX(SORTBY(tblAssessments[total_staff_count],tblAssessments[department_name],1,tblAssessments[assessment_date],-1,tblAssessments[assessment_id],1),A91),"")</x:f>
        <x:v>11</x:v>
      </x:c>
      <x:c r="D91" s="83" t="str">
        <x:f>IFERROR(INDEX(SORTBY(tblAssessments[status],tblAssessments[department_name],1,tblAssessments[assessment_date],-1,tblAssessments[assessment_id],1),A91),"")</x:f>
        <x:v>IN_REVIEW</x:v>
      </x:c>
      <x:c r="E91" s="83" t="n">
        <x:f>IFERROR(INDEX(SORTBY(tblAssessments[overall_risk_score],tblAssessments[department_name],1,tblAssessments[assessment_date],-1,tblAssessments[assessment_id],1),A91),"")</x:f>
        <x:v>9</x:v>
      </x:c>
      <x:c r="F91" s="83" t="str">
        <x:f>IFERROR(INDEX(SORTBY(tblAssessments[overall_risk_level],tblAssessments[department_name],1,tblAssessments[assessment_date],-1,tblAssessments[assessment_id],1),A91),"")</x:f>
        <x:v>HIGH</x:v>
      </x:c>
      <x:c r="G91" s="87" t="n">
        <x:f>IFERROR(INDEX(SORTBY(tblAssessments[assessment_date],tblAssessments[department_name],1,tblAssessments[assessment_date],-1,tblAssessments[assessment_id],1),A91),"")</x:f>
        <x:v>46024</x:v>
      </x:c>
      <x:c r="H91" s="83" t="str">
        <x:f>IFERROR(INDEX(SORTBY(tblAssessments[report_number],tblAssessments[department_name],1,tblAssessments[assessment_date],-1,tblAssessments[assessment_id],1),A91),"")</x:f>
        <x:v>RAH01-2026-067</x:v>
      </x:c>
      <x:c r="I91" s="83" t="str">
        <x:f>IF(E91="","",IF(E91&gt;=6,"Immediate corrective action",IF(E91&gt;=3,"Document improvement plan","Maintain controls")))</x:f>
        <x:v>Immediate corrective action</x:v>
      </x:c>
      <x:c r="T91" t="str">
        <x:f>IFERROR(INDEX(SORTBY(tblAssessments[assessment_id],tblAssessments[department_name],1,tblAssessments[assessment_date],-1,tblAssessments[assessment_id],1),A91),"")</x:f>
        <x:v>ASM-2026-067</x:v>
      </x:c>
    </x:row>
    <x:row r="92">
      <x:c r="A92" s="83" t="n">
        <x:v>69</x:v>
      </x:c>
      <x:c r="B92" s="85" t="str">
        <x:f>IFERROR(INDEX(SORTBY(tblAssessments[department_name],tblAssessments[department_name],1,tblAssessments[assessment_date],-1,tblAssessments[assessment_id],1),A92),"")</x:f>
        <x:v>Women’s Health</x:v>
      </x:c>
      <x:c r="C92" s="83" t="n">
        <x:f>IFERROR(INDEX(SORTBY(tblAssessments[total_staff_count],tblAssessments[department_name],1,tblAssessments[assessment_date],-1,tblAssessments[assessment_id],1),A92),"")</x:f>
        <x:v>25</x:v>
      </x:c>
      <x:c r="D92" s="83" t="str">
        <x:f>IFERROR(INDEX(SORTBY(tblAssessments[status],tblAssessments[department_name],1,tblAssessments[assessment_date],-1,tblAssessments[assessment_id],1),A92),"")</x:f>
        <x:v>CLOSED</x:v>
      </x:c>
      <x:c r="E92" s="83" t="n">
        <x:f>IFERROR(INDEX(SORTBY(tblAssessments[overall_risk_score],tblAssessments[department_name],1,tblAssessments[assessment_date],-1,tblAssessments[assessment_id],1),A92),"")</x:f>
        <x:v>4</x:v>
      </x:c>
      <x:c r="F92" s="83" t="str">
        <x:f>IFERROR(INDEX(SORTBY(tblAssessments[overall_risk_level],tblAssessments[department_name],1,tblAssessments[assessment_date],-1,tblAssessments[assessment_id],1),A92),"")</x:f>
        <x:v>MEDIUM</x:v>
      </x:c>
      <x:c r="G92" s="87" t="n">
        <x:f>IFERROR(INDEX(SORTBY(tblAssessments[assessment_date],tblAssessments[department_name],1,tblAssessments[assessment_date],-1,tblAssessments[assessment_id],1),A92),"")</x:f>
        <x:v>46089</x:v>
      </x:c>
      <x:c r="H92" s="83" t="str">
        <x:f>IFERROR(INDEX(SORTBY(tblAssessments[report_number],tblAssessments[department_name],1,tblAssessments[assessment_date],-1,tblAssessments[assessment_id],1),A92),"")</x:f>
        <x:v>RAH01-2026-069</x:v>
      </x:c>
      <x:c r="I92" s="83" t="str">
        <x:f>IF(E92="","",IF(E92&gt;=6,"Immediate corrective action",IF(E92&gt;=3,"Document improvement plan","Maintain controls")))</x:f>
        <x:v>Document improvement plan</x:v>
      </x:c>
      <x:c r="T92" t="str">
        <x:f>IFERROR(INDEX(SORTBY(tblAssessments[assessment_id],tblAssessments[department_name],1,tblAssessments[assessment_date],-1,tblAssessments[assessment_id],1),A92),"")</x:f>
        <x:v>ASM-2026-069</x:v>
      </x:c>
    </x:row>
    <x:row r="93">
      <x:c r="A93" s="83" t="n">
        <x:v>70</x:v>
      </x:c>
      <x:c r="B93" s="85" t="str">
        <x:f>IFERROR(INDEX(SORTBY(tblAssessments[department_name],tblAssessments[department_name],1,tblAssessments[assessment_date],-1,tblAssessments[assessment_id],1),A93),"")</x:f>
        <x:v>Workplace Safety</x:v>
      </x:c>
      <x:c r="C93" s="83" t="n">
        <x:f>IFERROR(INDEX(SORTBY(tblAssessments[total_staff_count],tblAssessments[department_name],1,tblAssessments[assessment_date],-1,tblAssessments[assessment_id],1),A93),"")</x:f>
        <x:v>32</x:v>
      </x:c>
      <x:c r="D93" s="83" t="str">
        <x:f>IFERROR(INDEX(SORTBY(tblAssessments[status],tblAssessments[department_name],1,tblAssessments[assessment_date],-1,tblAssessments[assessment_id],1),A93),"")</x:f>
        <x:v>RETURNED</x:v>
      </x:c>
      <x:c r="E93" s="83" t="n">
        <x:f>IFERROR(INDEX(SORTBY(tblAssessments[overall_risk_score],tblAssessments[department_name],1,tblAssessments[assessment_date],-1,tblAssessments[assessment_id],1),A93),"")</x:f>
        <x:v>4</x:v>
      </x:c>
      <x:c r="F93" s="83" t="str">
        <x:f>IFERROR(INDEX(SORTBY(tblAssessments[overall_risk_level],tblAssessments[department_name],1,tblAssessments[assessment_date],-1,tblAssessments[assessment_id],1),A93),"")</x:f>
        <x:v>MEDIUM</x:v>
      </x:c>
      <x:c r="G93" s="87" t="n">
        <x:f>IFERROR(INDEX(SORTBY(tblAssessments[assessment_date],tblAssessments[department_name],1,tblAssessments[assessment_date],-1,tblAssessments[assessment_id],1),A93),"")</x:f>
        <x:v>46123</x:v>
      </x:c>
      <x:c r="H93" s="83" t="str">
        <x:f>IFERROR(INDEX(SORTBY(tblAssessments[report_number],tblAssessments[department_name],1,tblAssessments[assessment_date],-1,tblAssessments[assessment_id],1),A93),"")</x:f>
        <x:v>RAH01-2026-070</x:v>
      </x:c>
      <x:c r="I93" s="83" t="str">
        <x:f>IF(E93="","",IF(E93&gt;=6,"Immediate corrective action",IF(E93&gt;=3,"Document improvement plan","Maintain controls")))</x:f>
        <x:v>Document improvement plan</x:v>
      </x:c>
      <x:c r="T93" t="str">
        <x:f>IFERROR(INDEX(SORTBY(tblAssessments[assessment_id],tblAssessments[department_name],1,tblAssessments[assessment_date],-1,tblAssessments[assessment_id],1),A93),"")</x:f>
        <x:v>ASM-2026-070</x:v>
      </x:c>
    </x:row>
    <x:row r="94">
      <x:c r="A94" s="83" t="n">
        <x:v>71</x:v>
      </x:c>
      <x:c r="B94" s="85" t="str">
        <x:f>IFERROR(INDEX(SORTBY(tblAssessments[department_name],tblAssessments[department_name],1,tblAssessments[assessment_date],-1,tblAssessments[assessment_id],1),A94),"")</x:f>
      </x:c>
      <x:c r="C94" s="83" t="str">
        <x:f>IFERROR(INDEX(SORTBY(tblAssessments[total_staff_count],tblAssessments[department_name],1,tblAssessments[assessment_date],-1,tblAssessments[assessment_id],1),A94),"")</x:f>
      </x:c>
      <x:c r="D94" s="83" t="str">
        <x:f>IFERROR(INDEX(SORTBY(tblAssessments[status],tblAssessments[department_name],1,tblAssessments[assessment_date],-1,tblAssessments[assessment_id],1),A94),"")</x:f>
      </x:c>
      <x:c r="E94" s="83" t="str">
        <x:f>IFERROR(INDEX(SORTBY(tblAssessments[overall_risk_score],tblAssessments[department_name],1,tblAssessments[assessment_date],-1,tblAssessments[assessment_id],1),A94),"")</x:f>
      </x:c>
      <x:c r="F94" s="83" t="str">
        <x:f>IFERROR(INDEX(SORTBY(tblAssessments[overall_risk_level],tblAssessments[department_name],1,tblAssessments[assessment_date],-1,tblAssessments[assessment_id],1),A94),"")</x:f>
      </x:c>
      <x:c r="G94" s="87" t="str">
        <x:f>IFERROR(INDEX(SORTBY(tblAssessments[assessment_date],tblAssessments[department_name],1,tblAssessments[assessment_date],-1,tblAssessments[assessment_id],1),A94),"")</x:f>
      </x:c>
      <x:c r="H94" s="83" t="str">
        <x:f>IFERROR(INDEX(SORTBY(tblAssessments[report_number],tblAssessments[department_name],1,tblAssessments[assessment_date],-1,tblAssessments[assessment_id],1),A94),"")</x:f>
      </x:c>
      <x:c r="I94" s="83" t="str">
        <x:f>IF(E94="","",IF(E94&gt;=6,"Immediate corrective action",IF(E94&gt;=3,"Document improvement plan","Maintain controls")))</x:f>
      </x:c>
      <x:c r="T94" t="str">
        <x:f>IFERROR(INDEX(SORTBY(tblAssessments[assessment_id],tblAssessments[department_name],1,tblAssessments[assessment_date],-1,tblAssessments[assessment_id],1),A94),"")</x:f>
      </x:c>
    </x:row>
    <x:row r="95">
      <x:c r="A95" s="83" t="n">
        <x:v>72</x:v>
      </x:c>
      <x:c r="B95" s="85" t="str">
        <x:f>IFERROR(INDEX(SORTBY(tblAssessments[department_name],tblAssessments[department_name],1,tblAssessments[assessment_date],-1,tblAssessments[assessment_id],1),A95),"")</x:f>
      </x:c>
      <x:c r="C95" s="83" t="str">
        <x:f>IFERROR(INDEX(SORTBY(tblAssessments[total_staff_count],tblAssessments[department_name],1,tblAssessments[assessment_date],-1,tblAssessments[assessment_id],1),A95),"")</x:f>
      </x:c>
      <x:c r="D95" s="83" t="str">
        <x:f>IFERROR(INDEX(SORTBY(tblAssessments[status],tblAssessments[department_name],1,tblAssessments[assessment_date],-1,tblAssessments[assessment_id],1),A95),"")</x:f>
      </x:c>
      <x:c r="E95" s="83" t="str">
        <x:f>IFERROR(INDEX(SORTBY(tblAssessments[overall_risk_score],tblAssessments[department_name],1,tblAssessments[assessment_date],-1,tblAssessments[assessment_id],1),A95),"")</x:f>
      </x:c>
      <x:c r="F95" s="83" t="str">
        <x:f>IFERROR(INDEX(SORTBY(tblAssessments[overall_risk_level],tblAssessments[department_name],1,tblAssessments[assessment_date],-1,tblAssessments[assessment_id],1),A95),"")</x:f>
      </x:c>
      <x:c r="G95" s="87" t="str">
        <x:f>IFERROR(INDEX(SORTBY(tblAssessments[assessment_date],tblAssessments[department_name],1,tblAssessments[assessment_date],-1,tblAssessments[assessment_id],1),A95),"")</x:f>
      </x:c>
      <x:c r="H95" s="83" t="str">
        <x:f>IFERROR(INDEX(SORTBY(tblAssessments[report_number],tblAssessments[department_name],1,tblAssessments[assessment_date],-1,tblAssessments[assessment_id],1),A95),"")</x:f>
      </x:c>
      <x:c r="I95" s="83" t="str">
        <x:f>IF(E95="","",IF(E95&gt;=6,"Immediate corrective action",IF(E95&gt;=3,"Document improvement plan","Maintain controls")))</x:f>
      </x:c>
      <x:c r="T95" t="str">
        <x:f>IFERROR(INDEX(SORTBY(tblAssessments[assessment_id],tblAssessments[department_name],1,tblAssessments[assessment_date],-1,tblAssessments[assessment_id],1),A95),"")</x:f>
      </x:c>
    </x:row>
    <x:row r="96">
      <x:c r="A96" s="83" t="n">
        <x:v>73</x:v>
      </x:c>
      <x:c r="B96" s="85" t="str">
        <x:f>IFERROR(INDEX(SORTBY(tblAssessments[department_name],tblAssessments[department_name],1,tblAssessments[assessment_date],-1,tblAssessments[assessment_id],1),A96),"")</x:f>
      </x:c>
      <x:c r="C96" s="83" t="str">
        <x:f>IFERROR(INDEX(SORTBY(tblAssessments[total_staff_count],tblAssessments[department_name],1,tblAssessments[assessment_date],-1,tblAssessments[assessment_id],1),A96),"")</x:f>
      </x:c>
      <x:c r="D96" s="83" t="str">
        <x:f>IFERROR(INDEX(SORTBY(tblAssessments[status],tblAssessments[department_name],1,tblAssessments[assessment_date],-1,tblAssessments[assessment_id],1),A96),"")</x:f>
      </x:c>
      <x:c r="E96" s="83" t="str">
        <x:f>IFERROR(INDEX(SORTBY(tblAssessments[overall_risk_score],tblAssessments[department_name],1,tblAssessments[assessment_date],-1,tblAssessments[assessment_id],1),A96),"")</x:f>
      </x:c>
      <x:c r="F96" s="83" t="str">
        <x:f>IFERROR(INDEX(SORTBY(tblAssessments[overall_risk_level],tblAssessments[department_name],1,tblAssessments[assessment_date],-1,tblAssessments[assessment_id],1),A96),"")</x:f>
      </x:c>
      <x:c r="G96" s="87" t="str">
        <x:f>IFERROR(INDEX(SORTBY(tblAssessments[assessment_date],tblAssessments[department_name],1,tblAssessments[assessment_date],-1,tblAssessments[assessment_id],1),A96),"")</x:f>
      </x:c>
      <x:c r="H96" s="83" t="str">
        <x:f>IFERROR(INDEX(SORTBY(tblAssessments[report_number],tblAssessments[department_name],1,tblAssessments[assessment_date],-1,tblAssessments[assessment_id],1),A96),"")</x:f>
      </x:c>
      <x:c r="I96" s="83" t="str">
        <x:f>IF(E96="","",IF(E96&gt;=6,"Immediate corrective action",IF(E96&gt;=3,"Document improvement plan","Maintain controls")))</x:f>
      </x:c>
      <x:c r="T96" t="str">
        <x:f>IFERROR(INDEX(SORTBY(tblAssessments[assessment_id],tblAssessments[department_name],1,tblAssessments[assessment_date],-1,tblAssessments[assessment_id],1),A96),"")</x:f>
      </x:c>
    </x:row>
    <x:row r="97">
      <x:c r="A97" s="83" t="n">
        <x:v>74</x:v>
      </x:c>
      <x:c r="B97" s="85" t="str">
        <x:f>IFERROR(INDEX(SORTBY(tblAssessments[department_name],tblAssessments[department_name],1,tblAssessments[assessment_date],-1,tblAssessments[assessment_id],1),A97),"")</x:f>
      </x:c>
      <x:c r="C97" s="83" t="str">
        <x:f>IFERROR(INDEX(SORTBY(tblAssessments[total_staff_count],tblAssessments[department_name],1,tblAssessments[assessment_date],-1,tblAssessments[assessment_id],1),A97),"")</x:f>
      </x:c>
      <x:c r="D97" s="83" t="str">
        <x:f>IFERROR(INDEX(SORTBY(tblAssessments[status],tblAssessments[department_name],1,tblAssessments[assessment_date],-1,tblAssessments[assessment_id],1),A97),"")</x:f>
      </x:c>
      <x:c r="E97" s="83" t="str">
        <x:f>IFERROR(INDEX(SORTBY(tblAssessments[overall_risk_score],tblAssessments[department_name],1,tblAssessments[assessment_date],-1,tblAssessments[assessment_id],1),A97),"")</x:f>
      </x:c>
      <x:c r="F97" s="83" t="str">
        <x:f>IFERROR(INDEX(SORTBY(tblAssessments[overall_risk_level],tblAssessments[department_name],1,tblAssessments[assessment_date],-1,tblAssessments[assessment_id],1),A97),"")</x:f>
      </x:c>
      <x:c r="G97" s="87" t="str">
        <x:f>IFERROR(INDEX(SORTBY(tblAssessments[assessment_date],tblAssessments[department_name],1,tblAssessments[assessment_date],-1,tblAssessments[assessment_id],1),A97),"")</x:f>
      </x:c>
      <x:c r="H97" s="83" t="str">
        <x:f>IFERROR(INDEX(SORTBY(tblAssessments[report_number],tblAssessments[department_name],1,tblAssessments[assessment_date],-1,tblAssessments[assessment_id],1),A97),"")</x:f>
      </x:c>
      <x:c r="I97" s="83" t="str">
        <x:f>IF(E97="","",IF(E97&gt;=6,"Immediate corrective action",IF(E97&gt;=3,"Document improvement plan","Maintain controls")))</x:f>
      </x:c>
      <x:c r="T97" t="str">
        <x:f>IFERROR(INDEX(SORTBY(tblAssessments[assessment_id],tblAssessments[department_name],1,tblAssessments[assessment_date],-1,tblAssessments[assessment_id],1),A97),"")</x:f>
      </x:c>
    </x:row>
    <x:row r="98">
      <x:c r="A98" s="83" t="n">
        <x:v>75</x:v>
      </x:c>
      <x:c r="B98" s="85" t="str">
        <x:f>IFERROR(INDEX(SORTBY(tblAssessments[department_name],tblAssessments[department_name],1,tblAssessments[assessment_date],-1,tblAssessments[assessment_id],1),A98),"")</x:f>
      </x:c>
      <x:c r="C98" s="83" t="str">
        <x:f>IFERROR(INDEX(SORTBY(tblAssessments[total_staff_count],tblAssessments[department_name],1,tblAssessments[assessment_date],-1,tblAssessments[assessment_id],1),A98),"")</x:f>
      </x:c>
      <x:c r="D98" s="83" t="str">
        <x:f>IFERROR(INDEX(SORTBY(tblAssessments[status],tblAssessments[department_name],1,tblAssessments[assessment_date],-1,tblAssessments[assessment_id],1),A98),"")</x:f>
      </x:c>
      <x:c r="E98" s="83" t="str">
        <x:f>IFERROR(INDEX(SORTBY(tblAssessments[overall_risk_score],tblAssessments[department_name],1,tblAssessments[assessment_date],-1,tblAssessments[assessment_id],1),A98),"")</x:f>
      </x:c>
      <x:c r="F98" s="83" t="str">
        <x:f>IFERROR(INDEX(SORTBY(tblAssessments[overall_risk_level],tblAssessments[department_name],1,tblAssessments[assessment_date],-1,tblAssessments[assessment_id],1),A98),"")</x:f>
      </x:c>
      <x:c r="G98" s="87" t="str">
        <x:f>IFERROR(INDEX(SORTBY(tblAssessments[assessment_date],tblAssessments[department_name],1,tblAssessments[assessment_date],-1,tblAssessments[assessment_id],1),A98),"")</x:f>
      </x:c>
      <x:c r="H98" s="83" t="str">
        <x:f>IFERROR(INDEX(SORTBY(tblAssessments[report_number],tblAssessments[department_name],1,tblAssessments[assessment_date],-1,tblAssessments[assessment_id],1),A98),"")</x:f>
      </x:c>
      <x:c r="I98" s="83" t="str">
        <x:f>IF(E98="","",IF(E98&gt;=6,"Immediate corrective action",IF(E98&gt;=3,"Document improvement plan","Maintain controls")))</x:f>
      </x:c>
      <x:c r="T98" t="str">
        <x:f>IFERROR(INDEX(SORTBY(tblAssessments[assessment_id],tblAssessments[department_name],1,tblAssessments[assessment_date],-1,tblAssessments[assessment_id],1),A98),"")</x:f>
      </x:c>
    </x:row>
    <x:row r="99">
      <x:c r="A99" s="83" t="n">
        <x:v>76</x:v>
      </x:c>
      <x:c r="B99" s="85" t="str">
        <x:f>IFERROR(INDEX(SORTBY(tblAssessments[department_name],tblAssessments[department_name],1,tblAssessments[assessment_date],-1,tblAssessments[assessment_id],1),A99),"")</x:f>
      </x:c>
      <x:c r="C99" s="83" t="str">
        <x:f>IFERROR(INDEX(SORTBY(tblAssessments[total_staff_count],tblAssessments[department_name],1,tblAssessments[assessment_date],-1,tblAssessments[assessment_id],1),A99),"")</x:f>
      </x:c>
      <x:c r="D99" s="83" t="str">
        <x:f>IFERROR(INDEX(SORTBY(tblAssessments[status],tblAssessments[department_name],1,tblAssessments[assessment_date],-1,tblAssessments[assessment_id],1),A99),"")</x:f>
      </x:c>
      <x:c r="E99" s="83" t="str">
        <x:f>IFERROR(INDEX(SORTBY(tblAssessments[overall_risk_score],tblAssessments[department_name],1,tblAssessments[assessment_date],-1,tblAssessments[assessment_id],1),A99),"")</x:f>
      </x:c>
      <x:c r="F99" s="83" t="str">
        <x:f>IFERROR(INDEX(SORTBY(tblAssessments[overall_risk_level],tblAssessments[department_name],1,tblAssessments[assessment_date],-1,tblAssessments[assessment_id],1),A99),"")</x:f>
      </x:c>
      <x:c r="G99" s="87" t="str">
        <x:f>IFERROR(INDEX(SORTBY(tblAssessments[assessment_date],tblAssessments[department_name],1,tblAssessments[assessment_date],-1,tblAssessments[assessment_id],1),A99),"")</x:f>
      </x:c>
      <x:c r="H99" s="83" t="str">
        <x:f>IFERROR(INDEX(SORTBY(tblAssessments[report_number],tblAssessments[department_name],1,tblAssessments[assessment_date],-1,tblAssessments[assessment_id],1),A99),"")</x:f>
      </x:c>
      <x:c r="I99" s="83" t="str">
        <x:f>IF(E99="","",IF(E99&gt;=6,"Immediate corrective action",IF(E99&gt;=3,"Document improvement plan","Maintain controls")))</x:f>
      </x:c>
      <x:c r="T99" t="str">
        <x:f>IFERROR(INDEX(SORTBY(tblAssessments[assessment_id],tblAssessments[department_name],1,tblAssessments[assessment_date],-1,tblAssessments[assessment_id],1),A99),"")</x:f>
      </x:c>
    </x:row>
    <x:row r="100">
      <x:c r="A100" s="83" t="n">
        <x:v>77</x:v>
      </x:c>
      <x:c r="B100" s="85" t="str">
        <x:f>IFERROR(INDEX(SORTBY(tblAssessments[department_name],tblAssessments[department_name],1,tblAssessments[assessment_date],-1,tblAssessments[assessment_id],1),A100),"")</x:f>
      </x:c>
      <x:c r="C100" s="83" t="str">
        <x:f>IFERROR(INDEX(SORTBY(tblAssessments[total_staff_count],tblAssessments[department_name],1,tblAssessments[assessment_date],-1,tblAssessments[assessment_id],1),A100),"")</x:f>
      </x:c>
      <x:c r="D100" s="83" t="str">
        <x:f>IFERROR(INDEX(SORTBY(tblAssessments[status],tblAssessments[department_name],1,tblAssessments[assessment_date],-1,tblAssessments[assessment_id],1),A100),"")</x:f>
      </x:c>
      <x:c r="E100" s="83" t="str">
        <x:f>IFERROR(INDEX(SORTBY(tblAssessments[overall_risk_score],tblAssessments[department_name],1,tblAssessments[assessment_date],-1,tblAssessments[assessment_id],1),A100),"")</x:f>
      </x:c>
      <x:c r="F100" s="83" t="str">
        <x:f>IFERROR(INDEX(SORTBY(tblAssessments[overall_risk_level],tblAssessments[department_name],1,tblAssessments[assessment_date],-1,tblAssessments[assessment_id],1),A100),"")</x:f>
      </x:c>
      <x:c r="G100" s="87" t="str">
        <x:f>IFERROR(INDEX(SORTBY(tblAssessments[assessment_date],tblAssessments[department_name],1,tblAssessments[assessment_date],-1,tblAssessments[assessment_id],1),A100),"")</x:f>
      </x:c>
      <x:c r="H100" s="83" t="str">
        <x:f>IFERROR(INDEX(SORTBY(tblAssessments[report_number],tblAssessments[department_name],1,tblAssessments[assessment_date],-1,tblAssessments[assessment_id],1),A100),"")</x:f>
      </x:c>
      <x:c r="I100" s="83" t="str">
        <x:f>IF(E100="","",IF(E100&gt;=6,"Immediate corrective action",IF(E100&gt;=3,"Document improvement plan","Maintain controls")))</x:f>
      </x:c>
      <x:c r="T100" t="str">
        <x:f>IFERROR(INDEX(SORTBY(tblAssessments[assessment_id],tblAssessments[department_name],1,tblAssessments[assessment_date],-1,tblAssessments[assessment_id],1),A100),"")</x:f>
      </x:c>
    </x:row>
    <x:row r="101">
      <x:c r="A101" s="83" t="n">
        <x:v>78</x:v>
      </x:c>
      <x:c r="B101" s="85" t="str">
        <x:f>IFERROR(INDEX(SORTBY(tblAssessments[department_name],tblAssessments[department_name],1,tblAssessments[assessment_date],-1,tblAssessments[assessment_id],1),A101),"")</x:f>
      </x:c>
      <x:c r="C101" s="83" t="str">
        <x:f>IFERROR(INDEX(SORTBY(tblAssessments[total_staff_count],tblAssessments[department_name],1,tblAssessments[assessment_date],-1,tblAssessments[assessment_id],1),A101),"")</x:f>
      </x:c>
      <x:c r="D101" s="83" t="str">
        <x:f>IFERROR(INDEX(SORTBY(tblAssessments[status],tblAssessments[department_name],1,tblAssessments[assessment_date],-1,tblAssessments[assessment_id],1),A101),"")</x:f>
      </x:c>
      <x:c r="E101" s="83" t="str">
        <x:f>IFERROR(INDEX(SORTBY(tblAssessments[overall_risk_score],tblAssessments[department_name],1,tblAssessments[assessment_date],-1,tblAssessments[assessment_id],1),A101),"")</x:f>
      </x:c>
      <x:c r="F101" s="83" t="str">
        <x:f>IFERROR(INDEX(SORTBY(tblAssessments[overall_risk_level],tblAssessments[department_name],1,tblAssessments[assessment_date],-1,tblAssessments[assessment_id],1),A101),"")</x:f>
      </x:c>
      <x:c r="G101" s="87" t="str">
        <x:f>IFERROR(INDEX(SORTBY(tblAssessments[assessment_date],tblAssessments[department_name],1,tblAssessments[assessment_date],-1,tblAssessments[assessment_id],1),A101),"")</x:f>
      </x:c>
      <x:c r="H101" s="83" t="str">
        <x:f>IFERROR(INDEX(SORTBY(tblAssessments[report_number],tblAssessments[department_name],1,tblAssessments[assessment_date],-1,tblAssessments[assessment_id],1),A101),"")</x:f>
      </x:c>
      <x:c r="I101" s="83" t="str">
        <x:f>IF(E101="","",IF(E101&gt;=6,"Immediate corrective action",IF(E101&gt;=3,"Document improvement plan","Maintain controls")))</x:f>
      </x:c>
      <x:c r="T101" t="str">
        <x:f>IFERROR(INDEX(SORTBY(tblAssessments[assessment_id],tblAssessments[department_name],1,tblAssessments[assessment_date],-1,tblAssessments[assessment_id],1),A101),"")</x:f>
      </x:c>
    </x:row>
    <x:row r="102">
      <x:c r="A102" s="83" t="n">
        <x:v>79</x:v>
      </x:c>
      <x:c r="B102" s="85" t="str">
        <x:f>IFERROR(INDEX(SORTBY(tblAssessments[department_name],tblAssessments[department_name],1,tblAssessments[assessment_date],-1,tblAssessments[assessment_id],1),A102),"")</x:f>
      </x:c>
      <x:c r="C102" s="83" t="str">
        <x:f>IFERROR(INDEX(SORTBY(tblAssessments[total_staff_count],tblAssessments[department_name],1,tblAssessments[assessment_date],-1,tblAssessments[assessment_id],1),A102),"")</x:f>
      </x:c>
      <x:c r="D102" s="83" t="str">
        <x:f>IFERROR(INDEX(SORTBY(tblAssessments[status],tblAssessments[department_name],1,tblAssessments[assessment_date],-1,tblAssessments[assessment_id],1),A102),"")</x:f>
      </x:c>
      <x:c r="E102" s="83" t="str">
        <x:f>IFERROR(INDEX(SORTBY(tblAssessments[overall_risk_score],tblAssessments[department_name],1,tblAssessments[assessment_date],-1,tblAssessments[assessment_id],1),A102),"")</x:f>
      </x:c>
      <x:c r="F102" s="83" t="str">
        <x:f>IFERROR(INDEX(SORTBY(tblAssessments[overall_risk_level],tblAssessments[department_name],1,tblAssessments[assessment_date],-1,tblAssessments[assessment_id],1),A102),"")</x:f>
      </x:c>
      <x:c r="G102" s="87" t="str">
        <x:f>IFERROR(INDEX(SORTBY(tblAssessments[assessment_date],tblAssessments[department_name],1,tblAssessments[assessment_date],-1,tblAssessments[assessment_id],1),A102),"")</x:f>
      </x:c>
      <x:c r="H102" s="83" t="str">
        <x:f>IFERROR(INDEX(SORTBY(tblAssessments[report_number],tblAssessments[department_name],1,tblAssessments[assessment_date],-1,tblAssessments[assessment_id],1),A102),"")</x:f>
      </x:c>
      <x:c r="I102" s="83" t="str">
        <x:f>IF(E102="","",IF(E102&gt;=6,"Immediate corrective action",IF(E102&gt;=3,"Document improvement plan","Maintain controls")))</x:f>
      </x:c>
      <x:c r="T102" t="str">
        <x:f>IFERROR(INDEX(SORTBY(tblAssessments[assessment_id],tblAssessments[department_name],1,tblAssessments[assessment_date],-1,tblAssessments[assessment_id],1),A102),"")</x:f>
      </x:c>
    </x:row>
    <x:row r="103">
      <x:c r="A103" s="83" t="n">
        <x:v>80</x:v>
      </x:c>
      <x:c r="B103" s="85" t="str">
        <x:f>IFERROR(INDEX(SORTBY(tblAssessments[department_name],tblAssessments[department_name],1,tblAssessments[assessment_date],-1,tblAssessments[assessment_id],1),A103),"")</x:f>
      </x:c>
      <x:c r="C103" s="83" t="str">
        <x:f>IFERROR(INDEX(SORTBY(tblAssessments[total_staff_count],tblAssessments[department_name],1,tblAssessments[assessment_date],-1,tblAssessments[assessment_id],1),A103),"")</x:f>
      </x:c>
      <x:c r="D103" s="83" t="str">
        <x:f>IFERROR(INDEX(SORTBY(tblAssessments[status],tblAssessments[department_name],1,tblAssessments[assessment_date],-1,tblAssessments[assessment_id],1),A103),"")</x:f>
      </x:c>
      <x:c r="E103" s="83" t="str">
        <x:f>IFERROR(INDEX(SORTBY(tblAssessments[overall_risk_score],tblAssessments[department_name],1,tblAssessments[assessment_date],-1,tblAssessments[assessment_id],1),A103),"")</x:f>
      </x:c>
      <x:c r="F103" s="83" t="str">
        <x:f>IFERROR(INDEX(SORTBY(tblAssessments[overall_risk_level],tblAssessments[department_name],1,tblAssessments[assessment_date],-1,tblAssessments[assessment_id],1),A103),"")</x:f>
      </x:c>
      <x:c r="G103" s="87" t="str">
        <x:f>IFERROR(INDEX(SORTBY(tblAssessments[assessment_date],tblAssessments[department_name],1,tblAssessments[assessment_date],-1,tblAssessments[assessment_id],1),A103),"")</x:f>
      </x:c>
      <x:c r="H103" s="83" t="str">
        <x:f>IFERROR(INDEX(SORTBY(tblAssessments[report_number],tblAssessments[department_name],1,tblAssessments[assessment_date],-1,tblAssessments[assessment_id],1),A103),"")</x:f>
      </x:c>
      <x:c r="I103" s="83" t="str">
        <x:f>IF(E103="","",IF(E103&gt;=6,"Immediate corrective action",IF(E103&gt;=3,"Document improvement plan","Maintain controls")))</x:f>
      </x:c>
      <x:c r="T103" t="str">
        <x:f>IFERROR(INDEX(SORTBY(tblAssessments[assessment_id],tblAssessments[department_name],1,tblAssessments[assessment_date],-1,tblAssessments[assessment_id],1),A103),"")</x:f>
      </x:c>
    </x:row>
    <x:row r="104">
      <x:c r="A104" s="83" t="n">
        <x:v>81</x:v>
      </x:c>
      <x:c r="B104" s="85" t="str">
        <x:f>IFERROR(INDEX(SORTBY(tblAssessments[department_name],tblAssessments[department_name],1,tblAssessments[assessment_date],-1,tblAssessments[assessment_id],1),A104),"")</x:f>
      </x:c>
      <x:c r="C104" s="83" t="str">
        <x:f>IFERROR(INDEX(SORTBY(tblAssessments[total_staff_count],tblAssessments[department_name],1,tblAssessments[assessment_date],-1,tblAssessments[assessment_id],1),A104),"")</x:f>
      </x:c>
      <x:c r="D104" s="83" t="str">
        <x:f>IFERROR(INDEX(SORTBY(tblAssessments[status],tblAssessments[department_name],1,tblAssessments[assessment_date],-1,tblAssessments[assessment_id],1),A104),"")</x:f>
      </x:c>
      <x:c r="E104" s="83" t="str">
        <x:f>IFERROR(INDEX(SORTBY(tblAssessments[overall_risk_score],tblAssessments[department_name],1,tblAssessments[assessment_date],-1,tblAssessments[assessment_id],1),A104),"")</x:f>
      </x:c>
      <x:c r="F104" s="83" t="str">
        <x:f>IFERROR(INDEX(SORTBY(tblAssessments[overall_risk_level],tblAssessments[department_name],1,tblAssessments[assessment_date],-1,tblAssessments[assessment_id],1),A104),"")</x:f>
      </x:c>
      <x:c r="G104" s="87" t="str">
        <x:f>IFERROR(INDEX(SORTBY(tblAssessments[assessment_date],tblAssessments[department_name],1,tblAssessments[assessment_date],-1,tblAssessments[assessment_id],1),A104),"")</x:f>
      </x:c>
      <x:c r="H104" s="83" t="str">
        <x:f>IFERROR(INDEX(SORTBY(tblAssessments[report_number],tblAssessments[department_name],1,tblAssessments[assessment_date],-1,tblAssessments[assessment_id],1),A104),"")</x:f>
      </x:c>
      <x:c r="I104" s="83" t="str">
        <x:f>IF(E104="","",IF(E104&gt;=6,"Immediate corrective action",IF(E104&gt;=3,"Document improvement plan","Maintain controls")))</x:f>
      </x:c>
      <x:c r="T104" t="str">
        <x:f>IFERROR(INDEX(SORTBY(tblAssessments[assessment_id],tblAssessments[department_name],1,tblAssessments[assessment_date],-1,tblAssessments[assessment_id],1),A104),"")</x:f>
      </x:c>
    </x:row>
    <x:row r="105">
      <x:c r="A105" s="83" t="n">
        <x:v>82</x:v>
      </x:c>
      <x:c r="B105" s="85" t="str">
        <x:f>IFERROR(INDEX(SORTBY(tblAssessments[department_name],tblAssessments[department_name],1,tblAssessments[assessment_date],-1,tblAssessments[assessment_id],1),A105),"")</x:f>
      </x:c>
      <x:c r="C105" s="83" t="str">
        <x:f>IFERROR(INDEX(SORTBY(tblAssessments[total_staff_count],tblAssessments[department_name],1,tblAssessments[assessment_date],-1,tblAssessments[assessment_id],1),A105),"")</x:f>
      </x:c>
      <x:c r="D105" s="83" t="str">
        <x:f>IFERROR(INDEX(SORTBY(tblAssessments[status],tblAssessments[department_name],1,tblAssessments[assessment_date],-1,tblAssessments[assessment_id],1),A105),"")</x:f>
      </x:c>
      <x:c r="E105" s="83" t="str">
        <x:f>IFERROR(INDEX(SORTBY(tblAssessments[overall_risk_score],tblAssessments[department_name],1,tblAssessments[assessment_date],-1,tblAssessments[assessment_id],1),A105),"")</x:f>
      </x:c>
      <x:c r="F105" s="83" t="str">
        <x:f>IFERROR(INDEX(SORTBY(tblAssessments[overall_risk_level],tblAssessments[department_name],1,tblAssessments[assessment_date],-1,tblAssessments[assessment_id],1),A105),"")</x:f>
      </x:c>
      <x:c r="G105" s="87" t="str">
        <x:f>IFERROR(INDEX(SORTBY(tblAssessments[assessment_date],tblAssessments[department_name],1,tblAssessments[assessment_date],-1,tblAssessments[assessment_id],1),A105),"")</x:f>
      </x:c>
      <x:c r="H105" s="83" t="str">
        <x:f>IFERROR(INDEX(SORTBY(tblAssessments[report_number],tblAssessments[department_name],1,tblAssessments[assessment_date],-1,tblAssessments[assessment_id],1),A105),"")</x:f>
      </x:c>
      <x:c r="I105" s="83" t="str">
        <x:f>IF(E105="","",IF(E105&gt;=6,"Immediate corrective action",IF(E105&gt;=3,"Document improvement plan","Maintain controls")))</x:f>
      </x:c>
      <x:c r="T105" t="str">
        <x:f>IFERROR(INDEX(SORTBY(tblAssessments[assessment_id],tblAssessments[department_name],1,tblAssessments[assessment_date],-1,tblAssessments[assessment_id],1),A105),"")</x:f>
      </x:c>
    </x:row>
    <x:row r="106">
      <x:c r="A106" s="83" t="n">
        <x:v>83</x:v>
      </x:c>
      <x:c r="B106" s="85" t="str">
        <x:f>IFERROR(INDEX(SORTBY(tblAssessments[department_name],tblAssessments[department_name],1,tblAssessments[assessment_date],-1,tblAssessments[assessment_id],1),A106),"")</x:f>
      </x:c>
      <x:c r="C106" s="83" t="str">
        <x:f>IFERROR(INDEX(SORTBY(tblAssessments[total_staff_count],tblAssessments[department_name],1,tblAssessments[assessment_date],-1,tblAssessments[assessment_id],1),A106),"")</x:f>
      </x:c>
      <x:c r="D106" s="83" t="str">
        <x:f>IFERROR(INDEX(SORTBY(tblAssessments[status],tblAssessments[department_name],1,tblAssessments[assessment_date],-1,tblAssessments[assessment_id],1),A106),"")</x:f>
      </x:c>
      <x:c r="E106" s="83" t="str">
        <x:f>IFERROR(INDEX(SORTBY(tblAssessments[overall_risk_score],tblAssessments[department_name],1,tblAssessments[assessment_date],-1,tblAssessments[assessment_id],1),A106),"")</x:f>
      </x:c>
      <x:c r="F106" s="83" t="str">
        <x:f>IFERROR(INDEX(SORTBY(tblAssessments[overall_risk_level],tblAssessments[department_name],1,tblAssessments[assessment_date],-1,tblAssessments[assessment_id],1),A106),"")</x:f>
      </x:c>
      <x:c r="G106" s="87" t="str">
        <x:f>IFERROR(INDEX(SORTBY(tblAssessments[assessment_date],tblAssessments[department_name],1,tblAssessments[assessment_date],-1,tblAssessments[assessment_id],1),A106),"")</x:f>
      </x:c>
      <x:c r="H106" s="83" t="str">
        <x:f>IFERROR(INDEX(SORTBY(tblAssessments[report_number],tblAssessments[department_name],1,tblAssessments[assessment_date],-1,tblAssessments[assessment_id],1),A106),"")</x:f>
      </x:c>
      <x:c r="I106" s="83" t="str">
        <x:f>IF(E106="","",IF(E106&gt;=6,"Immediate corrective action",IF(E106&gt;=3,"Document improvement plan","Maintain controls")))</x:f>
      </x:c>
      <x:c r="T106" t="str">
        <x:f>IFERROR(INDEX(SORTBY(tblAssessments[assessment_id],tblAssessments[department_name],1,tblAssessments[assessment_date],-1,tblAssessments[assessment_id],1),A106),"")</x:f>
      </x:c>
    </x:row>
    <x:row r="107">
      <x:c r="A107" s="83" t="n">
        <x:v>84</x:v>
      </x:c>
      <x:c r="B107" s="85" t="str">
        <x:f>IFERROR(INDEX(SORTBY(tblAssessments[department_name],tblAssessments[department_name],1,tblAssessments[assessment_date],-1,tblAssessments[assessment_id],1),A107),"")</x:f>
      </x:c>
      <x:c r="C107" s="83" t="str">
        <x:f>IFERROR(INDEX(SORTBY(tblAssessments[total_staff_count],tblAssessments[department_name],1,tblAssessments[assessment_date],-1,tblAssessments[assessment_id],1),A107),"")</x:f>
      </x:c>
      <x:c r="D107" s="83" t="str">
        <x:f>IFERROR(INDEX(SORTBY(tblAssessments[status],tblAssessments[department_name],1,tblAssessments[assessment_date],-1,tblAssessments[assessment_id],1),A107),"")</x:f>
      </x:c>
      <x:c r="E107" s="83" t="str">
        <x:f>IFERROR(INDEX(SORTBY(tblAssessments[overall_risk_score],tblAssessments[department_name],1,tblAssessments[assessment_date],-1,tblAssessments[assessment_id],1),A107),"")</x:f>
      </x:c>
      <x:c r="F107" s="83" t="str">
        <x:f>IFERROR(INDEX(SORTBY(tblAssessments[overall_risk_level],tblAssessments[department_name],1,tblAssessments[assessment_date],-1,tblAssessments[assessment_id],1),A107),"")</x:f>
      </x:c>
      <x:c r="G107" s="87" t="str">
        <x:f>IFERROR(INDEX(SORTBY(tblAssessments[assessment_date],tblAssessments[department_name],1,tblAssessments[assessment_date],-1,tblAssessments[assessment_id],1),A107),"")</x:f>
      </x:c>
      <x:c r="H107" s="83" t="str">
        <x:f>IFERROR(INDEX(SORTBY(tblAssessments[report_number],tblAssessments[department_name],1,tblAssessments[assessment_date],-1,tblAssessments[assessment_id],1),A107),"")</x:f>
      </x:c>
      <x:c r="I107" s="83" t="str">
        <x:f>IF(E107="","",IF(E107&gt;=6,"Immediate corrective action",IF(E107&gt;=3,"Document improvement plan","Maintain controls")))</x:f>
      </x:c>
      <x:c r="T107" t="str">
        <x:f>IFERROR(INDEX(SORTBY(tblAssessments[assessment_id],tblAssessments[department_name],1,tblAssessments[assessment_date],-1,tblAssessments[assessment_id],1),A107),"")</x:f>
      </x:c>
    </x:row>
    <x:row r="108">
      <x:c r="A108" s="83" t="n">
        <x:v>85</x:v>
      </x:c>
      <x:c r="B108" s="85" t="str">
        <x:f>IFERROR(INDEX(SORTBY(tblAssessments[department_name],tblAssessments[department_name],1,tblAssessments[assessment_date],-1,tblAssessments[assessment_id],1),A108),"")</x:f>
      </x:c>
      <x:c r="C108" s="83" t="str">
        <x:f>IFERROR(INDEX(SORTBY(tblAssessments[total_staff_count],tblAssessments[department_name],1,tblAssessments[assessment_date],-1,tblAssessments[assessment_id],1),A108),"")</x:f>
      </x:c>
      <x:c r="D108" s="83" t="str">
        <x:f>IFERROR(INDEX(SORTBY(tblAssessments[status],tblAssessments[department_name],1,tblAssessments[assessment_date],-1,tblAssessments[assessment_id],1),A108),"")</x:f>
      </x:c>
      <x:c r="E108" s="83" t="str">
        <x:f>IFERROR(INDEX(SORTBY(tblAssessments[overall_risk_score],tblAssessments[department_name],1,tblAssessments[assessment_date],-1,tblAssessments[assessment_id],1),A108),"")</x:f>
      </x:c>
      <x:c r="F108" s="83" t="str">
        <x:f>IFERROR(INDEX(SORTBY(tblAssessments[overall_risk_level],tblAssessments[department_name],1,tblAssessments[assessment_date],-1,tblAssessments[assessment_id],1),A108),"")</x:f>
      </x:c>
      <x:c r="G108" s="87" t="str">
        <x:f>IFERROR(INDEX(SORTBY(tblAssessments[assessment_date],tblAssessments[department_name],1,tblAssessments[assessment_date],-1,tblAssessments[assessment_id],1),A108),"")</x:f>
      </x:c>
      <x:c r="H108" s="83" t="str">
        <x:f>IFERROR(INDEX(SORTBY(tblAssessments[report_number],tblAssessments[department_name],1,tblAssessments[assessment_date],-1,tblAssessments[assessment_id],1),A108),"")</x:f>
      </x:c>
      <x:c r="I108" s="83" t="str">
        <x:f>IF(E108="","",IF(E108&gt;=6,"Immediate corrective action",IF(E108&gt;=3,"Document improvement plan","Maintain controls")))</x:f>
      </x:c>
      <x:c r="T108" t="str">
        <x:f>IFERROR(INDEX(SORTBY(tblAssessments[assessment_id],tblAssessments[department_name],1,tblAssessments[assessment_date],-1,tblAssessments[assessment_id],1),A108),"")</x:f>
      </x:c>
    </x:row>
    <x:row r="109">
      <x:c r="A109" s="83" t="n">
        <x:v>86</x:v>
      </x:c>
      <x:c r="B109" s="85" t="str">
        <x:f>IFERROR(INDEX(SORTBY(tblAssessments[department_name],tblAssessments[department_name],1,tblAssessments[assessment_date],-1,tblAssessments[assessment_id],1),A109),"")</x:f>
      </x:c>
      <x:c r="C109" s="83" t="str">
        <x:f>IFERROR(INDEX(SORTBY(tblAssessments[total_staff_count],tblAssessments[department_name],1,tblAssessments[assessment_date],-1,tblAssessments[assessment_id],1),A109),"")</x:f>
      </x:c>
      <x:c r="D109" s="83" t="str">
        <x:f>IFERROR(INDEX(SORTBY(tblAssessments[status],tblAssessments[department_name],1,tblAssessments[assessment_date],-1,tblAssessments[assessment_id],1),A109),"")</x:f>
      </x:c>
      <x:c r="E109" s="83" t="str">
        <x:f>IFERROR(INDEX(SORTBY(tblAssessments[overall_risk_score],tblAssessments[department_name],1,tblAssessments[assessment_date],-1,tblAssessments[assessment_id],1),A109),"")</x:f>
      </x:c>
      <x:c r="F109" s="83" t="str">
        <x:f>IFERROR(INDEX(SORTBY(tblAssessments[overall_risk_level],tblAssessments[department_name],1,tblAssessments[assessment_date],-1,tblAssessments[assessment_id],1),A109),"")</x:f>
      </x:c>
      <x:c r="G109" s="87" t="str">
        <x:f>IFERROR(INDEX(SORTBY(tblAssessments[assessment_date],tblAssessments[department_name],1,tblAssessments[assessment_date],-1,tblAssessments[assessment_id],1),A109),"")</x:f>
      </x:c>
      <x:c r="H109" s="83" t="str">
        <x:f>IFERROR(INDEX(SORTBY(tblAssessments[report_number],tblAssessments[department_name],1,tblAssessments[assessment_date],-1,tblAssessments[assessment_id],1),A109),"")</x:f>
      </x:c>
      <x:c r="I109" s="83" t="str">
        <x:f>IF(E109="","",IF(E109&gt;=6,"Immediate corrective action",IF(E109&gt;=3,"Document improvement plan","Maintain controls")))</x:f>
      </x:c>
      <x:c r="T109" t="str">
        <x:f>IFERROR(INDEX(SORTBY(tblAssessments[assessment_id],tblAssessments[department_name],1,tblAssessments[assessment_date],-1,tblAssessments[assessment_id],1),A109),"")</x:f>
      </x:c>
    </x:row>
    <x:row r="110">
      <x:c r="A110" s="83" t="n">
        <x:v>87</x:v>
      </x:c>
      <x:c r="B110" s="85" t="str">
        <x:f>IFERROR(INDEX(SORTBY(tblAssessments[department_name],tblAssessments[department_name],1,tblAssessments[assessment_date],-1,tblAssessments[assessment_id],1),A110),"")</x:f>
      </x:c>
      <x:c r="C110" s="83" t="str">
        <x:f>IFERROR(INDEX(SORTBY(tblAssessments[total_staff_count],tblAssessments[department_name],1,tblAssessments[assessment_date],-1,tblAssessments[assessment_id],1),A110),"")</x:f>
      </x:c>
      <x:c r="D110" s="83" t="str">
        <x:f>IFERROR(INDEX(SORTBY(tblAssessments[status],tblAssessments[department_name],1,tblAssessments[assessment_date],-1,tblAssessments[assessment_id],1),A110),"")</x:f>
      </x:c>
      <x:c r="E110" s="83" t="str">
        <x:f>IFERROR(INDEX(SORTBY(tblAssessments[overall_risk_score],tblAssessments[department_name],1,tblAssessments[assessment_date],-1,tblAssessments[assessment_id],1),A110),"")</x:f>
      </x:c>
      <x:c r="F110" s="83" t="str">
        <x:f>IFERROR(INDEX(SORTBY(tblAssessments[overall_risk_level],tblAssessments[department_name],1,tblAssessments[assessment_date],-1,tblAssessments[assessment_id],1),A110),"")</x:f>
      </x:c>
      <x:c r="G110" s="87" t="str">
        <x:f>IFERROR(INDEX(SORTBY(tblAssessments[assessment_date],tblAssessments[department_name],1,tblAssessments[assessment_date],-1,tblAssessments[assessment_id],1),A110),"")</x:f>
      </x:c>
      <x:c r="H110" s="83" t="str">
        <x:f>IFERROR(INDEX(SORTBY(tblAssessments[report_number],tblAssessments[department_name],1,tblAssessments[assessment_date],-1,tblAssessments[assessment_id],1),A110),"")</x:f>
      </x:c>
      <x:c r="I110" s="83" t="str">
        <x:f>IF(E110="","",IF(E110&gt;=6,"Immediate corrective action",IF(E110&gt;=3,"Document improvement plan","Maintain controls")))</x:f>
      </x:c>
      <x:c r="T110" t="str">
        <x:f>IFERROR(INDEX(SORTBY(tblAssessments[assessment_id],tblAssessments[department_name],1,tblAssessments[assessment_date],-1,tblAssessments[assessment_id],1),A110),"")</x:f>
      </x:c>
    </x:row>
    <x:row r="111">
      <x:c r="A111" s="83" t="n">
        <x:v>88</x:v>
      </x:c>
      <x:c r="B111" s="85" t="str">
        <x:f>IFERROR(INDEX(SORTBY(tblAssessments[department_name],tblAssessments[department_name],1,tblAssessments[assessment_date],-1,tblAssessments[assessment_id],1),A111),"")</x:f>
      </x:c>
      <x:c r="C111" s="83" t="str">
        <x:f>IFERROR(INDEX(SORTBY(tblAssessments[total_staff_count],tblAssessments[department_name],1,tblAssessments[assessment_date],-1,tblAssessments[assessment_id],1),A111),"")</x:f>
      </x:c>
      <x:c r="D111" s="83" t="str">
        <x:f>IFERROR(INDEX(SORTBY(tblAssessments[status],tblAssessments[department_name],1,tblAssessments[assessment_date],-1,tblAssessments[assessment_id],1),A111),"")</x:f>
      </x:c>
      <x:c r="E111" s="83" t="str">
        <x:f>IFERROR(INDEX(SORTBY(tblAssessments[overall_risk_score],tblAssessments[department_name],1,tblAssessments[assessment_date],-1,tblAssessments[assessment_id],1),A111),"")</x:f>
      </x:c>
      <x:c r="F111" s="83" t="str">
        <x:f>IFERROR(INDEX(SORTBY(tblAssessments[overall_risk_level],tblAssessments[department_name],1,tblAssessments[assessment_date],-1,tblAssessments[assessment_id],1),A111),"")</x:f>
      </x:c>
      <x:c r="G111" s="87" t="str">
        <x:f>IFERROR(INDEX(SORTBY(tblAssessments[assessment_date],tblAssessments[department_name],1,tblAssessments[assessment_date],-1,tblAssessments[assessment_id],1),A111),"")</x:f>
      </x:c>
      <x:c r="H111" s="83" t="str">
        <x:f>IFERROR(INDEX(SORTBY(tblAssessments[report_number],tblAssessments[department_name],1,tblAssessments[assessment_date],-1,tblAssessments[assessment_id],1),A111),"")</x:f>
      </x:c>
      <x:c r="I111" s="83" t="str">
        <x:f>IF(E111="","",IF(E111&gt;=6,"Immediate corrective action",IF(E111&gt;=3,"Document improvement plan","Maintain controls")))</x:f>
      </x:c>
      <x:c r="T111" t="str">
        <x:f>IFERROR(INDEX(SORTBY(tblAssessments[assessment_id],tblAssessments[department_name],1,tblAssessments[assessment_date],-1,tblAssessments[assessment_id],1),A111),"")</x:f>
      </x:c>
    </x:row>
    <x:row r="112">
      <x:c r="A112" s="83" t="n">
        <x:v>89</x:v>
      </x:c>
      <x:c r="B112" s="85" t="str">
        <x:f>IFERROR(INDEX(SORTBY(tblAssessments[department_name],tblAssessments[department_name],1,tblAssessments[assessment_date],-1,tblAssessments[assessment_id],1),A112),"")</x:f>
      </x:c>
      <x:c r="C112" s="83" t="str">
        <x:f>IFERROR(INDEX(SORTBY(tblAssessments[total_staff_count],tblAssessments[department_name],1,tblAssessments[assessment_date],-1,tblAssessments[assessment_id],1),A112),"")</x:f>
      </x:c>
      <x:c r="D112" s="83" t="str">
        <x:f>IFERROR(INDEX(SORTBY(tblAssessments[status],tblAssessments[department_name],1,tblAssessments[assessment_date],-1,tblAssessments[assessment_id],1),A112),"")</x:f>
      </x:c>
      <x:c r="E112" s="83" t="str">
        <x:f>IFERROR(INDEX(SORTBY(tblAssessments[overall_risk_score],tblAssessments[department_name],1,tblAssessments[assessment_date],-1,tblAssessments[assessment_id],1),A112),"")</x:f>
      </x:c>
      <x:c r="F112" s="83" t="str">
        <x:f>IFERROR(INDEX(SORTBY(tblAssessments[overall_risk_level],tblAssessments[department_name],1,tblAssessments[assessment_date],-1,tblAssessments[assessment_id],1),A112),"")</x:f>
      </x:c>
      <x:c r="G112" s="87" t="str">
        <x:f>IFERROR(INDEX(SORTBY(tblAssessments[assessment_date],tblAssessments[department_name],1,tblAssessments[assessment_date],-1,tblAssessments[assessment_id],1),A112),"")</x:f>
      </x:c>
      <x:c r="H112" s="83" t="str">
        <x:f>IFERROR(INDEX(SORTBY(tblAssessments[report_number],tblAssessments[department_name],1,tblAssessments[assessment_date],-1,tblAssessments[assessment_id],1),A112),"")</x:f>
      </x:c>
      <x:c r="I112" s="83" t="str">
        <x:f>IF(E112="","",IF(E112&gt;=6,"Immediate corrective action",IF(E112&gt;=3,"Document improvement plan","Maintain controls")))</x:f>
      </x:c>
      <x:c r="T112" t="str">
        <x:f>IFERROR(INDEX(SORTBY(tblAssessments[assessment_id],tblAssessments[department_name],1,tblAssessments[assessment_date],-1,tblAssessments[assessment_id],1),A112),"")</x:f>
      </x:c>
    </x:row>
    <x:row r="113">
      <x:c r="A113" s="83" t="n">
        <x:v>90</x:v>
      </x:c>
      <x:c r="B113" s="85" t="str">
        <x:f>IFERROR(INDEX(SORTBY(tblAssessments[department_name],tblAssessments[department_name],1,tblAssessments[assessment_date],-1,tblAssessments[assessment_id],1),A113),"")</x:f>
      </x:c>
      <x:c r="C113" s="83" t="str">
        <x:f>IFERROR(INDEX(SORTBY(tblAssessments[total_staff_count],tblAssessments[department_name],1,tblAssessments[assessment_date],-1,tblAssessments[assessment_id],1),A113),"")</x:f>
      </x:c>
      <x:c r="D113" s="83" t="str">
        <x:f>IFERROR(INDEX(SORTBY(tblAssessments[status],tblAssessments[department_name],1,tblAssessments[assessment_date],-1,tblAssessments[assessment_id],1),A113),"")</x:f>
      </x:c>
      <x:c r="E113" s="83" t="str">
        <x:f>IFERROR(INDEX(SORTBY(tblAssessments[overall_risk_score],tblAssessments[department_name],1,tblAssessments[assessment_date],-1,tblAssessments[assessment_id],1),A113),"")</x:f>
      </x:c>
      <x:c r="F113" s="83" t="str">
        <x:f>IFERROR(INDEX(SORTBY(tblAssessments[overall_risk_level],tblAssessments[department_name],1,tblAssessments[assessment_date],-1,tblAssessments[assessment_id],1),A113),"")</x:f>
      </x:c>
      <x:c r="G113" s="87" t="str">
        <x:f>IFERROR(INDEX(SORTBY(tblAssessments[assessment_date],tblAssessments[department_name],1,tblAssessments[assessment_date],-1,tblAssessments[assessment_id],1),A113),"")</x:f>
      </x:c>
      <x:c r="H113" s="83" t="str">
        <x:f>IFERROR(INDEX(SORTBY(tblAssessments[report_number],tblAssessments[department_name],1,tblAssessments[assessment_date],-1,tblAssessments[assessment_id],1),A113),"")</x:f>
      </x:c>
      <x:c r="I113" s="83" t="str">
        <x:f>IF(E113="","",IF(E113&gt;=6,"Immediate corrective action",IF(E113&gt;=3,"Document improvement plan","Maintain controls")))</x:f>
      </x:c>
      <x:c r="T113" t="str">
        <x:f>IFERROR(INDEX(SORTBY(tblAssessments[assessment_id],tblAssessments[department_name],1,tblAssessments[assessment_date],-1,tblAssessments[assessment_id],1),A113),"")</x:f>
      </x:c>
    </x:row>
    <x:row r="114">
      <x:c r="A114" s="83" t="n">
        <x:v>91</x:v>
      </x:c>
      <x:c r="B114" s="85" t="str">
        <x:f>IFERROR(INDEX(SORTBY(tblAssessments[department_name],tblAssessments[department_name],1,tblAssessments[assessment_date],-1,tblAssessments[assessment_id],1),A114),"")</x:f>
      </x:c>
      <x:c r="C114" s="83" t="str">
        <x:f>IFERROR(INDEX(SORTBY(tblAssessments[total_staff_count],tblAssessments[department_name],1,tblAssessments[assessment_date],-1,tblAssessments[assessment_id],1),A114),"")</x:f>
      </x:c>
      <x:c r="D114" s="83" t="str">
        <x:f>IFERROR(INDEX(SORTBY(tblAssessments[status],tblAssessments[department_name],1,tblAssessments[assessment_date],-1,tblAssessments[assessment_id],1),A114),"")</x:f>
      </x:c>
      <x:c r="E114" s="83" t="str">
        <x:f>IFERROR(INDEX(SORTBY(tblAssessments[overall_risk_score],tblAssessments[department_name],1,tblAssessments[assessment_date],-1,tblAssessments[assessment_id],1),A114),"")</x:f>
      </x:c>
      <x:c r="F114" s="83" t="str">
        <x:f>IFERROR(INDEX(SORTBY(tblAssessments[overall_risk_level],tblAssessments[department_name],1,tblAssessments[assessment_date],-1,tblAssessments[assessment_id],1),A114),"")</x:f>
      </x:c>
      <x:c r="G114" s="87" t="str">
        <x:f>IFERROR(INDEX(SORTBY(tblAssessments[assessment_date],tblAssessments[department_name],1,tblAssessments[assessment_date],-1,tblAssessments[assessment_id],1),A114),"")</x:f>
      </x:c>
      <x:c r="H114" s="83" t="str">
        <x:f>IFERROR(INDEX(SORTBY(tblAssessments[report_number],tblAssessments[department_name],1,tblAssessments[assessment_date],-1,tblAssessments[assessment_id],1),A114),"")</x:f>
      </x:c>
      <x:c r="I114" s="83" t="str">
        <x:f>IF(E114="","",IF(E114&gt;=6,"Immediate corrective action",IF(E114&gt;=3,"Document improvement plan","Maintain controls")))</x:f>
      </x:c>
      <x:c r="T114" t="str">
        <x:f>IFERROR(INDEX(SORTBY(tblAssessments[assessment_id],tblAssessments[department_name],1,tblAssessments[assessment_date],-1,tblAssessments[assessment_id],1),A114),"")</x:f>
      </x:c>
    </x:row>
    <x:row r="115">
      <x:c r="A115" s="83" t="n">
        <x:v>92</x:v>
      </x:c>
      <x:c r="B115" s="85" t="str">
        <x:f>IFERROR(INDEX(SORTBY(tblAssessments[department_name],tblAssessments[department_name],1,tblAssessments[assessment_date],-1,tblAssessments[assessment_id],1),A115),"")</x:f>
      </x:c>
      <x:c r="C115" s="83" t="str">
        <x:f>IFERROR(INDEX(SORTBY(tblAssessments[total_staff_count],tblAssessments[department_name],1,tblAssessments[assessment_date],-1,tblAssessments[assessment_id],1),A115),"")</x:f>
      </x:c>
      <x:c r="D115" s="83" t="str">
        <x:f>IFERROR(INDEX(SORTBY(tblAssessments[status],tblAssessments[department_name],1,tblAssessments[assessment_date],-1,tblAssessments[assessment_id],1),A115),"")</x:f>
      </x:c>
      <x:c r="E115" s="83" t="str">
        <x:f>IFERROR(INDEX(SORTBY(tblAssessments[overall_risk_score],tblAssessments[department_name],1,tblAssessments[assessment_date],-1,tblAssessments[assessment_id],1),A115),"")</x:f>
      </x:c>
      <x:c r="F115" s="83" t="str">
        <x:f>IFERROR(INDEX(SORTBY(tblAssessments[overall_risk_level],tblAssessments[department_name],1,tblAssessments[assessment_date],-1,tblAssessments[assessment_id],1),A115),"")</x:f>
      </x:c>
      <x:c r="G115" s="87" t="str">
        <x:f>IFERROR(INDEX(SORTBY(tblAssessments[assessment_date],tblAssessments[department_name],1,tblAssessments[assessment_date],-1,tblAssessments[assessment_id],1),A115),"")</x:f>
      </x:c>
      <x:c r="H115" s="83" t="str">
        <x:f>IFERROR(INDEX(SORTBY(tblAssessments[report_number],tblAssessments[department_name],1,tblAssessments[assessment_date],-1,tblAssessments[assessment_id],1),A115),"")</x:f>
      </x:c>
      <x:c r="I115" s="83" t="str">
        <x:f>IF(E115="","",IF(E115&gt;=6,"Immediate corrective action",IF(E115&gt;=3,"Document improvement plan","Maintain controls")))</x:f>
      </x:c>
      <x:c r="T115" t="str">
        <x:f>IFERROR(INDEX(SORTBY(tblAssessments[assessment_id],tblAssessments[department_name],1,tblAssessments[assessment_date],-1,tblAssessments[assessment_id],1),A115),"")</x:f>
      </x:c>
    </x:row>
    <x:row r="116">
      <x:c r="A116" s="83" t="n">
        <x:v>93</x:v>
      </x:c>
      <x:c r="B116" s="85" t="str">
        <x:f>IFERROR(INDEX(SORTBY(tblAssessments[department_name],tblAssessments[department_name],1,tblAssessments[assessment_date],-1,tblAssessments[assessment_id],1),A116),"")</x:f>
      </x:c>
      <x:c r="C116" s="83" t="str">
        <x:f>IFERROR(INDEX(SORTBY(tblAssessments[total_staff_count],tblAssessments[department_name],1,tblAssessments[assessment_date],-1,tblAssessments[assessment_id],1),A116),"")</x:f>
      </x:c>
      <x:c r="D116" s="83" t="str">
        <x:f>IFERROR(INDEX(SORTBY(tblAssessments[status],tblAssessments[department_name],1,tblAssessments[assessment_date],-1,tblAssessments[assessment_id],1),A116),"")</x:f>
      </x:c>
      <x:c r="E116" s="83" t="str">
        <x:f>IFERROR(INDEX(SORTBY(tblAssessments[overall_risk_score],tblAssessments[department_name],1,tblAssessments[assessment_date],-1,tblAssessments[assessment_id],1),A116),"")</x:f>
      </x:c>
      <x:c r="F116" s="83" t="str">
        <x:f>IFERROR(INDEX(SORTBY(tblAssessments[overall_risk_level],tblAssessments[department_name],1,tblAssessments[assessment_date],-1,tblAssessments[assessment_id],1),A116),"")</x:f>
      </x:c>
      <x:c r="G116" s="87" t="str">
        <x:f>IFERROR(INDEX(SORTBY(tblAssessments[assessment_date],tblAssessments[department_name],1,tblAssessments[assessment_date],-1,tblAssessments[assessment_id],1),A116),"")</x:f>
      </x:c>
      <x:c r="H116" s="83" t="str">
        <x:f>IFERROR(INDEX(SORTBY(tblAssessments[report_number],tblAssessments[department_name],1,tblAssessments[assessment_date],-1,tblAssessments[assessment_id],1),A116),"")</x:f>
      </x:c>
      <x:c r="I116" s="83" t="str">
        <x:f>IF(E116="","",IF(E116&gt;=6,"Immediate corrective action",IF(E116&gt;=3,"Document improvement plan","Maintain controls")))</x:f>
      </x:c>
      <x:c r="T116" t="str">
        <x:f>IFERROR(INDEX(SORTBY(tblAssessments[assessment_id],tblAssessments[department_name],1,tblAssessments[assessment_date],-1,tblAssessments[assessment_id],1),A116),"")</x:f>
      </x:c>
    </x:row>
    <x:row r="117">
      <x:c r="A117" s="83" t="n">
        <x:v>94</x:v>
      </x:c>
      <x:c r="B117" s="85" t="str">
        <x:f>IFERROR(INDEX(SORTBY(tblAssessments[department_name],tblAssessments[department_name],1,tblAssessments[assessment_date],-1,tblAssessments[assessment_id],1),A117),"")</x:f>
      </x:c>
      <x:c r="C117" s="83" t="str">
        <x:f>IFERROR(INDEX(SORTBY(tblAssessments[total_staff_count],tblAssessments[department_name],1,tblAssessments[assessment_date],-1,tblAssessments[assessment_id],1),A117),"")</x:f>
      </x:c>
      <x:c r="D117" s="83" t="str">
        <x:f>IFERROR(INDEX(SORTBY(tblAssessments[status],tblAssessments[department_name],1,tblAssessments[assessment_date],-1,tblAssessments[assessment_id],1),A117),"")</x:f>
      </x:c>
      <x:c r="E117" s="83" t="str">
        <x:f>IFERROR(INDEX(SORTBY(tblAssessments[overall_risk_score],tblAssessments[department_name],1,tblAssessments[assessment_date],-1,tblAssessments[assessment_id],1),A117),"")</x:f>
      </x:c>
      <x:c r="F117" s="83" t="str">
        <x:f>IFERROR(INDEX(SORTBY(tblAssessments[overall_risk_level],tblAssessments[department_name],1,tblAssessments[assessment_date],-1,tblAssessments[assessment_id],1),A117),"")</x:f>
      </x:c>
      <x:c r="G117" s="87" t="str">
        <x:f>IFERROR(INDEX(SORTBY(tblAssessments[assessment_date],tblAssessments[department_name],1,tblAssessments[assessment_date],-1,tblAssessments[assessment_id],1),A117),"")</x:f>
      </x:c>
      <x:c r="H117" s="83" t="str">
        <x:f>IFERROR(INDEX(SORTBY(tblAssessments[report_number],tblAssessments[department_name],1,tblAssessments[assessment_date],-1,tblAssessments[assessment_id],1),A117),"")</x:f>
      </x:c>
      <x:c r="I117" s="83" t="str">
        <x:f>IF(E117="","",IF(E117&gt;=6,"Immediate corrective action",IF(E117&gt;=3,"Document improvement plan","Maintain controls")))</x:f>
      </x:c>
      <x:c r="T117" t="str">
        <x:f>IFERROR(INDEX(SORTBY(tblAssessments[assessment_id],tblAssessments[department_name],1,tblAssessments[assessment_date],-1,tblAssessments[assessment_id],1),A117),"")</x:f>
      </x:c>
    </x:row>
    <x:row r="118">
      <x:c r="A118" s="83" t="n">
        <x:v>95</x:v>
      </x:c>
      <x:c r="B118" s="85" t="str">
        <x:f>IFERROR(INDEX(SORTBY(tblAssessments[department_name],tblAssessments[department_name],1,tblAssessments[assessment_date],-1,tblAssessments[assessment_id],1),A118),"")</x:f>
      </x:c>
      <x:c r="C118" s="83" t="str">
        <x:f>IFERROR(INDEX(SORTBY(tblAssessments[total_staff_count],tblAssessments[department_name],1,tblAssessments[assessment_date],-1,tblAssessments[assessment_id],1),A118),"")</x:f>
      </x:c>
      <x:c r="D118" s="83" t="str">
        <x:f>IFERROR(INDEX(SORTBY(tblAssessments[status],tblAssessments[department_name],1,tblAssessments[assessment_date],-1,tblAssessments[assessment_id],1),A118),"")</x:f>
      </x:c>
      <x:c r="E118" s="83" t="str">
        <x:f>IFERROR(INDEX(SORTBY(tblAssessments[overall_risk_score],tblAssessments[department_name],1,tblAssessments[assessment_date],-1,tblAssessments[assessment_id],1),A118),"")</x:f>
      </x:c>
      <x:c r="F118" s="83" t="str">
        <x:f>IFERROR(INDEX(SORTBY(tblAssessments[overall_risk_level],tblAssessments[department_name],1,tblAssessments[assessment_date],-1,tblAssessments[assessment_id],1),A118),"")</x:f>
      </x:c>
      <x:c r="G118" s="87" t="str">
        <x:f>IFERROR(INDEX(SORTBY(tblAssessments[assessment_date],tblAssessments[department_name],1,tblAssessments[assessment_date],-1,tblAssessments[assessment_id],1),A118),"")</x:f>
      </x:c>
      <x:c r="H118" s="83" t="str">
        <x:f>IFERROR(INDEX(SORTBY(tblAssessments[report_number],tblAssessments[department_name],1,tblAssessments[assessment_date],-1,tblAssessments[assessment_id],1),A118),"")</x:f>
      </x:c>
      <x:c r="I118" s="83" t="str">
        <x:f>IF(E118="","",IF(E118&gt;=6,"Immediate corrective action",IF(E118&gt;=3,"Document improvement plan","Maintain controls")))</x:f>
      </x:c>
      <x:c r="T118" t="str">
        <x:f>IFERROR(INDEX(SORTBY(tblAssessments[assessment_id],tblAssessments[department_name],1,tblAssessments[assessment_date],-1,tblAssessments[assessment_id],1),A118),"")</x:f>
      </x:c>
    </x:row>
    <x:row r="119">
      <x:c r="A119" s="83" t="n">
        <x:v>96</x:v>
      </x:c>
      <x:c r="B119" s="85" t="str">
        <x:f>IFERROR(INDEX(SORTBY(tblAssessments[department_name],tblAssessments[department_name],1,tblAssessments[assessment_date],-1,tblAssessments[assessment_id],1),A119),"")</x:f>
      </x:c>
      <x:c r="C119" s="83" t="str">
        <x:f>IFERROR(INDEX(SORTBY(tblAssessments[total_staff_count],tblAssessments[department_name],1,tblAssessments[assessment_date],-1,tblAssessments[assessment_id],1),A119),"")</x:f>
      </x:c>
      <x:c r="D119" s="83" t="str">
        <x:f>IFERROR(INDEX(SORTBY(tblAssessments[status],tblAssessments[department_name],1,tblAssessments[assessment_date],-1,tblAssessments[assessment_id],1),A119),"")</x:f>
      </x:c>
      <x:c r="E119" s="83" t="str">
        <x:f>IFERROR(INDEX(SORTBY(tblAssessments[overall_risk_score],tblAssessments[department_name],1,tblAssessments[assessment_date],-1,tblAssessments[assessment_id],1),A119),"")</x:f>
      </x:c>
      <x:c r="F119" s="83" t="str">
        <x:f>IFERROR(INDEX(SORTBY(tblAssessments[overall_risk_level],tblAssessments[department_name],1,tblAssessments[assessment_date],-1,tblAssessments[assessment_id],1),A119),"")</x:f>
      </x:c>
      <x:c r="G119" s="87" t="str">
        <x:f>IFERROR(INDEX(SORTBY(tblAssessments[assessment_date],tblAssessments[department_name],1,tblAssessments[assessment_date],-1,tblAssessments[assessment_id],1),A119),"")</x:f>
      </x:c>
      <x:c r="H119" s="83" t="str">
        <x:f>IFERROR(INDEX(SORTBY(tblAssessments[report_number],tblAssessments[department_name],1,tblAssessments[assessment_date],-1,tblAssessments[assessment_id],1),A119),"")</x:f>
      </x:c>
      <x:c r="I119" s="83" t="str">
        <x:f>IF(E119="","",IF(E119&gt;=6,"Immediate corrective action",IF(E119&gt;=3,"Document improvement plan","Maintain controls")))</x:f>
      </x:c>
      <x:c r="T119" t="str">
        <x:f>IFERROR(INDEX(SORTBY(tblAssessments[assessment_id],tblAssessments[department_name],1,tblAssessments[assessment_date],-1,tblAssessments[assessment_id],1),A119),"")</x:f>
      </x:c>
    </x:row>
    <x:row r="120">
      <x:c r="A120" s="83" t="n">
        <x:v>97</x:v>
      </x:c>
      <x:c r="B120" s="85" t="str">
        <x:f>IFERROR(INDEX(SORTBY(tblAssessments[department_name],tblAssessments[department_name],1,tblAssessments[assessment_date],-1,tblAssessments[assessment_id],1),A120),"")</x:f>
      </x:c>
      <x:c r="C120" s="83" t="str">
        <x:f>IFERROR(INDEX(SORTBY(tblAssessments[total_staff_count],tblAssessments[department_name],1,tblAssessments[assessment_date],-1,tblAssessments[assessment_id],1),A120),"")</x:f>
      </x:c>
      <x:c r="D120" s="83" t="str">
        <x:f>IFERROR(INDEX(SORTBY(tblAssessments[status],tblAssessments[department_name],1,tblAssessments[assessment_date],-1,tblAssessments[assessment_id],1),A120),"")</x:f>
      </x:c>
      <x:c r="E120" s="83" t="str">
        <x:f>IFERROR(INDEX(SORTBY(tblAssessments[overall_risk_score],tblAssessments[department_name],1,tblAssessments[assessment_date],-1,tblAssessments[assessment_id],1),A120),"")</x:f>
      </x:c>
      <x:c r="F120" s="83" t="str">
        <x:f>IFERROR(INDEX(SORTBY(tblAssessments[overall_risk_level],tblAssessments[department_name],1,tblAssessments[assessment_date],-1,tblAssessments[assessment_id],1),A120),"")</x:f>
      </x:c>
      <x:c r="G120" s="87" t="str">
        <x:f>IFERROR(INDEX(SORTBY(tblAssessments[assessment_date],tblAssessments[department_name],1,tblAssessments[assessment_date],-1,tblAssessments[assessment_id],1),A120),"")</x:f>
      </x:c>
      <x:c r="H120" s="83" t="str">
        <x:f>IFERROR(INDEX(SORTBY(tblAssessments[report_number],tblAssessments[department_name],1,tblAssessments[assessment_date],-1,tblAssessments[assessment_id],1),A120),"")</x:f>
      </x:c>
      <x:c r="I120" s="83" t="str">
        <x:f>IF(E120="","",IF(E120&gt;=6,"Immediate corrective action",IF(E120&gt;=3,"Document improvement plan","Maintain controls")))</x:f>
      </x:c>
      <x:c r="T120" t="str">
        <x:f>IFERROR(INDEX(SORTBY(tblAssessments[assessment_id],tblAssessments[department_name],1,tblAssessments[assessment_date],-1,tblAssessments[assessment_id],1),A120),"")</x:f>
      </x:c>
    </x:row>
    <x:row r="121">
      <x:c r="A121" s="83" t="n">
        <x:v>98</x:v>
      </x:c>
      <x:c r="B121" s="85" t="str">
        <x:f>IFERROR(INDEX(SORTBY(tblAssessments[department_name],tblAssessments[department_name],1,tblAssessments[assessment_date],-1,tblAssessments[assessment_id],1),A121),"")</x:f>
      </x:c>
      <x:c r="C121" s="83" t="str">
        <x:f>IFERROR(INDEX(SORTBY(tblAssessments[total_staff_count],tblAssessments[department_name],1,tblAssessments[assessment_date],-1,tblAssessments[assessment_id],1),A121),"")</x:f>
      </x:c>
      <x:c r="D121" s="83" t="str">
        <x:f>IFERROR(INDEX(SORTBY(tblAssessments[status],tblAssessments[department_name],1,tblAssessments[assessment_date],-1,tblAssessments[assessment_id],1),A121),"")</x:f>
      </x:c>
      <x:c r="E121" s="83" t="str">
        <x:f>IFERROR(INDEX(SORTBY(tblAssessments[overall_risk_score],tblAssessments[department_name],1,tblAssessments[assessment_date],-1,tblAssessments[assessment_id],1),A121),"")</x:f>
      </x:c>
      <x:c r="F121" s="83" t="str">
        <x:f>IFERROR(INDEX(SORTBY(tblAssessments[overall_risk_level],tblAssessments[department_name],1,tblAssessments[assessment_date],-1,tblAssessments[assessment_id],1),A121),"")</x:f>
      </x:c>
      <x:c r="G121" s="87" t="str">
        <x:f>IFERROR(INDEX(SORTBY(tblAssessments[assessment_date],tblAssessments[department_name],1,tblAssessments[assessment_date],-1,tblAssessments[assessment_id],1),A121),"")</x:f>
      </x:c>
      <x:c r="H121" s="83" t="str">
        <x:f>IFERROR(INDEX(SORTBY(tblAssessments[report_number],tblAssessments[department_name],1,tblAssessments[assessment_date],-1,tblAssessments[assessment_id],1),A121),"")</x:f>
      </x:c>
      <x:c r="I121" s="83" t="str">
        <x:f>IF(E121="","",IF(E121&gt;=6,"Immediate corrective action",IF(E121&gt;=3,"Document improvement plan","Maintain controls")))</x:f>
      </x:c>
      <x:c r="T121" t="str">
        <x:f>IFERROR(INDEX(SORTBY(tblAssessments[assessment_id],tblAssessments[department_name],1,tblAssessments[assessment_date],-1,tblAssessments[assessment_id],1),A121),"")</x:f>
      </x:c>
    </x:row>
    <x:row r="122">
      <x:c r="A122" s="83" t="n">
        <x:v>99</x:v>
      </x:c>
      <x:c r="B122" s="85" t="str">
        <x:f>IFERROR(INDEX(SORTBY(tblAssessments[department_name],tblAssessments[department_name],1,tblAssessments[assessment_date],-1,tblAssessments[assessment_id],1),A122),"")</x:f>
      </x:c>
      <x:c r="C122" s="83" t="str">
        <x:f>IFERROR(INDEX(SORTBY(tblAssessments[total_staff_count],tblAssessments[department_name],1,tblAssessments[assessment_date],-1,tblAssessments[assessment_id],1),A122),"")</x:f>
      </x:c>
      <x:c r="D122" s="83" t="str">
        <x:f>IFERROR(INDEX(SORTBY(tblAssessments[status],tblAssessments[department_name],1,tblAssessments[assessment_date],-1,tblAssessments[assessment_id],1),A122),"")</x:f>
      </x:c>
      <x:c r="E122" s="83" t="str">
        <x:f>IFERROR(INDEX(SORTBY(tblAssessments[overall_risk_score],tblAssessments[department_name],1,tblAssessments[assessment_date],-1,tblAssessments[assessment_id],1),A122),"")</x:f>
      </x:c>
      <x:c r="F122" s="83" t="str">
        <x:f>IFERROR(INDEX(SORTBY(tblAssessments[overall_risk_level],tblAssessments[department_name],1,tblAssessments[assessment_date],-1,tblAssessments[assessment_id],1),A122),"")</x:f>
      </x:c>
      <x:c r="G122" s="87" t="str">
        <x:f>IFERROR(INDEX(SORTBY(tblAssessments[assessment_date],tblAssessments[department_name],1,tblAssessments[assessment_date],-1,tblAssessments[assessment_id],1),A122),"")</x:f>
      </x:c>
      <x:c r="H122" s="83" t="str">
        <x:f>IFERROR(INDEX(SORTBY(tblAssessments[report_number],tblAssessments[department_name],1,tblAssessments[assessment_date],-1,tblAssessments[assessment_id],1),A122),"")</x:f>
      </x:c>
      <x:c r="I122" s="83" t="str">
        <x:f>IF(E122="","",IF(E122&gt;=6,"Immediate corrective action",IF(E122&gt;=3,"Document improvement plan","Maintain controls")))</x:f>
      </x:c>
      <x:c r="T122" t="str">
        <x:f>IFERROR(INDEX(SORTBY(tblAssessments[assessment_id],tblAssessments[department_name],1,tblAssessments[assessment_date],-1,tblAssessments[assessment_id],1),A122),"")</x:f>
      </x:c>
    </x:row>
    <x:row r="123">
      <x:c r="A123" s="83" t="n">
        <x:v>100</x:v>
      </x:c>
      <x:c r="B123" s="85" t="str">
        <x:f>IFERROR(INDEX(SORTBY(tblAssessments[department_name],tblAssessments[department_name],1,tblAssessments[assessment_date],-1,tblAssessments[assessment_id],1),A123),"")</x:f>
      </x:c>
      <x:c r="C123" s="83" t="str">
        <x:f>IFERROR(INDEX(SORTBY(tblAssessments[total_staff_count],tblAssessments[department_name],1,tblAssessments[assessment_date],-1,tblAssessments[assessment_id],1),A123),"")</x:f>
      </x:c>
      <x:c r="D123" s="83" t="str">
        <x:f>IFERROR(INDEX(SORTBY(tblAssessments[status],tblAssessments[department_name],1,tblAssessments[assessment_date],-1,tblAssessments[assessment_id],1),A123),"")</x:f>
      </x:c>
      <x:c r="E123" s="83" t="str">
        <x:f>IFERROR(INDEX(SORTBY(tblAssessments[overall_risk_score],tblAssessments[department_name],1,tblAssessments[assessment_date],-1,tblAssessments[assessment_id],1),A123),"")</x:f>
      </x:c>
      <x:c r="F123" s="83" t="str">
        <x:f>IFERROR(INDEX(SORTBY(tblAssessments[overall_risk_level],tblAssessments[department_name],1,tblAssessments[assessment_date],-1,tblAssessments[assessment_id],1),A123),"")</x:f>
      </x:c>
      <x:c r="G123" s="87" t="str">
        <x:f>IFERROR(INDEX(SORTBY(tblAssessments[assessment_date],tblAssessments[department_name],1,tblAssessments[assessment_date],-1,tblAssessments[assessment_id],1),A123),"")</x:f>
      </x:c>
      <x:c r="H123" s="83" t="str">
        <x:f>IFERROR(INDEX(SORTBY(tblAssessments[report_number],tblAssessments[department_name],1,tblAssessments[assessment_date],-1,tblAssessments[assessment_id],1),A123),"")</x:f>
      </x:c>
      <x:c r="I123" s="83" t="str">
        <x:f>IF(E123="","",IF(E123&gt;=6,"Immediate corrective action",IF(E123&gt;=3,"Document improvement plan","Maintain controls")))</x:f>
      </x:c>
      <x:c r="T123" t="str">
        <x:f>IFERROR(INDEX(SORTBY(tblAssessments[assessment_id],tblAssessments[department_name],1,tblAssessments[assessment_date],-1,tblAssessments[assessment_id],1),A123),"")</x:f>
      </x:c>
    </x:row>
    <x:row r="124">
      <x:c r="A124" s="83" t="n">
        <x:v>101</x:v>
      </x:c>
      <x:c r="B124" s="85" t="str">
        <x:f>IFERROR(INDEX(SORTBY(tblAssessments[department_name],tblAssessments[department_name],1,tblAssessments[assessment_date],-1,tblAssessments[assessment_id],1),A124),"")</x:f>
      </x:c>
      <x:c r="C124" s="83" t="str">
        <x:f>IFERROR(INDEX(SORTBY(tblAssessments[total_staff_count],tblAssessments[department_name],1,tblAssessments[assessment_date],-1,tblAssessments[assessment_id],1),A124),"")</x:f>
      </x:c>
      <x:c r="D124" s="83" t="str">
        <x:f>IFERROR(INDEX(SORTBY(tblAssessments[status],tblAssessments[department_name],1,tblAssessments[assessment_date],-1,tblAssessments[assessment_id],1),A124),"")</x:f>
      </x:c>
      <x:c r="E124" s="83" t="str">
        <x:f>IFERROR(INDEX(SORTBY(tblAssessments[overall_risk_score],tblAssessments[department_name],1,tblAssessments[assessment_date],-1,tblAssessments[assessment_id],1),A124),"")</x:f>
      </x:c>
      <x:c r="F124" s="83" t="str">
        <x:f>IFERROR(INDEX(SORTBY(tblAssessments[overall_risk_level],tblAssessments[department_name],1,tblAssessments[assessment_date],-1,tblAssessments[assessment_id],1),A124),"")</x:f>
      </x:c>
      <x:c r="G124" s="87" t="str">
        <x:f>IFERROR(INDEX(SORTBY(tblAssessments[assessment_date],tblAssessments[department_name],1,tblAssessments[assessment_date],-1,tblAssessments[assessment_id],1),A124),"")</x:f>
      </x:c>
      <x:c r="H124" s="83" t="str">
        <x:f>IFERROR(INDEX(SORTBY(tblAssessments[report_number],tblAssessments[department_name],1,tblAssessments[assessment_date],-1,tblAssessments[assessment_id],1),A124),"")</x:f>
      </x:c>
      <x:c r="I124" s="83" t="str">
        <x:f>IF(E124="","",IF(E124&gt;=6,"Immediate corrective action",IF(E124&gt;=3,"Document improvement plan","Maintain controls")))</x:f>
      </x:c>
      <x:c r="T124" t="str">
        <x:f>IFERROR(INDEX(SORTBY(tblAssessments[assessment_id],tblAssessments[department_name],1,tblAssessments[assessment_date],-1,tblAssessments[assessment_id],1),A124),"")</x:f>
      </x:c>
    </x:row>
    <x:row r="125">
      <x:c r="A125" s="83" t="n">
        <x:v>102</x:v>
      </x:c>
      <x:c r="B125" s="85" t="str">
        <x:f>IFERROR(INDEX(SORTBY(tblAssessments[department_name],tblAssessments[department_name],1,tblAssessments[assessment_date],-1,tblAssessments[assessment_id],1),A125),"")</x:f>
      </x:c>
      <x:c r="C125" s="83" t="str">
        <x:f>IFERROR(INDEX(SORTBY(tblAssessments[total_staff_count],tblAssessments[department_name],1,tblAssessments[assessment_date],-1,tblAssessments[assessment_id],1),A125),"")</x:f>
      </x:c>
      <x:c r="D125" s="83" t="str">
        <x:f>IFERROR(INDEX(SORTBY(tblAssessments[status],tblAssessments[department_name],1,tblAssessments[assessment_date],-1,tblAssessments[assessment_id],1),A125),"")</x:f>
      </x:c>
      <x:c r="E125" s="83" t="str">
        <x:f>IFERROR(INDEX(SORTBY(tblAssessments[overall_risk_score],tblAssessments[department_name],1,tblAssessments[assessment_date],-1,tblAssessments[assessment_id],1),A125),"")</x:f>
      </x:c>
      <x:c r="F125" s="83" t="str">
        <x:f>IFERROR(INDEX(SORTBY(tblAssessments[overall_risk_level],tblAssessments[department_name],1,tblAssessments[assessment_date],-1,tblAssessments[assessment_id],1),A125),"")</x:f>
      </x:c>
      <x:c r="G125" s="87" t="str">
        <x:f>IFERROR(INDEX(SORTBY(tblAssessments[assessment_date],tblAssessments[department_name],1,tblAssessments[assessment_date],-1,tblAssessments[assessment_id],1),A125),"")</x:f>
      </x:c>
      <x:c r="H125" s="83" t="str">
        <x:f>IFERROR(INDEX(SORTBY(tblAssessments[report_number],tblAssessments[department_name],1,tblAssessments[assessment_date],-1,tblAssessments[assessment_id],1),A125),"")</x:f>
      </x:c>
      <x:c r="I125" s="83" t="str">
        <x:f>IF(E125="","",IF(E125&gt;=6,"Immediate corrective action",IF(E125&gt;=3,"Document improvement plan","Maintain controls")))</x:f>
      </x:c>
      <x:c r="T125" t="str">
        <x:f>IFERROR(INDEX(SORTBY(tblAssessments[assessment_id],tblAssessments[department_name],1,tblAssessments[assessment_date],-1,tblAssessments[assessment_id],1),A125),"")</x:f>
      </x:c>
    </x:row>
    <x:row r="126">
      <x:c r="A126" s="83" t="n">
        <x:v>103</x:v>
      </x:c>
      <x:c r="B126" s="85" t="str">
        <x:f>IFERROR(INDEX(SORTBY(tblAssessments[department_name],tblAssessments[department_name],1,tblAssessments[assessment_date],-1,tblAssessments[assessment_id],1),A126),"")</x:f>
      </x:c>
      <x:c r="C126" s="83" t="str">
        <x:f>IFERROR(INDEX(SORTBY(tblAssessments[total_staff_count],tblAssessments[department_name],1,tblAssessments[assessment_date],-1,tblAssessments[assessment_id],1),A126),"")</x:f>
      </x:c>
      <x:c r="D126" s="83" t="str">
        <x:f>IFERROR(INDEX(SORTBY(tblAssessments[status],tblAssessments[department_name],1,tblAssessments[assessment_date],-1,tblAssessments[assessment_id],1),A126),"")</x:f>
      </x:c>
      <x:c r="E126" s="83" t="str">
        <x:f>IFERROR(INDEX(SORTBY(tblAssessments[overall_risk_score],tblAssessments[department_name],1,tblAssessments[assessment_date],-1,tblAssessments[assessment_id],1),A126),"")</x:f>
      </x:c>
      <x:c r="F126" s="83" t="str">
        <x:f>IFERROR(INDEX(SORTBY(tblAssessments[overall_risk_level],tblAssessments[department_name],1,tblAssessments[assessment_date],-1,tblAssessments[assessment_id],1),A126),"")</x:f>
      </x:c>
      <x:c r="G126" s="87" t="str">
        <x:f>IFERROR(INDEX(SORTBY(tblAssessments[assessment_date],tblAssessments[department_name],1,tblAssessments[assessment_date],-1,tblAssessments[assessment_id],1),A126),"")</x:f>
      </x:c>
      <x:c r="H126" s="83" t="str">
        <x:f>IFERROR(INDEX(SORTBY(tblAssessments[report_number],tblAssessments[department_name],1,tblAssessments[assessment_date],-1,tblAssessments[assessment_id],1),A126),"")</x:f>
      </x:c>
      <x:c r="I126" s="83" t="str">
        <x:f>IF(E126="","",IF(E126&gt;=6,"Immediate corrective action",IF(E126&gt;=3,"Document improvement plan","Maintain controls")))</x:f>
      </x:c>
      <x:c r="T126" t="str">
        <x:f>IFERROR(INDEX(SORTBY(tblAssessments[assessment_id],tblAssessments[department_name],1,tblAssessments[assessment_date],-1,tblAssessments[assessment_id],1),A126),"")</x:f>
      </x:c>
    </x:row>
    <x:row r="127">
      <x:c r="A127" s="83" t="n">
        <x:v>104</x:v>
      </x:c>
      <x:c r="B127" s="85" t="str">
        <x:f>IFERROR(INDEX(SORTBY(tblAssessments[department_name],tblAssessments[department_name],1,tblAssessments[assessment_date],-1,tblAssessments[assessment_id],1),A127),"")</x:f>
      </x:c>
      <x:c r="C127" s="83" t="str">
        <x:f>IFERROR(INDEX(SORTBY(tblAssessments[total_staff_count],tblAssessments[department_name],1,tblAssessments[assessment_date],-1,tblAssessments[assessment_id],1),A127),"")</x:f>
      </x:c>
      <x:c r="D127" s="83" t="str">
        <x:f>IFERROR(INDEX(SORTBY(tblAssessments[status],tblAssessments[department_name],1,tblAssessments[assessment_date],-1,tblAssessments[assessment_id],1),A127),"")</x:f>
      </x:c>
      <x:c r="E127" s="83" t="str">
        <x:f>IFERROR(INDEX(SORTBY(tblAssessments[overall_risk_score],tblAssessments[department_name],1,tblAssessments[assessment_date],-1,tblAssessments[assessment_id],1),A127),"")</x:f>
      </x:c>
      <x:c r="F127" s="83" t="str">
        <x:f>IFERROR(INDEX(SORTBY(tblAssessments[overall_risk_level],tblAssessments[department_name],1,tblAssessments[assessment_date],-1,tblAssessments[assessment_id],1),A127),"")</x:f>
      </x:c>
      <x:c r="G127" s="87" t="str">
        <x:f>IFERROR(INDEX(SORTBY(tblAssessments[assessment_date],tblAssessments[department_name],1,tblAssessments[assessment_date],-1,tblAssessments[assessment_id],1),A127),"")</x:f>
      </x:c>
      <x:c r="H127" s="83" t="str">
        <x:f>IFERROR(INDEX(SORTBY(tblAssessments[report_number],tblAssessments[department_name],1,tblAssessments[assessment_date],-1,tblAssessments[assessment_id],1),A127),"")</x:f>
      </x:c>
      <x:c r="I127" s="83" t="str">
        <x:f>IF(E127="","",IF(E127&gt;=6,"Immediate corrective action",IF(E127&gt;=3,"Document improvement plan","Maintain controls")))</x:f>
      </x:c>
      <x:c r="T127" t="str">
        <x:f>IFERROR(INDEX(SORTBY(tblAssessments[assessment_id],tblAssessments[department_name],1,tblAssessments[assessment_date],-1,tblAssessments[assessment_id],1),A127),"")</x:f>
      </x:c>
    </x:row>
    <x:row r="128">
      <x:c r="A128" s="83" t="n">
        <x:v>105</x:v>
      </x:c>
      <x:c r="B128" s="85" t="str">
        <x:f>IFERROR(INDEX(SORTBY(tblAssessments[department_name],tblAssessments[department_name],1,tblAssessments[assessment_date],-1,tblAssessments[assessment_id],1),A128),"")</x:f>
      </x:c>
      <x:c r="C128" s="83" t="str">
        <x:f>IFERROR(INDEX(SORTBY(tblAssessments[total_staff_count],tblAssessments[department_name],1,tblAssessments[assessment_date],-1,tblAssessments[assessment_id],1),A128),"")</x:f>
      </x:c>
      <x:c r="D128" s="83" t="str">
        <x:f>IFERROR(INDEX(SORTBY(tblAssessments[status],tblAssessments[department_name],1,tblAssessments[assessment_date],-1,tblAssessments[assessment_id],1),A128),"")</x:f>
      </x:c>
      <x:c r="E128" s="83" t="str">
        <x:f>IFERROR(INDEX(SORTBY(tblAssessments[overall_risk_score],tblAssessments[department_name],1,tblAssessments[assessment_date],-1,tblAssessments[assessment_id],1),A128),"")</x:f>
      </x:c>
      <x:c r="F128" s="83" t="str">
        <x:f>IFERROR(INDEX(SORTBY(tblAssessments[overall_risk_level],tblAssessments[department_name],1,tblAssessments[assessment_date],-1,tblAssessments[assessment_id],1),A128),"")</x:f>
      </x:c>
      <x:c r="G128" s="87" t="str">
        <x:f>IFERROR(INDEX(SORTBY(tblAssessments[assessment_date],tblAssessments[department_name],1,tblAssessments[assessment_date],-1,tblAssessments[assessment_id],1),A128),"")</x:f>
      </x:c>
      <x:c r="H128" s="83" t="str">
        <x:f>IFERROR(INDEX(SORTBY(tblAssessments[report_number],tblAssessments[department_name],1,tblAssessments[assessment_date],-1,tblAssessments[assessment_id],1),A128),"")</x:f>
      </x:c>
      <x:c r="I128" s="83" t="str">
        <x:f>IF(E128="","",IF(E128&gt;=6,"Immediate corrective action",IF(E128&gt;=3,"Document improvement plan","Maintain controls")))</x:f>
      </x:c>
      <x:c r="T128" t="str">
        <x:f>IFERROR(INDEX(SORTBY(tblAssessments[assessment_id],tblAssessments[department_name],1,tblAssessments[assessment_date],-1,tblAssessments[assessment_id],1),A128),"")</x:f>
      </x:c>
    </x:row>
    <x:row r="129">
      <x:c r="A129" s="83" t="n">
        <x:v>106</x:v>
      </x:c>
      <x:c r="B129" s="85" t="str">
        <x:f>IFERROR(INDEX(SORTBY(tblAssessments[department_name],tblAssessments[department_name],1,tblAssessments[assessment_date],-1,tblAssessments[assessment_id],1),A129),"")</x:f>
      </x:c>
      <x:c r="C129" s="83" t="str">
        <x:f>IFERROR(INDEX(SORTBY(tblAssessments[total_staff_count],tblAssessments[department_name],1,tblAssessments[assessment_date],-1,tblAssessments[assessment_id],1),A129),"")</x:f>
      </x:c>
      <x:c r="D129" s="83" t="str">
        <x:f>IFERROR(INDEX(SORTBY(tblAssessments[status],tblAssessments[department_name],1,tblAssessments[assessment_date],-1,tblAssessments[assessment_id],1),A129),"")</x:f>
      </x:c>
      <x:c r="E129" s="83" t="str">
        <x:f>IFERROR(INDEX(SORTBY(tblAssessments[overall_risk_score],tblAssessments[department_name],1,tblAssessments[assessment_date],-1,tblAssessments[assessment_id],1),A129),"")</x:f>
      </x:c>
      <x:c r="F129" s="83" t="str">
        <x:f>IFERROR(INDEX(SORTBY(tblAssessments[overall_risk_level],tblAssessments[department_name],1,tblAssessments[assessment_date],-1,tblAssessments[assessment_id],1),A129),"")</x:f>
      </x:c>
      <x:c r="G129" s="87" t="str">
        <x:f>IFERROR(INDEX(SORTBY(tblAssessments[assessment_date],tblAssessments[department_name],1,tblAssessments[assessment_date],-1,tblAssessments[assessment_id],1),A129),"")</x:f>
      </x:c>
      <x:c r="H129" s="83" t="str">
        <x:f>IFERROR(INDEX(SORTBY(tblAssessments[report_number],tblAssessments[department_name],1,tblAssessments[assessment_date],-1,tblAssessments[assessment_id],1),A129),"")</x:f>
      </x:c>
      <x:c r="I129" s="83" t="str">
        <x:f>IF(E129="","",IF(E129&gt;=6,"Immediate corrective action",IF(E129&gt;=3,"Document improvement plan","Maintain controls")))</x:f>
      </x:c>
      <x:c r="T129" t="str">
        <x:f>IFERROR(INDEX(SORTBY(tblAssessments[assessment_id],tblAssessments[department_name],1,tblAssessments[assessment_date],-1,tblAssessments[assessment_id],1),A129),"")</x:f>
      </x:c>
    </x:row>
    <x:row r="130">
      <x:c r="A130" s="83" t="n">
        <x:v>107</x:v>
      </x:c>
      <x:c r="B130" s="85" t="str">
        <x:f>IFERROR(INDEX(SORTBY(tblAssessments[department_name],tblAssessments[department_name],1,tblAssessments[assessment_date],-1,tblAssessments[assessment_id],1),A130),"")</x:f>
      </x:c>
      <x:c r="C130" s="83" t="str">
        <x:f>IFERROR(INDEX(SORTBY(tblAssessments[total_staff_count],tblAssessments[department_name],1,tblAssessments[assessment_date],-1,tblAssessments[assessment_id],1),A130),"")</x:f>
      </x:c>
      <x:c r="D130" s="83" t="str">
        <x:f>IFERROR(INDEX(SORTBY(tblAssessments[status],tblAssessments[department_name],1,tblAssessments[assessment_date],-1,tblAssessments[assessment_id],1),A130),"")</x:f>
      </x:c>
      <x:c r="E130" s="83" t="str">
        <x:f>IFERROR(INDEX(SORTBY(tblAssessments[overall_risk_score],tblAssessments[department_name],1,tblAssessments[assessment_date],-1,tblAssessments[assessment_id],1),A130),"")</x:f>
      </x:c>
      <x:c r="F130" s="83" t="str">
        <x:f>IFERROR(INDEX(SORTBY(tblAssessments[overall_risk_level],tblAssessments[department_name],1,tblAssessments[assessment_date],-1,tblAssessments[assessment_id],1),A130),"")</x:f>
      </x:c>
      <x:c r="G130" s="87" t="str">
        <x:f>IFERROR(INDEX(SORTBY(tblAssessments[assessment_date],tblAssessments[department_name],1,tblAssessments[assessment_date],-1,tblAssessments[assessment_id],1),A130),"")</x:f>
      </x:c>
      <x:c r="H130" s="83" t="str">
        <x:f>IFERROR(INDEX(SORTBY(tblAssessments[report_number],tblAssessments[department_name],1,tblAssessments[assessment_date],-1,tblAssessments[assessment_id],1),A130),"")</x:f>
      </x:c>
      <x:c r="I130" s="83" t="str">
        <x:f>IF(E130="","",IF(E130&gt;=6,"Immediate corrective action",IF(E130&gt;=3,"Document improvement plan","Maintain controls")))</x:f>
      </x:c>
      <x:c r="T130" t="str">
        <x:f>IFERROR(INDEX(SORTBY(tblAssessments[assessment_id],tblAssessments[department_name],1,tblAssessments[assessment_date],-1,tblAssessments[assessment_id],1),A130),"")</x:f>
      </x:c>
    </x:row>
    <x:row r="131">
      <x:c r="A131" s="83" t="n">
        <x:v>108</x:v>
      </x:c>
      <x:c r="B131" s="85" t="str">
        <x:f>IFERROR(INDEX(SORTBY(tblAssessments[department_name],tblAssessments[department_name],1,tblAssessments[assessment_date],-1,tblAssessments[assessment_id],1),A131),"")</x:f>
      </x:c>
      <x:c r="C131" s="83" t="str">
        <x:f>IFERROR(INDEX(SORTBY(tblAssessments[total_staff_count],tblAssessments[department_name],1,tblAssessments[assessment_date],-1,tblAssessments[assessment_id],1),A131),"")</x:f>
      </x:c>
      <x:c r="D131" s="83" t="str">
        <x:f>IFERROR(INDEX(SORTBY(tblAssessments[status],tblAssessments[department_name],1,tblAssessments[assessment_date],-1,tblAssessments[assessment_id],1),A131),"")</x:f>
      </x:c>
      <x:c r="E131" s="83" t="str">
        <x:f>IFERROR(INDEX(SORTBY(tblAssessments[overall_risk_score],tblAssessments[department_name],1,tblAssessments[assessment_date],-1,tblAssessments[assessment_id],1),A131),"")</x:f>
      </x:c>
      <x:c r="F131" s="83" t="str">
        <x:f>IFERROR(INDEX(SORTBY(tblAssessments[overall_risk_level],tblAssessments[department_name],1,tblAssessments[assessment_date],-1,tblAssessments[assessment_id],1),A131),"")</x:f>
      </x:c>
      <x:c r="G131" s="87" t="str">
        <x:f>IFERROR(INDEX(SORTBY(tblAssessments[assessment_date],tblAssessments[department_name],1,tblAssessments[assessment_date],-1,tblAssessments[assessment_id],1),A131),"")</x:f>
      </x:c>
      <x:c r="H131" s="83" t="str">
        <x:f>IFERROR(INDEX(SORTBY(tblAssessments[report_number],tblAssessments[department_name],1,tblAssessments[assessment_date],-1,tblAssessments[assessment_id],1),A131),"")</x:f>
      </x:c>
      <x:c r="I131" s="83" t="str">
        <x:f>IF(E131="","",IF(E131&gt;=6,"Immediate corrective action",IF(E131&gt;=3,"Document improvement plan","Maintain controls")))</x:f>
      </x:c>
      <x:c r="T131" t="str">
        <x:f>IFERROR(INDEX(SORTBY(tblAssessments[assessment_id],tblAssessments[department_name],1,tblAssessments[assessment_date],-1,tblAssessments[assessment_id],1),A131),"")</x:f>
      </x:c>
    </x:row>
    <x:row r="132">
      <x:c r="A132" s="83" t="n">
        <x:v>109</x:v>
      </x:c>
      <x:c r="B132" s="85" t="str">
        <x:f>IFERROR(INDEX(SORTBY(tblAssessments[department_name],tblAssessments[department_name],1,tblAssessments[assessment_date],-1,tblAssessments[assessment_id],1),A132),"")</x:f>
      </x:c>
      <x:c r="C132" s="83" t="str">
        <x:f>IFERROR(INDEX(SORTBY(tblAssessments[total_staff_count],tblAssessments[department_name],1,tblAssessments[assessment_date],-1,tblAssessments[assessment_id],1),A132),"")</x:f>
      </x:c>
      <x:c r="D132" s="83" t="str">
        <x:f>IFERROR(INDEX(SORTBY(tblAssessments[status],tblAssessments[department_name],1,tblAssessments[assessment_date],-1,tblAssessments[assessment_id],1),A132),"")</x:f>
      </x:c>
      <x:c r="E132" s="83" t="str">
        <x:f>IFERROR(INDEX(SORTBY(tblAssessments[overall_risk_score],tblAssessments[department_name],1,tblAssessments[assessment_date],-1,tblAssessments[assessment_id],1),A132),"")</x:f>
      </x:c>
      <x:c r="F132" s="83" t="str">
        <x:f>IFERROR(INDEX(SORTBY(tblAssessments[overall_risk_level],tblAssessments[department_name],1,tblAssessments[assessment_date],-1,tblAssessments[assessment_id],1),A132),"")</x:f>
      </x:c>
      <x:c r="G132" s="87" t="str">
        <x:f>IFERROR(INDEX(SORTBY(tblAssessments[assessment_date],tblAssessments[department_name],1,tblAssessments[assessment_date],-1,tblAssessments[assessment_id],1),A132),"")</x:f>
      </x:c>
      <x:c r="H132" s="83" t="str">
        <x:f>IFERROR(INDEX(SORTBY(tblAssessments[report_number],tblAssessments[department_name],1,tblAssessments[assessment_date],-1,tblAssessments[assessment_id],1),A132),"")</x:f>
      </x:c>
      <x:c r="I132" s="83" t="str">
        <x:f>IF(E132="","",IF(E132&gt;=6,"Immediate corrective action",IF(E132&gt;=3,"Document improvement plan","Maintain controls")))</x:f>
      </x:c>
      <x:c r="T132" t="str">
        <x:f>IFERROR(INDEX(SORTBY(tblAssessments[assessment_id],tblAssessments[department_name],1,tblAssessments[assessment_date],-1,tblAssessments[assessment_id],1),A132),"")</x:f>
      </x:c>
    </x:row>
    <x:row r="133">
      <x:c r="A133" s="83" t="n">
        <x:v>110</x:v>
      </x:c>
      <x:c r="B133" s="85" t="str">
        <x:f>IFERROR(INDEX(SORTBY(tblAssessments[department_name],tblAssessments[department_name],1,tblAssessments[assessment_date],-1,tblAssessments[assessment_id],1),A133),"")</x:f>
      </x:c>
      <x:c r="C133" s="83" t="str">
        <x:f>IFERROR(INDEX(SORTBY(tblAssessments[total_staff_count],tblAssessments[department_name],1,tblAssessments[assessment_date],-1,tblAssessments[assessment_id],1),A133),"")</x:f>
      </x:c>
      <x:c r="D133" s="83" t="str">
        <x:f>IFERROR(INDEX(SORTBY(tblAssessments[status],tblAssessments[department_name],1,tblAssessments[assessment_date],-1,tblAssessments[assessment_id],1),A133),"")</x:f>
      </x:c>
      <x:c r="E133" s="83" t="str">
        <x:f>IFERROR(INDEX(SORTBY(tblAssessments[overall_risk_score],tblAssessments[department_name],1,tblAssessments[assessment_date],-1,tblAssessments[assessment_id],1),A133),"")</x:f>
      </x:c>
      <x:c r="F133" s="83" t="str">
        <x:f>IFERROR(INDEX(SORTBY(tblAssessments[overall_risk_level],tblAssessments[department_name],1,tblAssessments[assessment_date],-1,tblAssessments[assessment_id],1),A133),"")</x:f>
      </x:c>
      <x:c r="G133" s="87" t="str">
        <x:f>IFERROR(INDEX(SORTBY(tblAssessments[assessment_date],tblAssessments[department_name],1,tblAssessments[assessment_date],-1,tblAssessments[assessment_id],1),A133),"")</x:f>
      </x:c>
      <x:c r="H133" s="83" t="str">
        <x:f>IFERROR(INDEX(SORTBY(tblAssessments[report_number],tblAssessments[department_name],1,tblAssessments[assessment_date],-1,tblAssessments[assessment_id],1),A133),"")</x:f>
      </x:c>
      <x:c r="I133" s="83" t="str">
        <x:f>IF(E133="","",IF(E133&gt;=6,"Immediate corrective action",IF(E133&gt;=3,"Document improvement plan","Maintain controls")))</x:f>
      </x:c>
      <x:c r="T133" t="str">
        <x:f>IFERROR(INDEX(SORTBY(tblAssessments[assessment_id],tblAssessments[department_name],1,tblAssessments[assessment_date],-1,tblAssessments[assessment_id],1),A133),"")</x:f>
      </x:c>
    </x:row>
    <x:row r="134">
      <x:c r="A134" s="83" t="n">
        <x:v>111</x:v>
      </x:c>
      <x:c r="B134" s="85" t="str">
        <x:f>IFERROR(INDEX(SORTBY(tblAssessments[department_name],tblAssessments[department_name],1,tblAssessments[assessment_date],-1,tblAssessments[assessment_id],1),A134),"")</x:f>
      </x:c>
      <x:c r="C134" s="83" t="str">
        <x:f>IFERROR(INDEX(SORTBY(tblAssessments[total_staff_count],tblAssessments[department_name],1,tblAssessments[assessment_date],-1,tblAssessments[assessment_id],1),A134),"")</x:f>
      </x:c>
      <x:c r="D134" s="83" t="str">
        <x:f>IFERROR(INDEX(SORTBY(tblAssessments[status],tblAssessments[department_name],1,tblAssessments[assessment_date],-1,tblAssessments[assessment_id],1),A134),"")</x:f>
      </x:c>
      <x:c r="E134" s="83" t="str">
        <x:f>IFERROR(INDEX(SORTBY(tblAssessments[overall_risk_score],tblAssessments[department_name],1,tblAssessments[assessment_date],-1,tblAssessments[assessment_id],1),A134),"")</x:f>
      </x:c>
      <x:c r="F134" s="83" t="str">
        <x:f>IFERROR(INDEX(SORTBY(tblAssessments[overall_risk_level],tblAssessments[department_name],1,tblAssessments[assessment_date],-1,tblAssessments[assessment_id],1),A134),"")</x:f>
      </x:c>
      <x:c r="G134" s="87" t="str">
        <x:f>IFERROR(INDEX(SORTBY(tblAssessments[assessment_date],tblAssessments[department_name],1,tblAssessments[assessment_date],-1,tblAssessments[assessment_id],1),A134),"")</x:f>
      </x:c>
      <x:c r="H134" s="83" t="str">
        <x:f>IFERROR(INDEX(SORTBY(tblAssessments[report_number],tblAssessments[department_name],1,tblAssessments[assessment_date],-1,tblAssessments[assessment_id],1),A134),"")</x:f>
      </x:c>
      <x:c r="I134" s="83" t="str">
        <x:f>IF(E134="","",IF(E134&gt;=6,"Immediate corrective action",IF(E134&gt;=3,"Document improvement plan","Maintain controls")))</x:f>
      </x:c>
      <x:c r="T134" t="str">
        <x:f>IFERROR(INDEX(SORTBY(tblAssessments[assessment_id],tblAssessments[department_name],1,tblAssessments[assessment_date],-1,tblAssessments[assessment_id],1),A134),"")</x:f>
      </x:c>
    </x:row>
    <x:row r="135">
      <x:c r="A135" s="83" t="n">
        <x:v>112</x:v>
      </x:c>
      <x:c r="B135" s="85" t="str">
        <x:f>IFERROR(INDEX(SORTBY(tblAssessments[department_name],tblAssessments[department_name],1,tblAssessments[assessment_date],-1,tblAssessments[assessment_id],1),A135),"")</x:f>
      </x:c>
      <x:c r="C135" s="83" t="str">
        <x:f>IFERROR(INDEX(SORTBY(tblAssessments[total_staff_count],tblAssessments[department_name],1,tblAssessments[assessment_date],-1,tblAssessments[assessment_id],1),A135),"")</x:f>
      </x:c>
      <x:c r="D135" s="83" t="str">
        <x:f>IFERROR(INDEX(SORTBY(tblAssessments[status],tblAssessments[department_name],1,tblAssessments[assessment_date],-1,tblAssessments[assessment_id],1),A135),"")</x:f>
      </x:c>
      <x:c r="E135" s="83" t="str">
        <x:f>IFERROR(INDEX(SORTBY(tblAssessments[overall_risk_score],tblAssessments[department_name],1,tblAssessments[assessment_date],-1,tblAssessments[assessment_id],1),A135),"")</x:f>
      </x:c>
      <x:c r="F135" s="83" t="str">
        <x:f>IFERROR(INDEX(SORTBY(tblAssessments[overall_risk_level],tblAssessments[department_name],1,tblAssessments[assessment_date],-1,tblAssessments[assessment_id],1),A135),"")</x:f>
      </x:c>
      <x:c r="G135" s="87" t="str">
        <x:f>IFERROR(INDEX(SORTBY(tblAssessments[assessment_date],tblAssessments[department_name],1,tblAssessments[assessment_date],-1,tblAssessments[assessment_id],1),A135),"")</x:f>
      </x:c>
      <x:c r="H135" s="83" t="str">
        <x:f>IFERROR(INDEX(SORTBY(tblAssessments[report_number],tblAssessments[department_name],1,tblAssessments[assessment_date],-1,tblAssessments[assessment_id],1),A135),"")</x:f>
      </x:c>
      <x:c r="I135" s="83" t="str">
        <x:f>IF(E135="","",IF(E135&gt;=6,"Immediate corrective action",IF(E135&gt;=3,"Document improvement plan","Maintain controls")))</x:f>
      </x:c>
      <x:c r="T135" t="str">
        <x:f>IFERROR(INDEX(SORTBY(tblAssessments[assessment_id],tblAssessments[department_name],1,tblAssessments[assessment_date],-1,tblAssessments[assessment_id],1),A135),"")</x:f>
      </x:c>
    </x:row>
    <x:row r="136">
      <x:c r="A136" s="83" t="n">
        <x:v>113</x:v>
      </x:c>
      <x:c r="B136" s="85" t="str">
        <x:f>IFERROR(INDEX(SORTBY(tblAssessments[department_name],tblAssessments[department_name],1,tblAssessments[assessment_date],-1,tblAssessments[assessment_id],1),A136),"")</x:f>
      </x:c>
      <x:c r="C136" s="83" t="str">
        <x:f>IFERROR(INDEX(SORTBY(tblAssessments[total_staff_count],tblAssessments[department_name],1,tblAssessments[assessment_date],-1,tblAssessments[assessment_id],1),A136),"")</x:f>
      </x:c>
      <x:c r="D136" s="83" t="str">
        <x:f>IFERROR(INDEX(SORTBY(tblAssessments[status],tblAssessments[department_name],1,tblAssessments[assessment_date],-1,tblAssessments[assessment_id],1),A136),"")</x:f>
      </x:c>
      <x:c r="E136" s="83" t="str">
        <x:f>IFERROR(INDEX(SORTBY(tblAssessments[overall_risk_score],tblAssessments[department_name],1,tblAssessments[assessment_date],-1,tblAssessments[assessment_id],1),A136),"")</x:f>
      </x:c>
      <x:c r="F136" s="83" t="str">
        <x:f>IFERROR(INDEX(SORTBY(tblAssessments[overall_risk_level],tblAssessments[department_name],1,tblAssessments[assessment_date],-1,tblAssessments[assessment_id],1),A136),"")</x:f>
      </x:c>
      <x:c r="G136" s="87" t="str">
        <x:f>IFERROR(INDEX(SORTBY(tblAssessments[assessment_date],tblAssessments[department_name],1,tblAssessments[assessment_date],-1,tblAssessments[assessment_id],1),A136),"")</x:f>
      </x:c>
      <x:c r="H136" s="83" t="str">
        <x:f>IFERROR(INDEX(SORTBY(tblAssessments[report_number],tblAssessments[department_name],1,tblAssessments[assessment_date],-1,tblAssessments[assessment_id],1),A136),"")</x:f>
      </x:c>
      <x:c r="I136" s="83" t="str">
        <x:f>IF(E136="","",IF(E136&gt;=6,"Immediate corrective action",IF(E136&gt;=3,"Document improvement plan","Maintain controls")))</x:f>
      </x:c>
      <x:c r="T136" t="str">
        <x:f>IFERROR(INDEX(SORTBY(tblAssessments[assessment_id],tblAssessments[department_name],1,tblAssessments[assessment_date],-1,tblAssessments[assessment_id],1),A136),"")</x:f>
      </x:c>
    </x:row>
    <x:row r="137">
      <x:c r="A137" s="83" t="n">
        <x:v>114</x:v>
      </x:c>
      <x:c r="B137" s="85" t="str">
        <x:f>IFERROR(INDEX(SORTBY(tblAssessments[department_name],tblAssessments[department_name],1,tblAssessments[assessment_date],-1,tblAssessments[assessment_id],1),A137),"")</x:f>
      </x:c>
      <x:c r="C137" s="83" t="str">
        <x:f>IFERROR(INDEX(SORTBY(tblAssessments[total_staff_count],tblAssessments[department_name],1,tblAssessments[assessment_date],-1,tblAssessments[assessment_id],1),A137),"")</x:f>
      </x:c>
      <x:c r="D137" s="83" t="str">
        <x:f>IFERROR(INDEX(SORTBY(tblAssessments[status],tblAssessments[department_name],1,tblAssessments[assessment_date],-1,tblAssessments[assessment_id],1),A137),"")</x:f>
      </x:c>
      <x:c r="E137" s="83" t="str">
        <x:f>IFERROR(INDEX(SORTBY(tblAssessments[overall_risk_score],tblAssessments[department_name],1,tblAssessments[assessment_date],-1,tblAssessments[assessment_id],1),A137),"")</x:f>
      </x:c>
      <x:c r="F137" s="83" t="str">
        <x:f>IFERROR(INDEX(SORTBY(tblAssessments[overall_risk_level],tblAssessments[department_name],1,tblAssessments[assessment_date],-1,tblAssessments[assessment_id],1),A137),"")</x:f>
      </x:c>
      <x:c r="G137" s="87" t="str">
        <x:f>IFERROR(INDEX(SORTBY(tblAssessments[assessment_date],tblAssessments[department_name],1,tblAssessments[assessment_date],-1,tblAssessments[assessment_id],1),A137),"")</x:f>
      </x:c>
      <x:c r="H137" s="83" t="str">
        <x:f>IFERROR(INDEX(SORTBY(tblAssessments[report_number],tblAssessments[department_name],1,tblAssessments[assessment_date],-1,tblAssessments[assessment_id],1),A137),"")</x:f>
      </x:c>
      <x:c r="I137" s="83" t="str">
        <x:f>IF(E137="","",IF(E137&gt;=6,"Immediate corrective action",IF(E137&gt;=3,"Document improvement plan","Maintain controls")))</x:f>
      </x:c>
      <x:c r="T137" t="str">
        <x:f>IFERROR(INDEX(SORTBY(tblAssessments[assessment_id],tblAssessments[department_name],1,tblAssessments[assessment_date],-1,tblAssessments[assessment_id],1),A137),"")</x:f>
      </x:c>
    </x:row>
    <x:row r="138">
      <x:c r="A138" s="83" t="n">
        <x:v>115</x:v>
      </x:c>
      <x:c r="B138" s="85" t="str">
        <x:f>IFERROR(INDEX(SORTBY(tblAssessments[department_name],tblAssessments[department_name],1,tblAssessments[assessment_date],-1,tblAssessments[assessment_id],1),A138),"")</x:f>
      </x:c>
      <x:c r="C138" s="83" t="str">
        <x:f>IFERROR(INDEX(SORTBY(tblAssessments[total_staff_count],tblAssessments[department_name],1,tblAssessments[assessment_date],-1,tblAssessments[assessment_id],1),A138),"")</x:f>
      </x:c>
      <x:c r="D138" s="83" t="str">
        <x:f>IFERROR(INDEX(SORTBY(tblAssessments[status],tblAssessments[department_name],1,tblAssessments[assessment_date],-1,tblAssessments[assessment_id],1),A138),"")</x:f>
      </x:c>
      <x:c r="E138" s="83" t="str">
        <x:f>IFERROR(INDEX(SORTBY(tblAssessments[overall_risk_score],tblAssessments[department_name],1,tblAssessments[assessment_date],-1,tblAssessments[assessment_id],1),A138),"")</x:f>
      </x:c>
      <x:c r="F138" s="83" t="str">
        <x:f>IFERROR(INDEX(SORTBY(tblAssessments[overall_risk_level],tblAssessments[department_name],1,tblAssessments[assessment_date],-1,tblAssessments[assessment_id],1),A138),"")</x:f>
      </x:c>
      <x:c r="G138" s="87" t="str">
        <x:f>IFERROR(INDEX(SORTBY(tblAssessments[assessment_date],tblAssessments[department_name],1,tblAssessments[assessment_date],-1,tblAssessments[assessment_id],1),A138),"")</x:f>
      </x:c>
      <x:c r="H138" s="83" t="str">
        <x:f>IFERROR(INDEX(SORTBY(tblAssessments[report_number],tblAssessments[department_name],1,tblAssessments[assessment_date],-1,tblAssessments[assessment_id],1),A138),"")</x:f>
      </x:c>
      <x:c r="I138" s="83" t="str">
        <x:f>IF(E138="","",IF(E138&gt;=6,"Immediate corrective action",IF(E138&gt;=3,"Document improvement plan","Maintain controls")))</x:f>
      </x:c>
      <x:c r="T138" t="str">
        <x:f>IFERROR(INDEX(SORTBY(tblAssessments[assessment_id],tblAssessments[department_name],1,tblAssessments[assessment_date],-1,tblAssessments[assessment_id],1),A138),"")</x:f>
      </x:c>
    </x:row>
    <x:row r="139">
      <x:c r="A139" s="83" t="n">
        <x:v>116</x:v>
      </x:c>
      <x:c r="B139" s="85" t="str">
        <x:f>IFERROR(INDEX(SORTBY(tblAssessments[department_name],tblAssessments[department_name],1,tblAssessments[assessment_date],-1,tblAssessments[assessment_id],1),A139),"")</x:f>
      </x:c>
      <x:c r="C139" s="83" t="str">
        <x:f>IFERROR(INDEX(SORTBY(tblAssessments[total_staff_count],tblAssessments[department_name],1,tblAssessments[assessment_date],-1,tblAssessments[assessment_id],1),A139),"")</x:f>
      </x:c>
      <x:c r="D139" s="83" t="str">
        <x:f>IFERROR(INDEX(SORTBY(tblAssessments[status],tblAssessments[department_name],1,tblAssessments[assessment_date],-1,tblAssessments[assessment_id],1),A139),"")</x:f>
      </x:c>
      <x:c r="E139" s="83" t="str">
        <x:f>IFERROR(INDEX(SORTBY(tblAssessments[overall_risk_score],tblAssessments[department_name],1,tblAssessments[assessment_date],-1,tblAssessments[assessment_id],1),A139),"")</x:f>
      </x:c>
      <x:c r="F139" s="83" t="str">
        <x:f>IFERROR(INDEX(SORTBY(tblAssessments[overall_risk_level],tblAssessments[department_name],1,tblAssessments[assessment_date],-1,tblAssessments[assessment_id],1),A139),"")</x:f>
      </x:c>
      <x:c r="G139" s="87" t="str">
        <x:f>IFERROR(INDEX(SORTBY(tblAssessments[assessment_date],tblAssessments[department_name],1,tblAssessments[assessment_date],-1,tblAssessments[assessment_id],1),A139),"")</x:f>
      </x:c>
      <x:c r="H139" s="83" t="str">
        <x:f>IFERROR(INDEX(SORTBY(tblAssessments[report_number],tblAssessments[department_name],1,tblAssessments[assessment_date],-1,tblAssessments[assessment_id],1),A139),"")</x:f>
      </x:c>
      <x:c r="I139" s="83" t="str">
        <x:f>IF(E139="","",IF(E139&gt;=6,"Immediate corrective action",IF(E139&gt;=3,"Document improvement plan","Maintain controls")))</x:f>
      </x:c>
      <x:c r="T139" t="str">
        <x:f>IFERROR(INDEX(SORTBY(tblAssessments[assessment_id],tblAssessments[department_name],1,tblAssessments[assessment_date],-1,tblAssessments[assessment_id],1),A139),"")</x:f>
      </x:c>
    </x:row>
    <x:row r="140">
      <x:c r="A140" s="83" t="n">
        <x:v>117</x:v>
      </x:c>
      <x:c r="B140" s="85" t="str">
        <x:f>IFERROR(INDEX(SORTBY(tblAssessments[department_name],tblAssessments[department_name],1,tblAssessments[assessment_date],-1,tblAssessments[assessment_id],1),A140),"")</x:f>
      </x:c>
      <x:c r="C140" s="83" t="str">
        <x:f>IFERROR(INDEX(SORTBY(tblAssessments[total_staff_count],tblAssessments[department_name],1,tblAssessments[assessment_date],-1,tblAssessments[assessment_id],1),A140),"")</x:f>
      </x:c>
      <x:c r="D140" s="83" t="str">
        <x:f>IFERROR(INDEX(SORTBY(tblAssessments[status],tblAssessments[department_name],1,tblAssessments[assessment_date],-1,tblAssessments[assessment_id],1),A140),"")</x:f>
      </x:c>
      <x:c r="E140" s="83" t="str">
        <x:f>IFERROR(INDEX(SORTBY(tblAssessments[overall_risk_score],tblAssessments[department_name],1,tblAssessments[assessment_date],-1,tblAssessments[assessment_id],1),A140),"")</x:f>
      </x:c>
      <x:c r="F140" s="83" t="str">
        <x:f>IFERROR(INDEX(SORTBY(tblAssessments[overall_risk_level],tblAssessments[department_name],1,tblAssessments[assessment_date],-1,tblAssessments[assessment_id],1),A140),"")</x:f>
      </x:c>
      <x:c r="G140" s="87" t="str">
        <x:f>IFERROR(INDEX(SORTBY(tblAssessments[assessment_date],tblAssessments[department_name],1,tblAssessments[assessment_date],-1,tblAssessments[assessment_id],1),A140),"")</x:f>
      </x:c>
      <x:c r="H140" s="83" t="str">
        <x:f>IFERROR(INDEX(SORTBY(tblAssessments[report_number],tblAssessments[department_name],1,tblAssessments[assessment_date],-1,tblAssessments[assessment_id],1),A140),"")</x:f>
      </x:c>
      <x:c r="I140" s="83" t="str">
        <x:f>IF(E140="","",IF(E140&gt;=6,"Immediate corrective action",IF(E140&gt;=3,"Document improvement plan","Maintain controls")))</x:f>
      </x:c>
      <x:c r="T140" t="str">
        <x:f>IFERROR(INDEX(SORTBY(tblAssessments[assessment_id],tblAssessments[department_name],1,tblAssessments[assessment_date],-1,tblAssessments[assessment_id],1),A140),"")</x:f>
      </x:c>
    </x:row>
    <x:row r="141">
      <x:c r="A141" s="83" t="n">
        <x:v>118</x:v>
      </x:c>
      <x:c r="B141" s="85" t="str">
        <x:f>IFERROR(INDEX(SORTBY(tblAssessments[department_name],tblAssessments[department_name],1,tblAssessments[assessment_date],-1,tblAssessments[assessment_id],1),A141),"")</x:f>
      </x:c>
      <x:c r="C141" s="83" t="str">
        <x:f>IFERROR(INDEX(SORTBY(tblAssessments[total_staff_count],tblAssessments[department_name],1,tblAssessments[assessment_date],-1,tblAssessments[assessment_id],1),A141),"")</x:f>
      </x:c>
      <x:c r="D141" s="83" t="str">
        <x:f>IFERROR(INDEX(SORTBY(tblAssessments[status],tblAssessments[department_name],1,tblAssessments[assessment_date],-1,tblAssessments[assessment_id],1),A141),"")</x:f>
      </x:c>
      <x:c r="E141" s="83" t="str">
        <x:f>IFERROR(INDEX(SORTBY(tblAssessments[overall_risk_score],tblAssessments[department_name],1,tblAssessments[assessment_date],-1,tblAssessments[assessment_id],1),A141),"")</x:f>
      </x:c>
      <x:c r="F141" s="83" t="str">
        <x:f>IFERROR(INDEX(SORTBY(tblAssessments[overall_risk_level],tblAssessments[department_name],1,tblAssessments[assessment_date],-1,tblAssessments[assessment_id],1),A141),"")</x:f>
      </x:c>
      <x:c r="G141" s="87" t="str">
        <x:f>IFERROR(INDEX(SORTBY(tblAssessments[assessment_date],tblAssessments[department_name],1,tblAssessments[assessment_date],-1,tblAssessments[assessment_id],1),A141),"")</x:f>
      </x:c>
      <x:c r="H141" s="83" t="str">
        <x:f>IFERROR(INDEX(SORTBY(tblAssessments[report_number],tblAssessments[department_name],1,tblAssessments[assessment_date],-1,tblAssessments[assessment_id],1),A141),"")</x:f>
      </x:c>
      <x:c r="I141" s="83" t="str">
        <x:f>IF(E141="","",IF(E141&gt;=6,"Immediate corrective action",IF(E141&gt;=3,"Document improvement plan","Maintain controls")))</x:f>
      </x:c>
      <x:c r="T141" t="str">
        <x:f>IFERROR(INDEX(SORTBY(tblAssessments[assessment_id],tblAssessments[department_name],1,tblAssessments[assessment_date],-1,tblAssessments[assessment_id],1),A141),"")</x:f>
      </x:c>
    </x:row>
    <x:row r="142">
      <x:c r="A142" s="83" t="n">
        <x:v>119</x:v>
      </x:c>
      <x:c r="B142" s="85" t="str">
        <x:f>IFERROR(INDEX(SORTBY(tblAssessments[department_name],tblAssessments[department_name],1,tblAssessments[assessment_date],-1,tblAssessments[assessment_id],1),A142),"")</x:f>
      </x:c>
      <x:c r="C142" s="83" t="str">
        <x:f>IFERROR(INDEX(SORTBY(tblAssessments[total_staff_count],tblAssessments[department_name],1,tblAssessments[assessment_date],-1,tblAssessments[assessment_id],1),A142),"")</x:f>
      </x:c>
      <x:c r="D142" s="83" t="str">
        <x:f>IFERROR(INDEX(SORTBY(tblAssessments[status],tblAssessments[department_name],1,tblAssessments[assessment_date],-1,tblAssessments[assessment_id],1),A142),"")</x:f>
      </x:c>
      <x:c r="E142" s="83" t="str">
        <x:f>IFERROR(INDEX(SORTBY(tblAssessments[overall_risk_score],tblAssessments[department_name],1,tblAssessments[assessment_date],-1,tblAssessments[assessment_id],1),A142),"")</x:f>
      </x:c>
      <x:c r="F142" s="83" t="str">
        <x:f>IFERROR(INDEX(SORTBY(tblAssessments[overall_risk_level],tblAssessments[department_name],1,tblAssessments[assessment_date],-1,tblAssessments[assessment_id],1),A142),"")</x:f>
      </x:c>
      <x:c r="G142" s="87" t="str">
        <x:f>IFERROR(INDEX(SORTBY(tblAssessments[assessment_date],tblAssessments[department_name],1,tblAssessments[assessment_date],-1,tblAssessments[assessment_id],1),A142),"")</x:f>
      </x:c>
      <x:c r="H142" s="83" t="str">
        <x:f>IFERROR(INDEX(SORTBY(tblAssessments[report_number],tblAssessments[department_name],1,tblAssessments[assessment_date],-1,tblAssessments[assessment_id],1),A142),"")</x:f>
      </x:c>
      <x:c r="I142" s="83" t="str">
        <x:f>IF(E142="","",IF(E142&gt;=6,"Immediate corrective action",IF(E142&gt;=3,"Document improvement plan","Maintain controls")))</x:f>
      </x:c>
      <x:c r="T142" t="str">
        <x:f>IFERROR(INDEX(SORTBY(tblAssessments[assessment_id],tblAssessments[department_name],1,tblAssessments[assessment_date],-1,tblAssessments[assessment_id],1),A142),"")</x:f>
      </x:c>
    </x:row>
    <x:row r="143">
      <x:c r="A143" s="83" t="n">
        <x:v>120</x:v>
      </x:c>
      <x:c r="B143" s="85" t="str">
        <x:f>IFERROR(INDEX(SORTBY(tblAssessments[department_name],tblAssessments[department_name],1,tblAssessments[assessment_date],-1,tblAssessments[assessment_id],1),A143),"")</x:f>
      </x:c>
      <x:c r="C143" s="83" t="str">
        <x:f>IFERROR(INDEX(SORTBY(tblAssessments[total_staff_count],tblAssessments[department_name],1,tblAssessments[assessment_date],-1,tblAssessments[assessment_id],1),A143),"")</x:f>
      </x:c>
      <x:c r="D143" s="83" t="str">
        <x:f>IFERROR(INDEX(SORTBY(tblAssessments[status],tblAssessments[department_name],1,tblAssessments[assessment_date],-1,tblAssessments[assessment_id],1),A143),"")</x:f>
      </x:c>
      <x:c r="E143" s="83" t="str">
        <x:f>IFERROR(INDEX(SORTBY(tblAssessments[overall_risk_score],tblAssessments[department_name],1,tblAssessments[assessment_date],-1,tblAssessments[assessment_id],1),A143),"")</x:f>
      </x:c>
      <x:c r="F143" s="83" t="str">
        <x:f>IFERROR(INDEX(SORTBY(tblAssessments[overall_risk_level],tblAssessments[department_name],1,tblAssessments[assessment_date],-1,tblAssessments[assessment_id],1),A143),"")</x:f>
      </x:c>
      <x:c r="G143" s="87" t="str">
        <x:f>IFERROR(INDEX(SORTBY(tblAssessments[assessment_date],tblAssessments[department_name],1,tblAssessments[assessment_date],-1,tblAssessments[assessment_id],1),A143),"")</x:f>
      </x:c>
      <x:c r="H143" s="83" t="str">
        <x:f>IFERROR(INDEX(SORTBY(tblAssessments[report_number],tblAssessments[department_name],1,tblAssessments[assessment_date],-1,tblAssessments[assessment_id],1),A143),"")</x:f>
      </x:c>
      <x:c r="I143" s="83" t="str">
        <x:f>IF(E143="","",IF(E143&gt;=6,"Immediate corrective action",IF(E143&gt;=3,"Document improvement plan","Maintain controls")))</x:f>
      </x:c>
      <x:c r="T143" t="str">
        <x:f>IFERROR(INDEX(SORTBY(tblAssessments[assessment_id],tblAssessments[department_name],1,tblAssessments[assessment_date],-1,tblAssessments[assessment_id],1),A143),"")</x:f>
      </x:c>
    </x:row>
    <x:row r="144">
      <x:c r="A144" s="83" t="n">
        <x:v>121</x:v>
      </x:c>
      <x:c r="B144" s="85" t="str">
        <x:f>IFERROR(INDEX(SORTBY(tblAssessments[department_name],tblAssessments[department_name],1,tblAssessments[assessment_date],-1,tblAssessments[assessment_id],1),A144),"")</x:f>
      </x:c>
      <x:c r="C144" s="83" t="str">
        <x:f>IFERROR(INDEX(SORTBY(tblAssessments[total_staff_count],tblAssessments[department_name],1,tblAssessments[assessment_date],-1,tblAssessments[assessment_id],1),A144),"")</x:f>
      </x:c>
      <x:c r="D144" s="83" t="str">
        <x:f>IFERROR(INDEX(SORTBY(tblAssessments[status],tblAssessments[department_name],1,tblAssessments[assessment_date],-1,tblAssessments[assessment_id],1),A144),"")</x:f>
      </x:c>
      <x:c r="E144" s="83" t="str">
        <x:f>IFERROR(INDEX(SORTBY(tblAssessments[overall_risk_score],tblAssessments[department_name],1,tblAssessments[assessment_date],-1,tblAssessments[assessment_id],1),A144),"")</x:f>
      </x:c>
      <x:c r="F144" s="83" t="str">
        <x:f>IFERROR(INDEX(SORTBY(tblAssessments[overall_risk_level],tblAssessments[department_name],1,tblAssessments[assessment_date],-1,tblAssessments[assessment_id],1),A144),"")</x:f>
      </x:c>
      <x:c r="G144" s="87" t="str">
        <x:f>IFERROR(INDEX(SORTBY(tblAssessments[assessment_date],tblAssessments[department_name],1,tblAssessments[assessment_date],-1,tblAssessments[assessment_id],1),A144),"")</x:f>
      </x:c>
      <x:c r="H144" s="83" t="str">
        <x:f>IFERROR(INDEX(SORTBY(tblAssessments[report_number],tblAssessments[department_name],1,tblAssessments[assessment_date],-1,tblAssessments[assessment_id],1),A144),"")</x:f>
      </x:c>
      <x:c r="I144" s="83" t="str">
        <x:f>IF(E144="","",IF(E144&gt;=6,"Immediate corrective action",IF(E144&gt;=3,"Document improvement plan","Maintain controls")))</x:f>
      </x:c>
      <x:c r="T144" t="str">
        <x:f>IFERROR(INDEX(SORTBY(tblAssessments[assessment_id],tblAssessments[department_name],1,tblAssessments[assessment_date],-1,tblAssessments[assessment_id],1),A144),"")</x:f>
      </x:c>
    </x:row>
    <x:row r="145">
      <x:c r="A145" s="83" t="n">
        <x:v>122</x:v>
      </x:c>
      <x:c r="B145" s="85" t="str">
        <x:f>IFERROR(INDEX(SORTBY(tblAssessments[department_name],tblAssessments[department_name],1,tblAssessments[assessment_date],-1,tblAssessments[assessment_id],1),A145),"")</x:f>
      </x:c>
      <x:c r="C145" s="83" t="str">
        <x:f>IFERROR(INDEX(SORTBY(tblAssessments[total_staff_count],tblAssessments[department_name],1,tblAssessments[assessment_date],-1,tblAssessments[assessment_id],1),A145),"")</x:f>
      </x:c>
      <x:c r="D145" s="83" t="str">
        <x:f>IFERROR(INDEX(SORTBY(tblAssessments[status],tblAssessments[department_name],1,tblAssessments[assessment_date],-1,tblAssessments[assessment_id],1),A145),"")</x:f>
      </x:c>
      <x:c r="E145" s="83" t="str">
        <x:f>IFERROR(INDEX(SORTBY(tblAssessments[overall_risk_score],tblAssessments[department_name],1,tblAssessments[assessment_date],-1,tblAssessments[assessment_id],1),A145),"")</x:f>
      </x:c>
      <x:c r="F145" s="83" t="str">
        <x:f>IFERROR(INDEX(SORTBY(tblAssessments[overall_risk_level],tblAssessments[department_name],1,tblAssessments[assessment_date],-1,tblAssessments[assessment_id],1),A145),"")</x:f>
      </x:c>
      <x:c r="G145" s="87" t="str">
        <x:f>IFERROR(INDEX(SORTBY(tblAssessments[assessment_date],tblAssessments[department_name],1,tblAssessments[assessment_date],-1,tblAssessments[assessment_id],1),A145),"")</x:f>
      </x:c>
      <x:c r="H145" s="83" t="str">
        <x:f>IFERROR(INDEX(SORTBY(tblAssessments[report_number],tblAssessments[department_name],1,tblAssessments[assessment_date],-1,tblAssessments[assessment_id],1),A145),"")</x:f>
      </x:c>
      <x:c r="I145" s="83" t="str">
        <x:f>IF(E145="","",IF(E145&gt;=6,"Immediate corrective action",IF(E145&gt;=3,"Document improvement plan","Maintain controls")))</x:f>
      </x:c>
      <x:c r="T145" t="str">
        <x:f>IFERROR(INDEX(SORTBY(tblAssessments[assessment_id],tblAssessments[department_name],1,tblAssessments[assessment_date],-1,tblAssessments[assessment_id],1),A145),"")</x:f>
      </x:c>
    </x:row>
    <x:row r="146">
      <x:c r="A146" s="83" t="n">
        <x:v>123</x:v>
      </x:c>
      <x:c r="B146" s="85" t="str">
        <x:f>IFERROR(INDEX(SORTBY(tblAssessments[department_name],tblAssessments[department_name],1,tblAssessments[assessment_date],-1,tblAssessments[assessment_id],1),A146),"")</x:f>
      </x:c>
      <x:c r="C146" s="83" t="str">
        <x:f>IFERROR(INDEX(SORTBY(tblAssessments[total_staff_count],tblAssessments[department_name],1,tblAssessments[assessment_date],-1,tblAssessments[assessment_id],1),A146),"")</x:f>
      </x:c>
      <x:c r="D146" s="83" t="str">
        <x:f>IFERROR(INDEX(SORTBY(tblAssessments[status],tblAssessments[department_name],1,tblAssessments[assessment_date],-1,tblAssessments[assessment_id],1),A146),"")</x:f>
      </x:c>
      <x:c r="E146" s="83" t="str">
        <x:f>IFERROR(INDEX(SORTBY(tblAssessments[overall_risk_score],tblAssessments[department_name],1,tblAssessments[assessment_date],-1,tblAssessments[assessment_id],1),A146),"")</x:f>
      </x:c>
      <x:c r="F146" s="83" t="str">
        <x:f>IFERROR(INDEX(SORTBY(tblAssessments[overall_risk_level],tblAssessments[department_name],1,tblAssessments[assessment_date],-1,tblAssessments[assessment_id],1),A146),"")</x:f>
      </x:c>
      <x:c r="G146" s="87" t="str">
        <x:f>IFERROR(INDEX(SORTBY(tblAssessments[assessment_date],tblAssessments[department_name],1,tblAssessments[assessment_date],-1,tblAssessments[assessment_id],1),A146),"")</x:f>
      </x:c>
      <x:c r="H146" s="83" t="str">
        <x:f>IFERROR(INDEX(SORTBY(tblAssessments[report_number],tblAssessments[department_name],1,tblAssessments[assessment_date],-1,tblAssessments[assessment_id],1),A146),"")</x:f>
      </x:c>
      <x:c r="I146" s="83" t="str">
        <x:f>IF(E146="","",IF(E146&gt;=6,"Immediate corrective action",IF(E146&gt;=3,"Document improvement plan","Maintain controls")))</x:f>
      </x:c>
      <x:c r="T146" t="str">
        <x:f>IFERROR(INDEX(SORTBY(tblAssessments[assessment_id],tblAssessments[department_name],1,tblAssessments[assessment_date],-1,tblAssessments[assessment_id],1),A146),"")</x:f>
      </x:c>
    </x:row>
    <x:row r="147">
      <x:c r="A147" s="83" t="n">
        <x:v>124</x:v>
      </x:c>
      <x:c r="B147" s="85" t="str">
        <x:f>IFERROR(INDEX(SORTBY(tblAssessments[department_name],tblAssessments[department_name],1,tblAssessments[assessment_date],-1,tblAssessments[assessment_id],1),A147),"")</x:f>
      </x:c>
      <x:c r="C147" s="83" t="str">
        <x:f>IFERROR(INDEX(SORTBY(tblAssessments[total_staff_count],tblAssessments[department_name],1,tblAssessments[assessment_date],-1,tblAssessments[assessment_id],1),A147),"")</x:f>
      </x:c>
      <x:c r="D147" s="83" t="str">
        <x:f>IFERROR(INDEX(SORTBY(tblAssessments[status],tblAssessments[department_name],1,tblAssessments[assessment_date],-1,tblAssessments[assessment_id],1),A147),"")</x:f>
      </x:c>
      <x:c r="E147" s="83" t="str">
        <x:f>IFERROR(INDEX(SORTBY(tblAssessments[overall_risk_score],tblAssessments[department_name],1,tblAssessments[assessment_date],-1,tblAssessments[assessment_id],1),A147),"")</x:f>
      </x:c>
      <x:c r="F147" s="83" t="str">
        <x:f>IFERROR(INDEX(SORTBY(tblAssessments[overall_risk_level],tblAssessments[department_name],1,tblAssessments[assessment_date],-1,tblAssessments[assessment_id],1),A147),"")</x:f>
      </x:c>
      <x:c r="G147" s="87" t="str">
        <x:f>IFERROR(INDEX(SORTBY(tblAssessments[assessment_date],tblAssessments[department_name],1,tblAssessments[assessment_date],-1,tblAssessments[assessment_id],1),A147),"")</x:f>
      </x:c>
      <x:c r="H147" s="83" t="str">
        <x:f>IFERROR(INDEX(SORTBY(tblAssessments[report_number],tblAssessments[department_name],1,tblAssessments[assessment_date],-1,tblAssessments[assessment_id],1),A147),"")</x:f>
      </x:c>
      <x:c r="I147" s="83" t="str">
        <x:f>IF(E147="","",IF(E147&gt;=6,"Immediate corrective action",IF(E147&gt;=3,"Document improvement plan","Maintain controls")))</x:f>
      </x:c>
      <x:c r="T147" t="str">
        <x:f>IFERROR(INDEX(SORTBY(tblAssessments[assessment_id],tblAssessments[department_name],1,tblAssessments[assessment_date],-1,tblAssessments[assessment_id],1),A147),"")</x:f>
      </x:c>
    </x:row>
    <x:row r="148">
      <x:c r="A148" s="83" t="n">
        <x:v>125</x:v>
      </x:c>
      <x:c r="B148" s="85" t="str">
        <x:f>IFERROR(INDEX(SORTBY(tblAssessments[department_name],tblAssessments[department_name],1,tblAssessments[assessment_date],-1,tblAssessments[assessment_id],1),A148),"")</x:f>
      </x:c>
      <x:c r="C148" s="83" t="str">
        <x:f>IFERROR(INDEX(SORTBY(tblAssessments[total_staff_count],tblAssessments[department_name],1,tblAssessments[assessment_date],-1,tblAssessments[assessment_id],1),A148),"")</x:f>
      </x:c>
      <x:c r="D148" s="83" t="str">
        <x:f>IFERROR(INDEX(SORTBY(tblAssessments[status],tblAssessments[department_name],1,tblAssessments[assessment_date],-1,tblAssessments[assessment_id],1),A148),"")</x:f>
      </x:c>
      <x:c r="E148" s="83" t="str">
        <x:f>IFERROR(INDEX(SORTBY(tblAssessments[overall_risk_score],tblAssessments[department_name],1,tblAssessments[assessment_date],-1,tblAssessments[assessment_id],1),A148),"")</x:f>
      </x:c>
      <x:c r="F148" s="83" t="str">
        <x:f>IFERROR(INDEX(SORTBY(tblAssessments[overall_risk_level],tblAssessments[department_name],1,tblAssessments[assessment_date],-1,tblAssessments[assessment_id],1),A148),"")</x:f>
      </x:c>
      <x:c r="G148" s="87" t="str">
        <x:f>IFERROR(INDEX(SORTBY(tblAssessments[assessment_date],tblAssessments[department_name],1,tblAssessments[assessment_date],-1,tblAssessments[assessment_id],1),A148),"")</x:f>
      </x:c>
      <x:c r="H148" s="83" t="str">
        <x:f>IFERROR(INDEX(SORTBY(tblAssessments[report_number],tblAssessments[department_name],1,tblAssessments[assessment_date],-1,tblAssessments[assessment_id],1),A148),"")</x:f>
      </x:c>
      <x:c r="I148" s="83" t="str">
        <x:f>IF(E148="","",IF(E148&gt;=6,"Immediate corrective action",IF(E148&gt;=3,"Document improvement plan","Maintain controls")))</x:f>
      </x:c>
      <x:c r="T148" t="str">
        <x:f>IFERROR(INDEX(SORTBY(tblAssessments[assessment_id],tblAssessments[department_name],1,tblAssessments[assessment_date],-1,tblAssessments[assessment_id],1),A148),"")</x:f>
      </x:c>
    </x:row>
    <x:row r="149">
      <x:c r="A149" s="83" t="n">
        <x:v>126</x:v>
      </x:c>
      <x:c r="B149" s="85" t="str">
        <x:f>IFERROR(INDEX(SORTBY(tblAssessments[department_name],tblAssessments[department_name],1,tblAssessments[assessment_date],-1,tblAssessments[assessment_id],1),A149),"")</x:f>
      </x:c>
      <x:c r="C149" s="83" t="str">
        <x:f>IFERROR(INDEX(SORTBY(tblAssessments[total_staff_count],tblAssessments[department_name],1,tblAssessments[assessment_date],-1,tblAssessments[assessment_id],1),A149),"")</x:f>
      </x:c>
      <x:c r="D149" s="83" t="str">
        <x:f>IFERROR(INDEX(SORTBY(tblAssessments[status],tblAssessments[department_name],1,tblAssessments[assessment_date],-1,tblAssessments[assessment_id],1),A149),"")</x:f>
      </x:c>
      <x:c r="E149" s="83" t="str">
        <x:f>IFERROR(INDEX(SORTBY(tblAssessments[overall_risk_score],tblAssessments[department_name],1,tblAssessments[assessment_date],-1,tblAssessments[assessment_id],1),A149),"")</x:f>
      </x:c>
      <x:c r="F149" s="83" t="str">
        <x:f>IFERROR(INDEX(SORTBY(tblAssessments[overall_risk_level],tblAssessments[department_name],1,tblAssessments[assessment_date],-1,tblAssessments[assessment_id],1),A149),"")</x:f>
      </x:c>
      <x:c r="G149" s="87" t="str">
        <x:f>IFERROR(INDEX(SORTBY(tblAssessments[assessment_date],tblAssessments[department_name],1,tblAssessments[assessment_date],-1,tblAssessments[assessment_id],1),A149),"")</x:f>
      </x:c>
      <x:c r="H149" s="83" t="str">
        <x:f>IFERROR(INDEX(SORTBY(tblAssessments[report_number],tblAssessments[department_name],1,tblAssessments[assessment_date],-1,tblAssessments[assessment_id],1),A149),"")</x:f>
      </x:c>
      <x:c r="I149" s="83" t="str">
        <x:f>IF(E149="","",IF(E149&gt;=6,"Immediate corrective action",IF(E149&gt;=3,"Document improvement plan","Maintain controls")))</x:f>
      </x:c>
      <x:c r="T149" t="str">
        <x:f>IFERROR(INDEX(SORTBY(tblAssessments[assessment_id],tblAssessments[department_name],1,tblAssessments[assessment_date],-1,tblAssessments[assessment_id],1),A149),"")</x:f>
      </x:c>
    </x:row>
    <x:row r="150">
      <x:c r="A150" s="83" t="n">
        <x:v>127</x:v>
      </x:c>
      <x:c r="B150" s="85" t="str">
        <x:f>IFERROR(INDEX(SORTBY(tblAssessments[department_name],tblAssessments[department_name],1,tblAssessments[assessment_date],-1,tblAssessments[assessment_id],1),A150),"")</x:f>
      </x:c>
      <x:c r="C150" s="83" t="str">
        <x:f>IFERROR(INDEX(SORTBY(tblAssessments[total_staff_count],tblAssessments[department_name],1,tblAssessments[assessment_date],-1,tblAssessments[assessment_id],1),A150),"")</x:f>
      </x:c>
      <x:c r="D150" s="83" t="str">
        <x:f>IFERROR(INDEX(SORTBY(tblAssessments[status],tblAssessments[department_name],1,tblAssessments[assessment_date],-1,tblAssessments[assessment_id],1),A150),"")</x:f>
      </x:c>
      <x:c r="E150" s="83" t="str">
        <x:f>IFERROR(INDEX(SORTBY(tblAssessments[overall_risk_score],tblAssessments[department_name],1,tblAssessments[assessment_date],-1,tblAssessments[assessment_id],1),A150),"")</x:f>
      </x:c>
      <x:c r="F150" s="83" t="str">
        <x:f>IFERROR(INDEX(SORTBY(tblAssessments[overall_risk_level],tblAssessments[department_name],1,tblAssessments[assessment_date],-1,tblAssessments[assessment_id],1),A150),"")</x:f>
      </x:c>
      <x:c r="G150" s="87" t="str">
        <x:f>IFERROR(INDEX(SORTBY(tblAssessments[assessment_date],tblAssessments[department_name],1,tblAssessments[assessment_date],-1,tblAssessments[assessment_id],1),A150),"")</x:f>
      </x:c>
      <x:c r="H150" s="83" t="str">
        <x:f>IFERROR(INDEX(SORTBY(tblAssessments[report_number],tblAssessments[department_name],1,tblAssessments[assessment_date],-1,tblAssessments[assessment_id],1),A150),"")</x:f>
      </x:c>
      <x:c r="I150" s="83" t="str">
        <x:f>IF(E150="","",IF(E150&gt;=6,"Immediate corrective action",IF(E150&gt;=3,"Document improvement plan","Maintain controls")))</x:f>
      </x:c>
      <x:c r="T150" t="str">
        <x:f>IFERROR(INDEX(SORTBY(tblAssessments[assessment_id],tblAssessments[department_name],1,tblAssessments[assessment_date],-1,tblAssessments[assessment_id],1),A150),"")</x:f>
      </x:c>
    </x:row>
    <x:row r="151">
      <x:c r="A151" s="83" t="n">
        <x:v>128</x:v>
      </x:c>
      <x:c r="B151" s="85" t="str">
        <x:f>IFERROR(INDEX(SORTBY(tblAssessments[department_name],tblAssessments[department_name],1,tblAssessments[assessment_date],-1,tblAssessments[assessment_id],1),A151),"")</x:f>
      </x:c>
      <x:c r="C151" s="83" t="str">
        <x:f>IFERROR(INDEX(SORTBY(tblAssessments[total_staff_count],tblAssessments[department_name],1,tblAssessments[assessment_date],-1,tblAssessments[assessment_id],1),A151),"")</x:f>
      </x:c>
      <x:c r="D151" s="83" t="str">
        <x:f>IFERROR(INDEX(SORTBY(tblAssessments[status],tblAssessments[department_name],1,tblAssessments[assessment_date],-1,tblAssessments[assessment_id],1),A151),"")</x:f>
      </x:c>
      <x:c r="E151" s="83" t="str">
        <x:f>IFERROR(INDEX(SORTBY(tblAssessments[overall_risk_score],tblAssessments[department_name],1,tblAssessments[assessment_date],-1,tblAssessments[assessment_id],1),A151),"")</x:f>
      </x:c>
      <x:c r="F151" s="83" t="str">
        <x:f>IFERROR(INDEX(SORTBY(tblAssessments[overall_risk_level],tblAssessments[department_name],1,tblAssessments[assessment_date],-1,tblAssessments[assessment_id],1),A151),"")</x:f>
      </x:c>
      <x:c r="G151" s="87" t="str">
        <x:f>IFERROR(INDEX(SORTBY(tblAssessments[assessment_date],tblAssessments[department_name],1,tblAssessments[assessment_date],-1,tblAssessments[assessment_id],1),A151),"")</x:f>
      </x:c>
      <x:c r="H151" s="83" t="str">
        <x:f>IFERROR(INDEX(SORTBY(tblAssessments[report_number],tblAssessments[department_name],1,tblAssessments[assessment_date],-1,tblAssessments[assessment_id],1),A151),"")</x:f>
      </x:c>
      <x:c r="I151" s="83" t="str">
        <x:f>IF(E151="","",IF(E151&gt;=6,"Immediate corrective action",IF(E151&gt;=3,"Document improvement plan","Maintain controls")))</x:f>
      </x:c>
      <x:c r="T151" t="str">
        <x:f>IFERROR(INDEX(SORTBY(tblAssessments[assessment_id],tblAssessments[department_name],1,tblAssessments[assessment_date],-1,tblAssessments[assessment_id],1),A151),"")</x:f>
      </x:c>
    </x:row>
    <x:row r="152">
      <x:c r="A152" s="83" t="n">
        <x:v>129</x:v>
      </x:c>
      <x:c r="B152" s="85" t="str">
        <x:f>IFERROR(INDEX(SORTBY(tblAssessments[department_name],tblAssessments[department_name],1,tblAssessments[assessment_date],-1,tblAssessments[assessment_id],1),A152),"")</x:f>
      </x:c>
      <x:c r="C152" s="83" t="str">
        <x:f>IFERROR(INDEX(SORTBY(tblAssessments[total_staff_count],tblAssessments[department_name],1,tblAssessments[assessment_date],-1,tblAssessments[assessment_id],1),A152),"")</x:f>
      </x:c>
      <x:c r="D152" s="83" t="str">
        <x:f>IFERROR(INDEX(SORTBY(tblAssessments[status],tblAssessments[department_name],1,tblAssessments[assessment_date],-1,tblAssessments[assessment_id],1),A152),"")</x:f>
      </x:c>
      <x:c r="E152" s="83" t="str">
        <x:f>IFERROR(INDEX(SORTBY(tblAssessments[overall_risk_score],tblAssessments[department_name],1,tblAssessments[assessment_date],-1,tblAssessments[assessment_id],1),A152),"")</x:f>
      </x:c>
      <x:c r="F152" s="83" t="str">
        <x:f>IFERROR(INDEX(SORTBY(tblAssessments[overall_risk_level],tblAssessments[department_name],1,tblAssessments[assessment_date],-1,tblAssessments[assessment_id],1),A152),"")</x:f>
      </x:c>
      <x:c r="G152" s="87" t="str">
        <x:f>IFERROR(INDEX(SORTBY(tblAssessments[assessment_date],tblAssessments[department_name],1,tblAssessments[assessment_date],-1,tblAssessments[assessment_id],1),A152),"")</x:f>
      </x:c>
      <x:c r="H152" s="83" t="str">
        <x:f>IFERROR(INDEX(SORTBY(tblAssessments[report_number],tblAssessments[department_name],1,tblAssessments[assessment_date],-1,tblAssessments[assessment_id],1),A152),"")</x:f>
      </x:c>
      <x:c r="I152" s="83" t="str">
        <x:f>IF(E152="","",IF(E152&gt;=6,"Immediate corrective action",IF(E152&gt;=3,"Document improvement plan","Maintain controls")))</x:f>
      </x:c>
      <x:c r="T152" t="str">
        <x:f>IFERROR(INDEX(SORTBY(tblAssessments[assessment_id],tblAssessments[department_name],1,tblAssessments[assessment_date],-1,tblAssessments[assessment_id],1),A152),"")</x:f>
      </x:c>
    </x:row>
    <x:row r="153">
      <x:c r="A153" s="83" t="n">
        <x:v>130</x:v>
      </x:c>
      <x:c r="B153" s="85" t="str">
        <x:f>IFERROR(INDEX(SORTBY(tblAssessments[department_name],tblAssessments[department_name],1,tblAssessments[assessment_date],-1,tblAssessments[assessment_id],1),A153),"")</x:f>
      </x:c>
      <x:c r="C153" s="83" t="str">
        <x:f>IFERROR(INDEX(SORTBY(tblAssessments[total_staff_count],tblAssessments[department_name],1,tblAssessments[assessment_date],-1,tblAssessments[assessment_id],1),A153),"")</x:f>
      </x:c>
      <x:c r="D153" s="83" t="str">
        <x:f>IFERROR(INDEX(SORTBY(tblAssessments[status],tblAssessments[department_name],1,tblAssessments[assessment_date],-1,tblAssessments[assessment_id],1),A153),"")</x:f>
      </x:c>
      <x:c r="E153" s="83" t="str">
        <x:f>IFERROR(INDEX(SORTBY(tblAssessments[overall_risk_score],tblAssessments[department_name],1,tblAssessments[assessment_date],-1,tblAssessments[assessment_id],1),A153),"")</x:f>
      </x:c>
      <x:c r="F153" s="83" t="str">
        <x:f>IFERROR(INDEX(SORTBY(tblAssessments[overall_risk_level],tblAssessments[department_name],1,tblAssessments[assessment_date],-1,tblAssessments[assessment_id],1),A153),"")</x:f>
      </x:c>
      <x:c r="G153" s="87" t="str">
        <x:f>IFERROR(INDEX(SORTBY(tblAssessments[assessment_date],tblAssessments[department_name],1,tblAssessments[assessment_date],-1,tblAssessments[assessment_id],1),A153),"")</x:f>
      </x:c>
      <x:c r="H153" s="83" t="str">
        <x:f>IFERROR(INDEX(SORTBY(tblAssessments[report_number],tblAssessments[department_name],1,tblAssessments[assessment_date],-1,tblAssessments[assessment_id],1),A153),"")</x:f>
      </x:c>
      <x:c r="I153" s="83" t="str">
        <x:f>IF(E153="","",IF(E153&gt;=6,"Immediate corrective action",IF(E153&gt;=3,"Document improvement plan","Maintain controls")))</x:f>
      </x:c>
      <x:c r="T153" t="str">
        <x:f>IFERROR(INDEX(SORTBY(tblAssessments[assessment_id],tblAssessments[department_name],1,tblAssessments[assessment_date],-1,tblAssessments[assessment_id],1),A153),"")</x:f>
      </x:c>
    </x:row>
    <x:row r="154">
      <x:c r="A154" s="83" t="n">
        <x:v>131</x:v>
      </x:c>
      <x:c r="B154" s="85" t="str">
        <x:f>IFERROR(INDEX(SORTBY(tblAssessments[department_name],tblAssessments[department_name],1,tblAssessments[assessment_date],-1,tblAssessments[assessment_id],1),A154),"")</x:f>
      </x:c>
      <x:c r="C154" s="83" t="str">
        <x:f>IFERROR(INDEX(SORTBY(tblAssessments[total_staff_count],tblAssessments[department_name],1,tblAssessments[assessment_date],-1,tblAssessments[assessment_id],1),A154),"")</x:f>
      </x:c>
      <x:c r="D154" s="83" t="str">
        <x:f>IFERROR(INDEX(SORTBY(tblAssessments[status],tblAssessments[department_name],1,tblAssessments[assessment_date],-1,tblAssessments[assessment_id],1),A154),"")</x:f>
      </x:c>
      <x:c r="E154" s="83" t="str">
        <x:f>IFERROR(INDEX(SORTBY(tblAssessments[overall_risk_score],tblAssessments[department_name],1,tblAssessments[assessment_date],-1,tblAssessments[assessment_id],1),A154),"")</x:f>
      </x:c>
      <x:c r="F154" s="83" t="str">
        <x:f>IFERROR(INDEX(SORTBY(tblAssessments[overall_risk_level],tblAssessments[department_name],1,tblAssessments[assessment_date],-1,tblAssessments[assessment_id],1),A154),"")</x:f>
      </x:c>
      <x:c r="G154" s="87" t="str">
        <x:f>IFERROR(INDEX(SORTBY(tblAssessments[assessment_date],tblAssessments[department_name],1,tblAssessments[assessment_date],-1,tblAssessments[assessment_id],1),A154),"")</x:f>
      </x:c>
      <x:c r="H154" s="83" t="str">
        <x:f>IFERROR(INDEX(SORTBY(tblAssessments[report_number],tblAssessments[department_name],1,tblAssessments[assessment_date],-1,tblAssessments[assessment_id],1),A154),"")</x:f>
      </x:c>
      <x:c r="I154" s="83" t="str">
        <x:f>IF(E154="","",IF(E154&gt;=6,"Immediate corrective action",IF(E154&gt;=3,"Document improvement plan","Maintain controls")))</x:f>
      </x:c>
      <x:c r="T154" t="str">
        <x:f>IFERROR(INDEX(SORTBY(tblAssessments[assessment_id],tblAssessments[department_name],1,tblAssessments[assessment_date],-1,tblAssessments[assessment_id],1),A154),"")</x:f>
      </x:c>
    </x:row>
    <x:row r="155">
      <x:c r="A155" s="83" t="n">
        <x:v>132</x:v>
      </x:c>
      <x:c r="B155" s="85" t="str">
        <x:f>IFERROR(INDEX(SORTBY(tblAssessments[department_name],tblAssessments[department_name],1,tblAssessments[assessment_date],-1,tblAssessments[assessment_id],1),A155),"")</x:f>
      </x:c>
      <x:c r="C155" s="83" t="str">
        <x:f>IFERROR(INDEX(SORTBY(tblAssessments[total_staff_count],tblAssessments[department_name],1,tblAssessments[assessment_date],-1,tblAssessments[assessment_id],1),A155),"")</x:f>
      </x:c>
      <x:c r="D155" s="83" t="str">
        <x:f>IFERROR(INDEX(SORTBY(tblAssessments[status],tblAssessments[department_name],1,tblAssessments[assessment_date],-1,tblAssessments[assessment_id],1),A155),"")</x:f>
      </x:c>
      <x:c r="E155" s="83" t="str">
        <x:f>IFERROR(INDEX(SORTBY(tblAssessments[overall_risk_score],tblAssessments[department_name],1,tblAssessments[assessment_date],-1,tblAssessments[assessment_id],1),A155),"")</x:f>
      </x:c>
      <x:c r="F155" s="83" t="str">
        <x:f>IFERROR(INDEX(SORTBY(tblAssessments[overall_risk_level],tblAssessments[department_name],1,tblAssessments[assessment_date],-1,tblAssessments[assessment_id],1),A155),"")</x:f>
      </x:c>
      <x:c r="G155" s="87" t="str">
        <x:f>IFERROR(INDEX(SORTBY(tblAssessments[assessment_date],tblAssessments[department_name],1,tblAssessments[assessment_date],-1,tblAssessments[assessment_id],1),A155),"")</x:f>
      </x:c>
      <x:c r="H155" s="83" t="str">
        <x:f>IFERROR(INDEX(SORTBY(tblAssessments[report_number],tblAssessments[department_name],1,tblAssessments[assessment_date],-1,tblAssessments[assessment_id],1),A155),"")</x:f>
      </x:c>
      <x:c r="I155" s="83" t="str">
        <x:f>IF(E155="","",IF(E155&gt;=6,"Immediate corrective action",IF(E155&gt;=3,"Document improvement plan","Maintain controls")))</x:f>
      </x:c>
      <x:c r="T155" t="str">
        <x:f>IFERROR(INDEX(SORTBY(tblAssessments[assessment_id],tblAssessments[department_name],1,tblAssessments[assessment_date],-1,tblAssessments[assessment_id],1),A155),"")</x:f>
      </x:c>
    </x:row>
    <x:row r="156">
      <x:c r="A156" s="83" t="n">
        <x:v>133</x:v>
      </x:c>
      <x:c r="B156" s="85" t="str">
        <x:f>IFERROR(INDEX(SORTBY(tblAssessments[department_name],tblAssessments[department_name],1,tblAssessments[assessment_date],-1,tblAssessments[assessment_id],1),A156),"")</x:f>
      </x:c>
      <x:c r="C156" s="83" t="str">
        <x:f>IFERROR(INDEX(SORTBY(tblAssessments[total_staff_count],tblAssessments[department_name],1,tblAssessments[assessment_date],-1,tblAssessments[assessment_id],1),A156),"")</x:f>
      </x:c>
      <x:c r="D156" s="83" t="str">
        <x:f>IFERROR(INDEX(SORTBY(tblAssessments[status],tblAssessments[department_name],1,tblAssessments[assessment_date],-1,tblAssessments[assessment_id],1),A156),"")</x:f>
      </x:c>
      <x:c r="E156" s="83" t="str">
        <x:f>IFERROR(INDEX(SORTBY(tblAssessments[overall_risk_score],tblAssessments[department_name],1,tblAssessments[assessment_date],-1,tblAssessments[assessment_id],1),A156),"")</x:f>
      </x:c>
      <x:c r="F156" s="83" t="str">
        <x:f>IFERROR(INDEX(SORTBY(tblAssessments[overall_risk_level],tblAssessments[department_name],1,tblAssessments[assessment_date],-1,tblAssessments[assessment_id],1),A156),"")</x:f>
      </x:c>
      <x:c r="G156" s="87" t="str">
        <x:f>IFERROR(INDEX(SORTBY(tblAssessments[assessment_date],tblAssessments[department_name],1,tblAssessments[assessment_date],-1,tblAssessments[assessment_id],1),A156),"")</x:f>
      </x:c>
      <x:c r="H156" s="83" t="str">
        <x:f>IFERROR(INDEX(SORTBY(tblAssessments[report_number],tblAssessments[department_name],1,tblAssessments[assessment_date],-1,tblAssessments[assessment_id],1),A156),"")</x:f>
      </x:c>
      <x:c r="I156" s="83" t="str">
        <x:f>IF(E156="","",IF(E156&gt;=6,"Immediate corrective action",IF(E156&gt;=3,"Document improvement plan","Maintain controls")))</x:f>
      </x:c>
      <x:c r="T156" t="str">
        <x:f>IFERROR(INDEX(SORTBY(tblAssessments[assessment_id],tblAssessments[department_name],1,tblAssessments[assessment_date],-1,tblAssessments[assessment_id],1),A156),"")</x:f>
      </x:c>
    </x:row>
    <x:row r="157">
      <x:c r="A157" s="83" t="n">
        <x:v>134</x:v>
      </x:c>
      <x:c r="B157" s="85" t="str">
        <x:f>IFERROR(INDEX(SORTBY(tblAssessments[department_name],tblAssessments[department_name],1,tblAssessments[assessment_date],-1,tblAssessments[assessment_id],1),A157),"")</x:f>
      </x:c>
      <x:c r="C157" s="83" t="str">
        <x:f>IFERROR(INDEX(SORTBY(tblAssessments[total_staff_count],tblAssessments[department_name],1,tblAssessments[assessment_date],-1,tblAssessments[assessment_id],1),A157),"")</x:f>
      </x:c>
      <x:c r="D157" s="83" t="str">
        <x:f>IFERROR(INDEX(SORTBY(tblAssessments[status],tblAssessments[department_name],1,tblAssessments[assessment_date],-1,tblAssessments[assessment_id],1),A157),"")</x:f>
      </x:c>
      <x:c r="E157" s="83" t="str">
        <x:f>IFERROR(INDEX(SORTBY(tblAssessments[overall_risk_score],tblAssessments[department_name],1,tblAssessments[assessment_date],-1,tblAssessments[assessment_id],1),A157),"")</x:f>
      </x:c>
      <x:c r="F157" s="83" t="str">
        <x:f>IFERROR(INDEX(SORTBY(tblAssessments[overall_risk_level],tblAssessments[department_name],1,tblAssessments[assessment_date],-1,tblAssessments[assessment_id],1),A157),"")</x:f>
      </x:c>
      <x:c r="G157" s="87" t="str">
        <x:f>IFERROR(INDEX(SORTBY(tblAssessments[assessment_date],tblAssessments[department_name],1,tblAssessments[assessment_date],-1,tblAssessments[assessment_id],1),A157),"")</x:f>
      </x:c>
      <x:c r="H157" s="83" t="str">
        <x:f>IFERROR(INDEX(SORTBY(tblAssessments[report_number],tblAssessments[department_name],1,tblAssessments[assessment_date],-1,tblAssessments[assessment_id],1),A157),"")</x:f>
      </x:c>
      <x:c r="I157" s="83" t="str">
        <x:f>IF(E157="","",IF(E157&gt;=6,"Immediate corrective action",IF(E157&gt;=3,"Document improvement plan","Maintain controls")))</x:f>
      </x:c>
      <x:c r="T157" t="str">
        <x:f>IFERROR(INDEX(SORTBY(tblAssessments[assessment_id],tblAssessments[department_name],1,tblAssessments[assessment_date],-1,tblAssessments[assessment_id],1),A157),"")</x:f>
      </x:c>
    </x:row>
    <x:row r="158">
      <x:c r="A158" s="83" t="n">
        <x:v>135</x:v>
      </x:c>
      <x:c r="B158" s="85" t="str">
        <x:f>IFERROR(INDEX(SORTBY(tblAssessments[department_name],tblAssessments[department_name],1,tblAssessments[assessment_date],-1,tblAssessments[assessment_id],1),A158),"")</x:f>
      </x:c>
      <x:c r="C158" s="83" t="str">
        <x:f>IFERROR(INDEX(SORTBY(tblAssessments[total_staff_count],tblAssessments[department_name],1,tblAssessments[assessment_date],-1,tblAssessments[assessment_id],1),A158),"")</x:f>
      </x:c>
      <x:c r="D158" s="83" t="str">
        <x:f>IFERROR(INDEX(SORTBY(tblAssessments[status],tblAssessments[department_name],1,tblAssessments[assessment_date],-1,tblAssessments[assessment_id],1),A158),"")</x:f>
      </x:c>
      <x:c r="E158" s="83" t="str">
        <x:f>IFERROR(INDEX(SORTBY(tblAssessments[overall_risk_score],tblAssessments[department_name],1,tblAssessments[assessment_date],-1,tblAssessments[assessment_id],1),A158),"")</x:f>
      </x:c>
      <x:c r="F158" s="83" t="str">
        <x:f>IFERROR(INDEX(SORTBY(tblAssessments[overall_risk_level],tblAssessments[department_name],1,tblAssessments[assessment_date],-1,tblAssessments[assessment_id],1),A158),"")</x:f>
      </x:c>
      <x:c r="G158" s="87" t="str">
        <x:f>IFERROR(INDEX(SORTBY(tblAssessments[assessment_date],tblAssessments[department_name],1,tblAssessments[assessment_date],-1,tblAssessments[assessment_id],1),A158),"")</x:f>
      </x:c>
      <x:c r="H158" s="83" t="str">
        <x:f>IFERROR(INDEX(SORTBY(tblAssessments[report_number],tblAssessments[department_name],1,tblAssessments[assessment_date],-1,tblAssessments[assessment_id],1),A158),"")</x:f>
      </x:c>
      <x:c r="I158" s="83" t="str">
        <x:f>IF(E158="","",IF(E158&gt;=6,"Immediate corrective action",IF(E158&gt;=3,"Document improvement plan","Maintain controls")))</x:f>
      </x:c>
      <x:c r="T158" t="str">
        <x:f>IFERROR(INDEX(SORTBY(tblAssessments[assessment_id],tblAssessments[department_name],1,tblAssessments[assessment_date],-1,tblAssessments[assessment_id],1),A158),"")</x:f>
      </x:c>
    </x:row>
    <x:row r="159">
      <x:c r="A159" s="83" t="n">
        <x:v>136</x:v>
      </x:c>
      <x:c r="B159" s="85" t="str">
        <x:f>IFERROR(INDEX(SORTBY(tblAssessments[department_name],tblAssessments[department_name],1,tblAssessments[assessment_date],-1,tblAssessments[assessment_id],1),A159),"")</x:f>
      </x:c>
      <x:c r="C159" s="83" t="str">
        <x:f>IFERROR(INDEX(SORTBY(tblAssessments[total_staff_count],tblAssessments[department_name],1,tblAssessments[assessment_date],-1,tblAssessments[assessment_id],1),A159),"")</x:f>
      </x:c>
      <x:c r="D159" s="83" t="str">
        <x:f>IFERROR(INDEX(SORTBY(tblAssessments[status],tblAssessments[department_name],1,tblAssessments[assessment_date],-1,tblAssessments[assessment_id],1),A159),"")</x:f>
      </x:c>
      <x:c r="E159" s="83" t="str">
        <x:f>IFERROR(INDEX(SORTBY(tblAssessments[overall_risk_score],tblAssessments[department_name],1,tblAssessments[assessment_date],-1,tblAssessments[assessment_id],1),A159),"")</x:f>
      </x:c>
      <x:c r="F159" s="83" t="str">
        <x:f>IFERROR(INDEX(SORTBY(tblAssessments[overall_risk_level],tblAssessments[department_name],1,tblAssessments[assessment_date],-1,tblAssessments[assessment_id],1),A159),"")</x:f>
      </x:c>
      <x:c r="G159" s="87" t="str">
        <x:f>IFERROR(INDEX(SORTBY(tblAssessments[assessment_date],tblAssessments[department_name],1,tblAssessments[assessment_date],-1,tblAssessments[assessment_id],1),A159),"")</x:f>
      </x:c>
      <x:c r="H159" s="83" t="str">
        <x:f>IFERROR(INDEX(SORTBY(tblAssessments[report_number],tblAssessments[department_name],1,tblAssessments[assessment_date],-1,tblAssessments[assessment_id],1),A159),"")</x:f>
      </x:c>
      <x:c r="I159" s="83" t="str">
        <x:f>IF(E159="","",IF(E159&gt;=6,"Immediate corrective action",IF(E159&gt;=3,"Document improvement plan","Maintain controls")))</x:f>
      </x:c>
      <x:c r="T159" t="str">
        <x:f>IFERROR(INDEX(SORTBY(tblAssessments[assessment_id],tblAssessments[department_name],1,tblAssessments[assessment_date],-1,tblAssessments[assessment_id],1),A159),"")</x:f>
      </x:c>
    </x:row>
    <x:row r="160">
      <x:c r="A160" s="83" t="n">
        <x:v>137</x:v>
      </x:c>
      <x:c r="B160" s="85" t="str">
        <x:f>IFERROR(INDEX(SORTBY(tblAssessments[department_name],tblAssessments[department_name],1,tblAssessments[assessment_date],-1,tblAssessments[assessment_id],1),A160),"")</x:f>
      </x:c>
      <x:c r="C160" s="83" t="str">
        <x:f>IFERROR(INDEX(SORTBY(tblAssessments[total_staff_count],tblAssessments[department_name],1,tblAssessments[assessment_date],-1,tblAssessments[assessment_id],1),A160),"")</x:f>
      </x:c>
      <x:c r="D160" s="83" t="str">
        <x:f>IFERROR(INDEX(SORTBY(tblAssessments[status],tblAssessments[department_name],1,tblAssessments[assessment_date],-1,tblAssessments[assessment_id],1),A160),"")</x:f>
      </x:c>
      <x:c r="E160" s="83" t="str">
        <x:f>IFERROR(INDEX(SORTBY(tblAssessments[overall_risk_score],tblAssessments[department_name],1,tblAssessments[assessment_date],-1,tblAssessments[assessment_id],1),A160),"")</x:f>
      </x:c>
      <x:c r="F160" s="83" t="str">
        <x:f>IFERROR(INDEX(SORTBY(tblAssessments[overall_risk_level],tblAssessments[department_name],1,tblAssessments[assessment_date],-1,tblAssessments[assessment_id],1),A160),"")</x:f>
      </x:c>
      <x:c r="G160" s="87" t="str">
        <x:f>IFERROR(INDEX(SORTBY(tblAssessments[assessment_date],tblAssessments[department_name],1,tblAssessments[assessment_date],-1,tblAssessments[assessment_id],1),A160),"")</x:f>
      </x:c>
      <x:c r="H160" s="83" t="str">
        <x:f>IFERROR(INDEX(SORTBY(tblAssessments[report_number],tblAssessments[department_name],1,tblAssessments[assessment_date],-1,tblAssessments[assessment_id],1),A160),"")</x:f>
      </x:c>
      <x:c r="I160" s="83" t="str">
        <x:f>IF(E160="","",IF(E160&gt;=6,"Immediate corrective action",IF(E160&gt;=3,"Document improvement plan","Maintain controls")))</x:f>
      </x:c>
      <x:c r="T160" t="str">
        <x:f>IFERROR(INDEX(SORTBY(tblAssessments[assessment_id],tblAssessments[department_name],1,tblAssessments[assessment_date],-1,tblAssessments[assessment_id],1),A160),"")</x:f>
      </x:c>
    </x:row>
    <x:row r="161">
      <x:c r="A161" s="83" t="n">
        <x:v>138</x:v>
      </x:c>
      <x:c r="B161" s="85" t="str">
        <x:f>IFERROR(INDEX(SORTBY(tblAssessments[department_name],tblAssessments[department_name],1,tblAssessments[assessment_date],-1,tblAssessments[assessment_id],1),A161),"")</x:f>
      </x:c>
      <x:c r="C161" s="83" t="str">
        <x:f>IFERROR(INDEX(SORTBY(tblAssessments[total_staff_count],tblAssessments[department_name],1,tblAssessments[assessment_date],-1,tblAssessments[assessment_id],1),A161),"")</x:f>
      </x:c>
      <x:c r="D161" s="83" t="str">
        <x:f>IFERROR(INDEX(SORTBY(tblAssessments[status],tblAssessments[department_name],1,tblAssessments[assessment_date],-1,tblAssessments[assessment_id],1),A161),"")</x:f>
      </x:c>
      <x:c r="E161" s="83" t="str">
        <x:f>IFERROR(INDEX(SORTBY(tblAssessments[overall_risk_score],tblAssessments[department_name],1,tblAssessments[assessment_date],-1,tblAssessments[assessment_id],1),A161),"")</x:f>
      </x:c>
      <x:c r="F161" s="83" t="str">
        <x:f>IFERROR(INDEX(SORTBY(tblAssessments[overall_risk_level],tblAssessments[department_name],1,tblAssessments[assessment_date],-1,tblAssessments[assessment_id],1),A161),"")</x:f>
      </x:c>
      <x:c r="G161" s="87" t="str">
        <x:f>IFERROR(INDEX(SORTBY(tblAssessments[assessment_date],tblAssessments[department_name],1,tblAssessments[assessment_date],-1,tblAssessments[assessment_id],1),A161),"")</x:f>
      </x:c>
      <x:c r="H161" s="83" t="str">
        <x:f>IFERROR(INDEX(SORTBY(tblAssessments[report_number],tblAssessments[department_name],1,tblAssessments[assessment_date],-1,tblAssessments[assessment_id],1),A161),"")</x:f>
      </x:c>
      <x:c r="I161" s="83" t="str">
        <x:f>IF(E161="","",IF(E161&gt;=6,"Immediate corrective action",IF(E161&gt;=3,"Document improvement plan","Maintain controls")))</x:f>
      </x:c>
      <x:c r="T161" t="str">
        <x:f>IFERROR(INDEX(SORTBY(tblAssessments[assessment_id],tblAssessments[department_name],1,tblAssessments[assessment_date],-1,tblAssessments[assessment_id],1),A161),"")</x:f>
      </x:c>
    </x:row>
    <x:row r="162">
      <x:c r="A162" s="83" t="n">
        <x:v>139</x:v>
      </x:c>
      <x:c r="B162" s="85" t="str">
        <x:f>IFERROR(INDEX(SORTBY(tblAssessments[department_name],tblAssessments[department_name],1,tblAssessments[assessment_date],-1,tblAssessments[assessment_id],1),A162),"")</x:f>
      </x:c>
      <x:c r="C162" s="83" t="str">
        <x:f>IFERROR(INDEX(SORTBY(tblAssessments[total_staff_count],tblAssessments[department_name],1,tblAssessments[assessment_date],-1,tblAssessments[assessment_id],1),A162),"")</x:f>
      </x:c>
      <x:c r="D162" s="83" t="str">
        <x:f>IFERROR(INDEX(SORTBY(tblAssessments[status],tblAssessments[department_name],1,tblAssessments[assessment_date],-1,tblAssessments[assessment_id],1),A162),"")</x:f>
      </x:c>
      <x:c r="E162" s="83" t="str">
        <x:f>IFERROR(INDEX(SORTBY(tblAssessments[overall_risk_score],tblAssessments[department_name],1,tblAssessments[assessment_date],-1,tblAssessments[assessment_id],1),A162),"")</x:f>
      </x:c>
      <x:c r="F162" s="83" t="str">
        <x:f>IFERROR(INDEX(SORTBY(tblAssessments[overall_risk_level],tblAssessments[department_name],1,tblAssessments[assessment_date],-1,tblAssessments[assessment_id],1),A162),"")</x:f>
      </x:c>
      <x:c r="G162" s="87" t="str">
        <x:f>IFERROR(INDEX(SORTBY(tblAssessments[assessment_date],tblAssessments[department_name],1,tblAssessments[assessment_date],-1,tblAssessments[assessment_id],1),A162),"")</x:f>
      </x:c>
      <x:c r="H162" s="83" t="str">
        <x:f>IFERROR(INDEX(SORTBY(tblAssessments[report_number],tblAssessments[department_name],1,tblAssessments[assessment_date],-1,tblAssessments[assessment_id],1),A162),"")</x:f>
      </x:c>
      <x:c r="I162" s="83" t="str">
        <x:f>IF(E162="","",IF(E162&gt;=6,"Immediate corrective action",IF(E162&gt;=3,"Document improvement plan","Maintain controls")))</x:f>
      </x:c>
      <x:c r="T162" t="str">
        <x:f>IFERROR(INDEX(SORTBY(tblAssessments[assessment_id],tblAssessments[department_name],1,tblAssessments[assessment_date],-1,tblAssessments[assessment_id],1),A162),"")</x:f>
      </x:c>
    </x:row>
    <x:row r="163">
      <x:c r="A163" s="83" t="n">
        <x:v>140</x:v>
      </x:c>
      <x:c r="B163" s="85" t="str">
        <x:f>IFERROR(INDEX(SORTBY(tblAssessments[department_name],tblAssessments[department_name],1,tblAssessments[assessment_date],-1,tblAssessments[assessment_id],1),A163),"")</x:f>
      </x:c>
      <x:c r="C163" s="83" t="str">
        <x:f>IFERROR(INDEX(SORTBY(tblAssessments[total_staff_count],tblAssessments[department_name],1,tblAssessments[assessment_date],-1,tblAssessments[assessment_id],1),A163),"")</x:f>
      </x:c>
      <x:c r="D163" s="83" t="str">
        <x:f>IFERROR(INDEX(SORTBY(tblAssessments[status],tblAssessments[department_name],1,tblAssessments[assessment_date],-1,tblAssessments[assessment_id],1),A163),"")</x:f>
      </x:c>
      <x:c r="E163" s="83" t="str">
        <x:f>IFERROR(INDEX(SORTBY(tblAssessments[overall_risk_score],tblAssessments[department_name],1,tblAssessments[assessment_date],-1,tblAssessments[assessment_id],1),A163),"")</x:f>
      </x:c>
      <x:c r="F163" s="83" t="str">
        <x:f>IFERROR(INDEX(SORTBY(tblAssessments[overall_risk_level],tblAssessments[department_name],1,tblAssessments[assessment_date],-1,tblAssessments[assessment_id],1),A163),"")</x:f>
      </x:c>
      <x:c r="G163" s="87" t="str">
        <x:f>IFERROR(INDEX(SORTBY(tblAssessments[assessment_date],tblAssessments[department_name],1,tblAssessments[assessment_date],-1,tblAssessments[assessment_id],1),A163),"")</x:f>
      </x:c>
      <x:c r="H163" s="83" t="str">
        <x:f>IFERROR(INDEX(SORTBY(tblAssessments[report_number],tblAssessments[department_name],1,tblAssessments[assessment_date],-1,tblAssessments[assessment_id],1),A163),"")</x:f>
      </x:c>
      <x:c r="I163" s="83" t="str">
        <x:f>IF(E163="","",IF(E163&gt;=6,"Immediate corrective action",IF(E163&gt;=3,"Document improvement plan","Maintain controls")))</x:f>
      </x:c>
      <x:c r="T163" t="str">
        <x:f>IFERROR(INDEX(SORTBY(tblAssessments[assessment_id],tblAssessments[department_name],1,tblAssessments[assessment_date],-1,tblAssessments[assessment_id],1),A163),"")</x:f>
      </x:c>
    </x:row>
    <x:row r="164">
      <x:c r="A164" s="83" t="n">
        <x:v>141</x:v>
      </x:c>
      <x:c r="B164" s="85" t="str">
        <x:f>IFERROR(INDEX(SORTBY(tblAssessments[department_name],tblAssessments[department_name],1,tblAssessments[assessment_date],-1,tblAssessments[assessment_id],1),A164),"")</x:f>
      </x:c>
      <x:c r="C164" s="83" t="str">
        <x:f>IFERROR(INDEX(SORTBY(tblAssessments[total_staff_count],tblAssessments[department_name],1,tblAssessments[assessment_date],-1,tblAssessments[assessment_id],1),A164),"")</x:f>
      </x:c>
      <x:c r="D164" s="83" t="str">
        <x:f>IFERROR(INDEX(SORTBY(tblAssessments[status],tblAssessments[department_name],1,tblAssessments[assessment_date],-1,tblAssessments[assessment_id],1),A164),"")</x:f>
      </x:c>
      <x:c r="E164" s="83" t="str">
        <x:f>IFERROR(INDEX(SORTBY(tblAssessments[overall_risk_score],tblAssessments[department_name],1,tblAssessments[assessment_date],-1,tblAssessments[assessment_id],1),A164),"")</x:f>
      </x:c>
      <x:c r="F164" s="83" t="str">
        <x:f>IFERROR(INDEX(SORTBY(tblAssessments[overall_risk_level],tblAssessments[department_name],1,tblAssessments[assessment_date],-1,tblAssessments[assessment_id],1),A164),"")</x:f>
      </x:c>
      <x:c r="G164" s="87" t="str">
        <x:f>IFERROR(INDEX(SORTBY(tblAssessments[assessment_date],tblAssessments[department_name],1,tblAssessments[assessment_date],-1,tblAssessments[assessment_id],1),A164),"")</x:f>
      </x:c>
      <x:c r="H164" s="83" t="str">
        <x:f>IFERROR(INDEX(SORTBY(tblAssessments[report_number],tblAssessments[department_name],1,tblAssessments[assessment_date],-1,tblAssessments[assessment_id],1),A164),"")</x:f>
      </x:c>
      <x:c r="I164" s="83" t="str">
        <x:f>IF(E164="","",IF(E164&gt;=6,"Immediate corrective action",IF(E164&gt;=3,"Document improvement plan","Maintain controls")))</x:f>
      </x:c>
      <x:c r="T164" t="str">
        <x:f>IFERROR(INDEX(SORTBY(tblAssessments[assessment_id],tblAssessments[department_name],1,tblAssessments[assessment_date],-1,tblAssessments[assessment_id],1),A164),"")</x:f>
      </x:c>
    </x:row>
    <x:row r="165">
      <x:c r="A165" s="83" t="n">
        <x:v>142</x:v>
      </x:c>
      <x:c r="B165" s="85" t="str">
        <x:f>IFERROR(INDEX(SORTBY(tblAssessments[department_name],tblAssessments[department_name],1,tblAssessments[assessment_date],-1,tblAssessments[assessment_id],1),A165),"")</x:f>
      </x:c>
      <x:c r="C165" s="83" t="str">
        <x:f>IFERROR(INDEX(SORTBY(tblAssessments[total_staff_count],tblAssessments[department_name],1,tblAssessments[assessment_date],-1,tblAssessments[assessment_id],1),A165),"")</x:f>
      </x:c>
      <x:c r="D165" s="83" t="str">
        <x:f>IFERROR(INDEX(SORTBY(tblAssessments[status],tblAssessments[department_name],1,tblAssessments[assessment_date],-1,tblAssessments[assessment_id],1),A165),"")</x:f>
      </x:c>
      <x:c r="E165" s="83" t="str">
        <x:f>IFERROR(INDEX(SORTBY(tblAssessments[overall_risk_score],tblAssessments[department_name],1,tblAssessments[assessment_date],-1,tblAssessments[assessment_id],1),A165),"")</x:f>
      </x:c>
      <x:c r="F165" s="83" t="str">
        <x:f>IFERROR(INDEX(SORTBY(tblAssessments[overall_risk_level],tblAssessments[department_name],1,tblAssessments[assessment_date],-1,tblAssessments[assessment_id],1),A165),"")</x:f>
      </x:c>
      <x:c r="G165" s="87" t="str">
        <x:f>IFERROR(INDEX(SORTBY(tblAssessments[assessment_date],tblAssessments[department_name],1,tblAssessments[assessment_date],-1,tblAssessments[assessment_id],1),A165),"")</x:f>
      </x:c>
      <x:c r="H165" s="83" t="str">
        <x:f>IFERROR(INDEX(SORTBY(tblAssessments[report_number],tblAssessments[department_name],1,tblAssessments[assessment_date],-1,tblAssessments[assessment_id],1),A165),"")</x:f>
      </x:c>
      <x:c r="I165" s="83" t="str">
        <x:f>IF(E165="","",IF(E165&gt;=6,"Immediate corrective action",IF(E165&gt;=3,"Document improvement plan","Maintain controls")))</x:f>
      </x:c>
      <x:c r="T165" t="str">
        <x:f>IFERROR(INDEX(SORTBY(tblAssessments[assessment_id],tblAssessments[department_name],1,tblAssessments[assessment_date],-1,tblAssessments[assessment_id],1),A165),"")</x:f>
      </x:c>
    </x:row>
    <x:row r="166">
      <x:c r="A166" s="83" t="n">
        <x:v>143</x:v>
      </x:c>
      <x:c r="B166" s="85" t="str">
        <x:f>IFERROR(INDEX(SORTBY(tblAssessments[department_name],tblAssessments[department_name],1,tblAssessments[assessment_date],-1,tblAssessments[assessment_id],1),A166),"")</x:f>
      </x:c>
      <x:c r="C166" s="83" t="str">
        <x:f>IFERROR(INDEX(SORTBY(tblAssessments[total_staff_count],tblAssessments[department_name],1,tblAssessments[assessment_date],-1,tblAssessments[assessment_id],1),A166),"")</x:f>
      </x:c>
      <x:c r="D166" s="83" t="str">
        <x:f>IFERROR(INDEX(SORTBY(tblAssessments[status],tblAssessments[department_name],1,tblAssessments[assessment_date],-1,tblAssessments[assessment_id],1),A166),"")</x:f>
      </x:c>
      <x:c r="E166" s="83" t="str">
        <x:f>IFERROR(INDEX(SORTBY(tblAssessments[overall_risk_score],tblAssessments[department_name],1,tblAssessments[assessment_date],-1,tblAssessments[assessment_id],1),A166),"")</x:f>
      </x:c>
      <x:c r="F166" s="83" t="str">
        <x:f>IFERROR(INDEX(SORTBY(tblAssessments[overall_risk_level],tblAssessments[department_name],1,tblAssessments[assessment_date],-1,tblAssessments[assessment_id],1),A166),"")</x:f>
      </x:c>
      <x:c r="G166" s="87" t="str">
        <x:f>IFERROR(INDEX(SORTBY(tblAssessments[assessment_date],tblAssessments[department_name],1,tblAssessments[assessment_date],-1,tblAssessments[assessment_id],1),A166),"")</x:f>
      </x:c>
      <x:c r="H166" s="83" t="str">
        <x:f>IFERROR(INDEX(SORTBY(tblAssessments[report_number],tblAssessments[department_name],1,tblAssessments[assessment_date],-1,tblAssessments[assessment_id],1),A166),"")</x:f>
      </x:c>
      <x:c r="I166" s="83" t="str">
        <x:f>IF(E166="","",IF(E166&gt;=6,"Immediate corrective action",IF(E166&gt;=3,"Document improvement plan","Maintain controls")))</x:f>
      </x:c>
      <x:c r="T166" t="str">
        <x:f>IFERROR(INDEX(SORTBY(tblAssessments[assessment_id],tblAssessments[department_name],1,tblAssessments[assessment_date],-1,tblAssessments[assessment_id],1),A166),"")</x:f>
      </x:c>
    </x:row>
    <x:row r="167">
      <x:c r="A167" s="83" t="n">
        <x:v>144</x:v>
      </x:c>
      <x:c r="B167" s="85" t="str">
        <x:f>IFERROR(INDEX(SORTBY(tblAssessments[department_name],tblAssessments[department_name],1,tblAssessments[assessment_date],-1,tblAssessments[assessment_id],1),A167),"")</x:f>
      </x:c>
      <x:c r="C167" s="83" t="str">
        <x:f>IFERROR(INDEX(SORTBY(tblAssessments[total_staff_count],tblAssessments[department_name],1,tblAssessments[assessment_date],-1,tblAssessments[assessment_id],1),A167),"")</x:f>
      </x:c>
      <x:c r="D167" s="83" t="str">
        <x:f>IFERROR(INDEX(SORTBY(tblAssessments[status],tblAssessments[department_name],1,tblAssessments[assessment_date],-1,tblAssessments[assessment_id],1),A167),"")</x:f>
      </x:c>
      <x:c r="E167" s="83" t="str">
        <x:f>IFERROR(INDEX(SORTBY(tblAssessments[overall_risk_score],tblAssessments[department_name],1,tblAssessments[assessment_date],-1,tblAssessments[assessment_id],1),A167),"")</x:f>
      </x:c>
      <x:c r="F167" s="83" t="str">
        <x:f>IFERROR(INDEX(SORTBY(tblAssessments[overall_risk_level],tblAssessments[department_name],1,tblAssessments[assessment_date],-1,tblAssessments[assessment_id],1),A167),"")</x:f>
      </x:c>
      <x:c r="G167" s="87" t="str">
        <x:f>IFERROR(INDEX(SORTBY(tblAssessments[assessment_date],tblAssessments[department_name],1,tblAssessments[assessment_date],-1,tblAssessments[assessment_id],1),A167),"")</x:f>
      </x:c>
      <x:c r="H167" s="83" t="str">
        <x:f>IFERROR(INDEX(SORTBY(tblAssessments[report_number],tblAssessments[department_name],1,tblAssessments[assessment_date],-1,tblAssessments[assessment_id],1),A167),"")</x:f>
      </x:c>
      <x:c r="I167" s="83" t="str">
        <x:f>IF(E167="","",IF(E167&gt;=6,"Immediate corrective action",IF(E167&gt;=3,"Document improvement plan","Maintain controls")))</x:f>
      </x:c>
      <x:c r="T167" t="str">
        <x:f>IFERROR(INDEX(SORTBY(tblAssessments[assessment_id],tblAssessments[department_name],1,tblAssessments[assessment_date],-1,tblAssessments[assessment_id],1),A167),"")</x:f>
      </x:c>
    </x:row>
    <x:row r="168">
      <x:c r="A168" s="83" t="n">
        <x:v>145</x:v>
      </x:c>
      <x:c r="B168" s="85" t="str">
        <x:f>IFERROR(INDEX(SORTBY(tblAssessments[department_name],tblAssessments[department_name],1,tblAssessments[assessment_date],-1,tblAssessments[assessment_id],1),A168),"")</x:f>
      </x:c>
      <x:c r="C168" s="83" t="str">
        <x:f>IFERROR(INDEX(SORTBY(tblAssessments[total_staff_count],tblAssessments[department_name],1,tblAssessments[assessment_date],-1,tblAssessments[assessment_id],1),A168),"")</x:f>
      </x:c>
      <x:c r="D168" s="83" t="str">
        <x:f>IFERROR(INDEX(SORTBY(tblAssessments[status],tblAssessments[department_name],1,tblAssessments[assessment_date],-1,tblAssessments[assessment_id],1),A168),"")</x:f>
      </x:c>
      <x:c r="E168" s="83" t="str">
        <x:f>IFERROR(INDEX(SORTBY(tblAssessments[overall_risk_score],tblAssessments[department_name],1,tblAssessments[assessment_date],-1,tblAssessments[assessment_id],1),A168),"")</x:f>
      </x:c>
      <x:c r="F168" s="83" t="str">
        <x:f>IFERROR(INDEX(SORTBY(tblAssessments[overall_risk_level],tblAssessments[department_name],1,tblAssessments[assessment_date],-1,tblAssessments[assessment_id],1),A168),"")</x:f>
      </x:c>
      <x:c r="G168" s="87" t="str">
        <x:f>IFERROR(INDEX(SORTBY(tblAssessments[assessment_date],tblAssessments[department_name],1,tblAssessments[assessment_date],-1,tblAssessments[assessment_id],1),A168),"")</x:f>
      </x:c>
      <x:c r="H168" s="83" t="str">
        <x:f>IFERROR(INDEX(SORTBY(tblAssessments[report_number],tblAssessments[department_name],1,tblAssessments[assessment_date],-1,tblAssessments[assessment_id],1),A168),"")</x:f>
      </x:c>
      <x:c r="I168" s="83" t="str">
        <x:f>IF(E168="","",IF(E168&gt;=6,"Immediate corrective action",IF(E168&gt;=3,"Document improvement plan","Maintain controls")))</x:f>
      </x:c>
      <x:c r="T168" t="str">
        <x:f>IFERROR(INDEX(SORTBY(tblAssessments[assessment_id],tblAssessments[department_name],1,tblAssessments[assessment_date],-1,tblAssessments[assessment_id],1),A168),"")</x:f>
      </x:c>
    </x:row>
    <x:row r="169">
      <x:c r="A169" s="83" t="n">
        <x:v>146</x:v>
      </x:c>
      <x:c r="B169" s="85" t="str">
        <x:f>IFERROR(INDEX(SORTBY(tblAssessments[department_name],tblAssessments[department_name],1,tblAssessments[assessment_date],-1,tblAssessments[assessment_id],1),A169),"")</x:f>
      </x:c>
      <x:c r="C169" s="83" t="str">
        <x:f>IFERROR(INDEX(SORTBY(tblAssessments[total_staff_count],tblAssessments[department_name],1,tblAssessments[assessment_date],-1,tblAssessments[assessment_id],1),A169),"")</x:f>
      </x:c>
      <x:c r="D169" s="83" t="str">
        <x:f>IFERROR(INDEX(SORTBY(tblAssessments[status],tblAssessments[department_name],1,tblAssessments[assessment_date],-1,tblAssessments[assessment_id],1),A169),"")</x:f>
      </x:c>
      <x:c r="E169" s="83" t="str">
        <x:f>IFERROR(INDEX(SORTBY(tblAssessments[overall_risk_score],tblAssessments[department_name],1,tblAssessments[assessment_date],-1,tblAssessments[assessment_id],1),A169),"")</x:f>
      </x:c>
      <x:c r="F169" s="83" t="str">
        <x:f>IFERROR(INDEX(SORTBY(tblAssessments[overall_risk_level],tblAssessments[department_name],1,tblAssessments[assessment_date],-1,tblAssessments[assessment_id],1),A169),"")</x:f>
      </x:c>
      <x:c r="G169" s="87" t="str">
        <x:f>IFERROR(INDEX(SORTBY(tblAssessments[assessment_date],tblAssessments[department_name],1,tblAssessments[assessment_date],-1,tblAssessments[assessment_id],1),A169),"")</x:f>
      </x:c>
      <x:c r="H169" s="83" t="str">
        <x:f>IFERROR(INDEX(SORTBY(tblAssessments[report_number],tblAssessments[department_name],1,tblAssessments[assessment_date],-1,tblAssessments[assessment_id],1),A169),"")</x:f>
      </x:c>
      <x:c r="I169" s="83" t="str">
        <x:f>IF(E169="","",IF(E169&gt;=6,"Immediate corrective action",IF(E169&gt;=3,"Document improvement plan","Maintain controls")))</x:f>
      </x:c>
      <x:c r="T169" t="str">
        <x:f>IFERROR(INDEX(SORTBY(tblAssessments[assessment_id],tblAssessments[department_name],1,tblAssessments[assessment_date],-1,tblAssessments[assessment_id],1),A169),"")</x:f>
      </x:c>
    </x:row>
    <x:row r="170">
      <x:c r="A170" s="83" t="n">
        <x:v>147</x:v>
      </x:c>
      <x:c r="B170" s="85" t="str">
        <x:f>IFERROR(INDEX(SORTBY(tblAssessments[department_name],tblAssessments[department_name],1,tblAssessments[assessment_date],-1,tblAssessments[assessment_id],1),A170),"")</x:f>
      </x:c>
      <x:c r="C170" s="83" t="str">
        <x:f>IFERROR(INDEX(SORTBY(tblAssessments[total_staff_count],tblAssessments[department_name],1,tblAssessments[assessment_date],-1,tblAssessments[assessment_id],1),A170),"")</x:f>
      </x:c>
      <x:c r="D170" s="83" t="str">
        <x:f>IFERROR(INDEX(SORTBY(tblAssessments[status],tblAssessments[department_name],1,tblAssessments[assessment_date],-1,tblAssessments[assessment_id],1),A170),"")</x:f>
      </x:c>
      <x:c r="E170" s="83" t="str">
        <x:f>IFERROR(INDEX(SORTBY(tblAssessments[overall_risk_score],tblAssessments[department_name],1,tblAssessments[assessment_date],-1,tblAssessments[assessment_id],1),A170),"")</x:f>
      </x:c>
      <x:c r="F170" s="83" t="str">
        <x:f>IFERROR(INDEX(SORTBY(tblAssessments[overall_risk_level],tblAssessments[department_name],1,tblAssessments[assessment_date],-1,tblAssessments[assessment_id],1),A170),"")</x:f>
      </x:c>
      <x:c r="G170" s="87" t="str">
        <x:f>IFERROR(INDEX(SORTBY(tblAssessments[assessment_date],tblAssessments[department_name],1,tblAssessments[assessment_date],-1,tblAssessments[assessment_id],1),A170),"")</x:f>
      </x:c>
      <x:c r="H170" s="83" t="str">
        <x:f>IFERROR(INDEX(SORTBY(tblAssessments[report_number],tblAssessments[department_name],1,tblAssessments[assessment_date],-1,tblAssessments[assessment_id],1),A170),"")</x:f>
      </x:c>
      <x:c r="I170" s="83" t="str">
        <x:f>IF(E170="","",IF(E170&gt;=6,"Immediate corrective action",IF(E170&gt;=3,"Document improvement plan","Maintain controls")))</x:f>
      </x:c>
      <x:c r="T170" t="str">
        <x:f>IFERROR(INDEX(SORTBY(tblAssessments[assessment_id],tblAssessments[department_name],1,tblAssessments[assessment_date],-1,tblAssessments[assessment_id],1),A170),"")</x:f>
      </x:c>
    </x:row>
    <x:row r="171">
      <x:c r="A171" s="83" t="n">
        <x:v>148</x:v>
      </x:c>
      <x:c r="B171" s="85" t="str">
        <x:f>IFERROR(INDEX(SORTBY(tblAssessments[department_name],tblAssessments[department_name],1,tblAssessments[assessment_date],-1,tblAssessments[assessment_id],1),A171),"")</x:f>
      </x:c>
      <x:c r="C171" s="83" t="str">
        <x:f>IFERROR(INDEX(SORTBY(tblAssessments[total_staff_count],tblAssessments[department_name],1,tblAssessments[assessment_date],-1,tblAssessments[assessment_id],1),A171),"")</x:f>
      </x:c>
      <x:c r="D171" s="83" t="str">
        <x:f>IFERROR(INDEX(SORTBY(tblAssessments[status],tblAssessments[department_name],1,tblAssessments[assessment_date],-1,tblAssessments[assessment_id],1),A171),"")</x:f>
      </x:c>
      <x:c r="E171" s="83" t="str">
        <x:f>IFERROR(INDEX(SORTBY(tblAssessments[overall_risk_score],tblAssessments[department_name],1,tblAssessments[assessment_date],-1,tblAssessments[assessment_id],1),A171),"")</x:f>
      </x:c>
      <x:c r="F171" s="83" t="str">
        <x:f>IFERROR(INDEX(SORTBY(tblAssessments[overall_risk_level],tblAssessments[department_name],1,tblAssessments[assessment_date],-1,tblAssessments[assessment_id],1),A171),"")</x:f>
      </x:c>
      <x:c r="G171" s="87" t="str">
        <x:f>IFERROR(INDEX(SORTBY(tblAssessments[assessment_date],tblAssessments[department_name],1,tblAssessments[assessment_date],-1,tblAssessments[assessment_id],1),A171),"")</x:f>
      </x:c>
      <x:c r="H171" s="83" t="str">
        <x:f>IFERROR(INDEX(SORTBY(tblAssessments[report_number],tblAssessments[department_name],1,tblAssessments[assessment_date],-1,tblAssessments[assessment_id],1),A171),"")</x:f>
      </x:c>
      <x:c r="I171" s="83" t="str">
        <x:f>IF(E171="","",IF(E171&gt;=6,"Immediate corrective action",IF(E171&gt;=3,"Document improvement plan","Maintain controls")))</x:f>
      </x:c>
      <x:c r="T171" t="str">
        <x:f>IFERROR(INDEX(SORTBY(tblAssessments[assessment_id],tblAssessments[department_name],1,tblAssessments[assessment_date],-1,tblAssessments[assessment_id],1),A171),"")</x:f>
      </x:c>
    </x:row>
    <x:row r="172">
      <x:c r="A172" s="83" t="n">
        <x:v>149</x:v>
      </x:c>
      <x:c r="B172" s="85" t="str">
        <x:f>IFERROR(INDEX(SORTBY(tblAssessments[department_name],tblAssessments[department_name],1,tblAssessments[assessment_date],-1,tblAssessments[assessment_id],1),A172),"")</x:f>
      </x:c>
      <x:c r="C172" s="83" t="str">
        <x:f>IFERROR(INDEX(SORTBY(tblAssessments[total_staff_count],tblAssessments[department_name],1,tblAssessments[assessment_date],-1,tblAssessments[assessment_id],1),A172),"")</x:f>
      </x:c>
      <x:c r="D172" s="83" t="str">
        <x:f>IFERROR(INDEX(SORTBY(tblAssessments[status],tblAssessments[department_name],1,tblAssessments[assessment_date],-1,tblAssessments[assessment_id],1),A172),"")</x:f>
      </x:c>
      <x:c r="E172" s="83" t="str">
        <x:f>IFERROR(INDEX(SORTBY(tblAssessments[overall_risk_score],tblAssessments[department_name],1,tblAssessments[assessment_date],-1,tblAssessments[assessment_id],1),A172),"")</x:f>
      </x:c>
      <x:c r="F172" s="83" t="str">
        <x:f>IFERROR(INDEX(SORTBY(tblAssessments[overall_risk_level],tblAssessments[department_name],1,tblAssessments[assessment_date],-1,tblAssessments[assessment_id],1),A172),"")</x:f>
      </x:c>
      <x:c r="G172" s="87" t="str">
        <x:f>IFERROR(INDEX(SORTBY(tblAssessments[assessment_date],tblAssessments[department_name],1,tblAssessments[assessment_date],-1,tblAssessments[assessment_id],1),A172),"")</x:f>
      </x:c>
      <x:c r="H172" s="83" t="str">
        <x:f>IFERROR(INDEX(SORTBY(tblAssessments[report_number],tblAssessments[department_name],1,tblAssessments[assessment_date],-1,tblAssessments[assessment_id],1),A172),"")</x:f>
      </x:c>
      <x:c r="I172" s="83" t="str">
        <x:f>IF(E172="","",IF(E172&gt;=6,"Immediate corrective action",IF(E172&gt;=3,"Document improvement plan","Maintain controls")))</x:f>
      </x:c>
      <x:c r="T172" t="str">
        <x:f>IFERROR(INDEX(SORTBY(tblAssessments[assessment_id],tblAssessments[department_name],1,tblAssessments[assessment_date],-1,tblAssessments[assessment_id],1),A172),"")</x:f>
      </x:c>
    </x:row>
    <x:row r="173">
      <x:c r="A173" s="83" t="n">
        <x:v>150</x:v>
      </x:c>
      <x:c r="B173" s="85" t="str">
        <x:f>IFERROR(INDEX(SORTBY(tblAssessments[department_name],tblAssessments[department_name],1,tblAssessments[assessment_date],-1,tblAssessments[assessment_id],1),A173),"")</x:f>
      </x:c>
      <x:c r="C173" s="83" t="str">
        <x:f>IFERROR(INDEX(SORTBY(tblAssessments[total_staff_count],tblAssessments[department_name],1,tblAssessments[assessment_date],-1,tblAssessments[assessment_id],1),A173),"")</x:f>
      </x:c>
      <x:c r="D173" s="83" t="str">
        <x:f>IFERROR(INDEX(SORTBY(tblAssessments[status],tblAssessments[department_name],1,tblAssessments[assessment_date],-1,tblAssessments[assessment_id],1),A173),"")</x:f>
      </x:c>
      <x:c r="E173" s="83" t="str">
        <x:f>IFERROR(INDEX(SORTBY(tblAssessments[overall_risk_score],tblAssessments[department_name],1,tblAssessments[assessment_date],-1,tblAssessments[assessment_id],1),A173),"")</x:f>
      </x:c>
      <x:c r="F173" s="83" t="str">
        <x:f>IFERROR(INDEX(SORTBY(tblAssessments[overall_risk_level],tblAssessments[department_name],1,tblAssessments[assessment_date],-1,tblAssessments[assessment_id],1),A173),"")</x:f>
      </x:c>
      <x:c r="G173" s="87" t="str">
        <x:f>IFERROR(INDEX(SORTBY(tblAssessments[assessment_date],tblAssessments[department_name],1,tblAssessments[assessment_date],-1,tblAssessments[assessment_id],1),A173),"")</x:f>
      </x:c>
      <x:c r="H173" s="83" t="str">
        <x:f>IFERROR(INDEX(SORTBY(tblAssessments[report_number],tblAssessments[department_name],1,tblAssessments[assessment_date],-1,tblAssessments[assessment_id],1),A173),"")</x:f>
      </x:c>
      <x:c r="I173" s="83" t="str">
        <x:f>IF(E173="","",IF(E173&gt;=6,"Immediate corrective action",IF(E173&gt;=3,"Document improvement plan","Maintain controls")))</x:f>
      </x:c>
      <x:c r="T173" t="str">
        <x:f>IFERROR(INDEX(SORTBY(tblAssessments[assessment_id],tblAssessments[department_name],1,tblAssessments[assessment_date],-1,tblAssessments[assessment_id],1),A173),"")</x:f>
      </x:c>
    </x:row>
  </x:sheetData>
  <x:mergeCells>
    <x:mergeCell ref="A1:L1"/>
    <x:mergeCell ref="A2:L2"/>
    <x:mergeCell ref="A4:C4"/>
    <x:mergeCell ref="A5:C6"/>
    <x:mergeCell ref="D4:F4"/>
    <x:mergeCell ref="D5:F6"/>
    <x:mergeCell ref="G4:I4"/>
    <x:mergeCell ref="G5:I6"/>
    <x:mergeCell ref="J4:L4"/>
    <x:mergeCell ref="J5:L6"/>
    <x:mergeCell ref="A22:I22"/>
  </x:mergeCells>
  <x:conditionalFormatting sqref="F24:F173">
    <x:cfRule type="expression" dxfId="7" priority="1">
      <x:formula>$F24="LOW"</x:formula>
    </x:cfRule>
    <x:cfRule type="expression" dxfId="8" priority="2">
      <x:formula>$F24="MEDIUM"</x:formula>
    </x:cfRule>
    <x:cfRule type="expression" dxfId="9" priority="3">
      <x:formula>$F24="HIGH"</x:formula>
    </x:cfRule>
  </x:conditionalFormatting>
  <x:pageMargins left="0.7" right="0.7" top="0.75" bottom="0.75" header="0.3" footer="0.3"/>
  <x:drawing xmlns:r="http://schemas.openxmlformats.org/officeDocument/2006/relationships" r:id="R63712d52339a4e6a"/>
</x:worksheet>
</file>